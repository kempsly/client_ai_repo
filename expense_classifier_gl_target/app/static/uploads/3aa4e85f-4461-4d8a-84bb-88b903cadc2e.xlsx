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icola\Dropbox\Private\Work\AI-Kempsly\"/>
    </mc:Choice>
  </mc:AlternateContent>
  <xr:revisionPtr revIDLastSave="0" documentId="13_ncr:1_{ADF2726B-00C6-4933-A4ED-91FBEAD516B4}" xr6:coauthVersionLast="47" xr6:coauthVersionMax="47" xr10:uidLastSave="{00000000-0000-0000-0000-000000000000}"/>
  <bookViews>
    <workbookView xWindow="340" yWindow="-14510" windowWidth="25820" windowHeight="13900" xr2:uid="{7B9D9352-742F-47B7-B3B3-51BB73A74835}"/>
  </bookViews>
  <sheets>
    <sheet name="CC" sheetId="1" r:id="rId1"/>
    <sheet name="Sheet1" sheetId="3" r:id="rId2"/>
    <sheet name="Sheet5" sheetId="6" r:id="rId3"/>
  </sheets>
  <definedNames>
    <definedName name="_xlnm._FilterDatabase" localSheetId="0" hidden="1">CC!$A$1:$L$1811</definedName>
    <definedName name="_xlnm._FilterDatabase" localSheetId="1" hidden="1">Sheet1!$A$1:$K$1792</definedName>
    <definedName name="ACCOUNTS">#REF!</definedName>
    <definedName name="NAVISION">#REF!</definedName>
    <definedName name="REFS">#REF!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2" i="1"/>
  <c r="L131" i="3"/>
  <c r="L416" i="3"/>
  <c r="L625" i="3"/>
  <c r="L868" i="3"/>
  <c r="L1092" i="3"/>
  <c r="L1168" i="3"/>
  <c r="L1261" i="3"/>
  <c r="L1375" i="3"/>
  <c r="L1473" i="3"/>
  <c r="L1580" i="3"/>
  <c r="L1675" i="3"/>
  <c r="L1782" i="3"/>
  <c r="L2" i="3"/>
  <c r="L3" i="3"/>
  <c r="L4" i="3"/>
  <c r="L14" i="3"/>
  <c r="L15" i="3"/>
  <c r="L16" i="3"/>
  <c r="L17" i="3"/>
  <c r="L18" i="3"/>
  <c r="L19" i="3"/>
  <c r="L5" i="3"/>
  <c r="L6" i="3"/>
  <c r="L7" i="3"/>
  <c r="L8" i="3"/>
  <c r="L25" i="3"/>
  <c r="L20" i="3"/>
  <c r="L21" i="3"/>
  <c r="L22" i="3"/>
  <c r="L23" i="3"/>
  <c r="L24" i="3"/>
  <c r="L9" i="3"/>
  <c r="L10" i="3"/>
  <c r="L11" i="3"/>
  <c r="L12" i="3"/>
  <c r="L13" i="3"/>
  <c r="L26" i="3"/>
  <c r="L27" i="3"/>
  <c r="L28" i="3"/>
  <c r="L29" i="3"/>
  <c r="L30" i="3"/>
  <c r="L31" i="3"/>
  <c r="L32" i="3"/>
  <c r="L33" i="3"/>
  <c r="L34" i="3"/>
  <c r="L35" i="3"/>
  <c r="L36" i="3"/>
  <c r="L38" i="3"/>
  <c r="L39" i="3"/>
  <c r="L40" i="3"/>
  <c r="L42" i="3"/>
  <c r="L41" i="3"/>
  <c r="L45" i="3"/>
  <c r="L43" i="3"/>
  <c r="L44" i="3"/>
  <c r="L46" i="3"/>
  <c r="L48" i="3"/>
  <c r="L47" i="3"/>
  <c r="L49" i="3"/>
  <c r="L50" i="3"/>
  <c r="L51" i="3"/>
  <c r="L52" i="3"/>
  <c r="L53" i="3"/>
  <c r="L54" i="3"/>
  <c r="L58" i="3"/>
  <c r="L59" i="3"/>
  <c r="L55" i="3"/>
  <c r="L56" i="3"/>
  <c r="L57" i="3"/>
  <c r="L60" i="3"/>
  <c r="L61" i="3"/>
  <c r="L64" i="3"/>
  <c r="L63" i="3"/>
  <c r="L62" i="3"/>
  <c r="L67" i="3"/>
  <c r="L65" i="3"/>
  <c r="L66" i="3"/>
  <c r="L70" i="3"/>
  <c r="L71" i="3"/>
  <c r="L72" i="3"/>
  <c r="L73" i="3"/>
  <c r="L74" i="3"/>
  <c r="L68" i="3"/>
  <c r="L79" i="3"/>
  <c r="L75" i="3"/>
  <c r="L76" i="3"/>
  <c r="L69" i="3"/>
  <c r="L77" i="3"/>
  <c r="L78" i="3"/>
  <c r="L80" i="3"/>
  <c r="L81" i="3"/>
  <c r="L82" i="3"/>
  <c r="L83" i="3"/>
  <c r="L84" i="3"/>
  <c r="L85" i="3"/>
  <c r="L86" i="3"/>
  <c r="L87" i="3"/>
  <c r="L88" i="3"/>
  <c r="L89" i="3"/>
  <c r="L92" i="3"/>
  <c r="L90" i="3"/>
  <c r="L91" i="3"/>
  <c r="L93" i="3"/>
  <c r="L94" i="3"/>
  <c r="L95" i="3"/>
  <c r="L96" i="3"/>
  <c r="L99" i="3"/>
  <c r="L97" i="3"/>
  <c r="L98" i="3"/>
  <c r="L101" i="3"/>
  <c r="L102" i="3"/>
  <c r="L103" i="3"/>
  <c r="L104" i="3"/>
  <c r="L100" i="3"/>
  <c r="L105" i="3"/>
  <c r="L107" i="3"/>
  <c r="L108" i="3"/>
  <c r="L106" i="3"/>
  <c r="L110" i="3"/>
  <c r="L111" i="3"/>
  <c r="L109" i="3"/>
  <c r="L114" i="3"/>
  <c r="L112" i="3"/>
  <c r="L113" i="3"/>
  <c r="L119" i="3"/>
  <c r="L120" i="3"/>
  <c r="L121" i="3"/>
  <c r="L115" i="3"/>
  <c r="L116" i="3"/>
  <c r="L117" i="3"/>
  <c r="L118" i="3"/>
  <c r="L122" i="3"/>
  <c r="L123" i="3"/>
  <c r="L124" i="3"/>
  <c r="L125" i="3"/>
  <c r="L126" i="3"/>
  <c r="L127" i="3"/>
  <c r="L128" i="3"/>
  <c r="L132" i="3"/>
  <c r="L137" i="3"/>
  <c r="L133" i="3"/>
  <c r="L129" i="3"/>
  <c r="L134" i="3"/>
  <c r="L135" i="3"/>
  <c r="L130" i="3"/>
  <c r="L138" i="3"/>
  <c r="L139" i="3"/>
  <c r="L140" i="3"/>
  <c r="L141" i="3"/>
  <c r="L136" i="3"/>
  <c r="L144" i="3"/>
  <c r="L145" i="3"/>
  <c r="L146" i="3"/>
  <c r="L142" i="3"/>
  <c r="L147" i="3"/>
  <c r="L148" i="3"/>
  <c r="L143" i="3"/>
  <c r="L149" i="3"/>
  <c r="L155" i="3"/>
  <c r="L156" i="3"/>
  <c r="L150" i="3"/>
  <c r="L151" i="3"/>
  <c r="L152" i="3"/>
  <c r="L153" i="3"/>
  <c r="L154" i="3"/>
  <c r="L158" i="3"/>
  <c r="L159" i="3"/>
  <c r="L157" i="3"/>
  <c r="L160" i="3"/>
  <c r="L161" i="3"/>
  <c r="L163" i="3"/>
  <c r="L162" i="3"/>
  <c r="L166" i="3"/>
  <c r="L164" i="3"/>
  <c r="L165" i="3"/>
  <c r="L167" i="3"/>
  <c r="L172" i="3"/>
  <c r="L173" i="3"/>
  <c r="L168" i="3"/>
  <c r="L169" i="3"/>
  <c r="L170" i="3"/>
  <c r="L171" i="3"/>
  <c r="L177" i="3"/>
  <c r="L178" i="3"/>
  <c r="L179" i="3"/>
  <c r="L174" i="3"/>
  <c r="L175" i="3"/>
  <c r="L176" i="3"/>
  <c r="L183" i="3"/>
  <c r="L180" i="3"/>
  <c r="L181" i="3"/>
  <c r="L182" i="3"/>
  <c r="L185" i="3"/>
  <c r="L186" i="3"/>
  <c r="L187" i="3"/>
  <c r="L188" i="3"/>
  <c r="L184" i="3"/>
  <c r="L189" i="3"/>
  <c r="L190" i="3"/>
  <c r="L193" i="3"/>
  <c r="L191" i="3"/>
  <c r="L194" i="3"/>
  <c r="L192" i="3"/>
  <c r="L196" i="3"/>
  <c r="L195" i="3"/>
  <c r="L199" i="3"/>
  <c r="L200" i="3"/>
  <c r="L197" i="3"/>
  <c r="L198" i="3"/>
  <c r="L202" i="3"/>
  <c r="L201" i="3"/>
  <c r="L206" i="3"/>
  <c r="L207" i="3"/>
  <c r="L203" i="3"/>
  <c r="L204" i="3"/>
  <c r="L205" i="3"/>
  <c r="L208" i="3"/>
  <c r="L209" i="3"/>
  <c r="L210" i="3"/>
  <c r="L211" i="3"/>
  <c r="L213" i="3"/>
  <c r="L212" i="3"/>
  <c r="L215" i="3"/>
  <c r="L221" i="3"/>
  <c r="L216" i="3"/>
  <c r="L214" i="3"/>
  <c r="L222" i="3"/>
  <c r="L223" i="3"/>
  <c r="L217" i="3"/>
  <c r="L218" i="3"/>
  <c r="L219" i="3"/>
  <c r="L220" i="3"/>
  <c r="L228" i="3"/>
  <c r="L229" i="3"/>
  <c r="L224" i="3"/>
  <c r="L225" i="3"/>
  <c r="L226" i="3"/>
  <c r="L227" i="3"/>
  <c r="L232" i="3"/>
  <c r="L230" i="3"/>
  <c r="L231" i="3"/>
  <c r="L233" i="3"/>
  <c r="L234" i="3"/>
  <c r="L235" i="3"/>
  <c r="L236" i="3"/>
  <c r="L237" i="3"/>
  <c r="L238" i="3"/>
  <c r="L239" i="3"/>
  <c r="L243" i="3"/>
  <c r="L244" i="3"/>
  <c r="L240" i="3"/>
  <c r="L241" i="3"/>
  <c r="L245" i="3"/>
  <c r="L246" i="3"/>
  <c r="L242" i="3"/>
  <c r="L247" i="3"/>
  <c r="L248" i="3"/>
  <c r="L249" i="3"/>
  <c r="L250" i="3"/>
  <c r="L251" i="3"/>
  <c r="L252" i="3"/>
  <c r="L253" i="3"/>
  <c r="L257" i="3"/>
  <c r="L254" i="3"/>
  <c r="L258" i="3"/>
  <c r="L259" i="3"/>
  <c r="L255" i="3"/>
  <c r="L256" i="3"/>
  <c r="L260" i="3"/>
  <c r="L261" i="3"/>
  <c r="L262" i="3"/>
  <c r="L263" i="3"/>
  <c r="L264" i="3"/>
  <c r="L265" i="3"/>
  <c r="L266" i="3"/>
  <c r="L269" i="3"/>
  <c r="L270" i="3"/>
  <c r="L271" i="3"/>
  <c r="L267" i="3"/>
  <c r="L272" i="3"/>
  <c r="L276" i="3"/>
  <c r="L273" i="3"/>
  <c r="L274" i="3"/>
  <c r="L275" i="3"/>
  <c r="L268" i="3"/>
  <c r="L282" i="3"/>
  <c r="L277" i="3"/>
  <c r="L278" i="3"/>
  <c r="L279" i="3"/>
  <c r="L280" i="3"/>
  <c r="L281" i="3"/>
  <c r="L286" i="3"/>
  <c r="L287" i="3"/>
  <c r="L283" i="3"/>
  <c r="L289" i="3"/>
  <c r="L288" i="3"/>
  <c r="L284" i="3"/>
  <c r="L285" i="3"/>
  <c r="L290" i="3"/>
  <c r="L291" i="3"/>
  <c r="L292" i="3"/>
  <c r="L293" i="3"/>
  <c r="L295" i="3"/>
  <c r="L296" i="3"/>
  <c r="L294" i="3"/>
  <c r="L297" i="3"/>
  <c r="L298" i="3"/>
  <c r="L300" i="3"/>
  <c r="L301" i="3"/>
  <c r="L302" i="3"/>
  <c r="L299" i="3"/>
  <c r="L303" i="3"/>
  <c r="L304" i="3"/>
  <c r="L305" i="3"/>
  <c r="L307" i="3"/>
  <c r="L306" i="3"/>
  <c r="L309" i="3"/>
  <c r="L310" i="3"/>
  <c r="L308" i="3"/>
  <c r="L316" i="3"/>
  <c r="L317" i="3"/>
  <c r="L311" i="3"/>
  <c r="L312" i="3"/>
  <c r="L313" i="3"/>
  <c r="L314" i="3"/>
  <c r="L315" i="3"/>
  <c r="L318" i="3"/>
  <c r="L320" i="3"/>
  <c r="L319" i="3"/>
  <c r="L325" i="3"/>
  <c r="L321" i="3"/>
  <c r="L322" i="3"/>
  <c r="L323" i="3"/>
  <c r="L324" i="3"/>
  <c r="L326" i="3"/>
  <c r="L330" i="3"/>
  <c r="L331" i="3"/>
  <c r="L327" i="3"/>
  <c r="L328" i="3"/>
  <c r="L332" i="3"/>
  <c r="L329" i="3"/>
  <c r="L333" i="3"/>
  <c r="L336" i="3"/>
  <c r="L337" i="3"/>
  <c r="L334" i="3"/>
  <c r="L335" i="3"/>
  <c r="L338" i="3"/>
  <c r="L339" i="3"/>
  <c r="L340" i="3"/>
  <c r="L344" i="3"/>
  <c r="L345" i="3"/>
  <c r="L346" i="3"/>
  <c r="L341" i="3"/>
  <c r="L342" i="3"/>
  <c r="L343" i="3"/>
  <c r="L348" i="3"/>
  <c r="L349" i="3"/>
  <c r="L351" i="3"/>
  <c r="L352" i="3"/>
  <c r="L353" i="3"/>
  <c r="L354" i="3"/>
  <c r="L350" i="3"/>
  <c r="L347" i="3"/>
  <c r="L355" i="3"/>
  <c r="L356" i="3"/>
  <c r="L357" i="3"/>
  <c r="L362" i="3"/>
  <c r="L358" i="3"/>
  <c r="L359" i="3"/>
  <c r="L360" i="3"/>
  <c r="L361" i="3"/>
  <c r="L365" i="3"/>
  <c r="L363" i="3"/>
  <c r="L366" i="3"/>
  <c r="L364" i="3"/>
  <c r="L367" i="3"/>
  <c r="L370" i="3"/>
  <c r="L368" i="3"/>
  <c r="L371" i="3"/>
  <c r="L375" i="3"/>
  <c r="L376" i="3"/>
  <c r="L372" i="3"/>
  <c r="L373" i="3"/>
  <c r="L377" i="3"/>
  <c r="L378" i="3"/>
  <c r="L374" i="3"/>
  <c r="L379" i="3"/>
  <c r="L384" i="3"/>
  <c r="L380" i="3"/>
  <c r="L385" i="3"/>
  <c r="L381" i="3"/>
  <c r="L369" i="3"/>
  <c r="L386" i="3"/>
  <c r="L382" i="3"/>
  <c r="L387" i="3"/>
  <c r="L388" i="3"/>
  <c r="L389" i="3"/>
  <c r="L390" i="3"/>
  <c r="L391" i="3"/>
  <c r="L392" i="3"/>
  <c r="L398" i="3"/>
  <c r="L399" i="3"/>
  <c r="L393" i="3"/>
  <c r="L394" i="3"/>
  <c r="L395" i="3"/>
  <c r="L400" i="3"/>
  <c r="L396" i="3"/>
  <c r="L383" i="3"/>
  <c r="L397" i="3"/>
  <c r="L401" i="3"/>
  <c r="L405" i="3"/>
  <c r="L406" i="3"/>
  <c r="L402" i="3"/>
  <c r="L407" i="3"/>
  <c r="L403" i="3"/>
  <c r="L408" i="3"/>
  <c r="L409" i="3"/>
  <c r="L404" i="3"/>
  <c r="L410" i="3"/>
  <c r="L426" i="3"/>
  <c r="L411" i="3"/>
  <c r="L417" i="3"/>
  <c r="L412" i="3"/>
  <c r="L413" i="3"/>
  <c r="L414" i="3"/>
  <c r="L418" i="3"/>
  <c r="L415" i="3"/>
  <c r="L427" i="3"/>
  <c r="L428" i="3"/>
  <c r="L419" i="3"/>
  <c r="L420" i="3"/>
  <c r="L421" i="3"/>
  <c r="L422" i="3"/>
  <c r="L423" i="3"/>
  <c r="L424" i="3"/>
  <c r="L425" i="3"/>
  <c r="L429" i="3"/>
  <c r="L430" i="3"/>
  <c r="L431" i="3"/>
  <c r="L433" i="3"/>
  <c r="L432" i="3"/>
  <c r="L434" i="3"/>
  <c r="L435" i="3"/>
  <c r="L443" i="3"/>
  <c r="L444" i="3"/>
  <c r="L436" i="3"/>
  <c r="L437" i="3"/>
  <c r="L445" i="3"/>
  <c r="L438" i="3"/>
  <c r="L439" i="3"/>
  <c r="L440" i="3"/>
  <c r="L441" i="3"/>
  <c r="L446" i="3"/>
  <c r="L442" i="3"/>
  <c r="L447" i="3"/>
  <c r="L448" i="3"/>
  <c r="L449" i="3"/>
  <c r="L450" i="3"/>
  <c r="L455" i="3"/>
  <c r="L451" i="3"/>
  <c r="L452" i="3"/>
  <c r="L453" i="3"/>
  <c r="L456" i="3"/>
  <c r="L454" i="3"/>
  <c r="L461" i="3"/>
  <c r="L457" i="3"/>
  <c r="L458" i="3"/>
  <c r="L459" i="3"/>
  <c r="L460" i="3"/>
  <c r="L464" i="3"/>
  <c r="L465" i="3"/>
  <c r="L466" i="3"/>
  <c r="L467" i="3"/>
  <c r="L468" i="3"/>
  <c r="L462" i="3"/>
  <c r="L463" i="3"/>
  <c r="L469" i="3"/>
  <c r="L471" i="3"/>
  <c r="L470" i="3"/>
  <c r="L472" i="3"/>
  <c r="L477" i="3"/>
  <c r="L473" i="3"/>
  <c r="L474" i="3"/>
  <c r="L475" i="3"/>
  <c r="L480" i="3"/>
  <c r="L481" i="3"/>
  <c r="L478" i="3"/>
  <c r="L479" i="3"/>
  <c r="L476" i="3"/>
  <c r="L483" i="3"/>
  <c r="L482" i="3"/>
  <c r="L489" i="3"/>
  <c r="L490" i="3"/>
  <c r="L484" i="3"/>
  <c r="L485" i="3"/>
  <c r="L486" i="3"/>
  <c r="L487" i="3"/>
  <c r="L488" i="3"/>
  <c r="L491" i="3"/>
  <c r="L492" i="3"/>
  <c r="L497" i="3"/>
  <c r="L493" i="3"/>
  <c r="L494" i="3"/>
  <c r="L495" i="3"/>
  <c r="L498" i="3"/>
  <c r="L499" i="3"/>
  <c r="L500" i="3"/>
  <c r="L501" i="3"/>
  <c r="L502" i="3"/>
  <c r="L503" i="3"/>
  <c r="L504" i="3"/>
  <c r="L507" i="3"/>
  <c r="L496" i="3"/>
  <c r="L505" i="3"/>
  <c r="L508" i="3"/>
  <c r="L506" i="3"/>
  <c r="L512" i="3"/>
  <c r="L513" i="3"/>
  <c r="L509" i="3"/>
  <c r="L510" i="3"/>
  <c r="L511" i="3"/>
  <c r="L514" i="3"/>
  <c r="L515" i="3"/>
  <c r="L516" i="3"/>
  <c r="L517" i="3"/>
  <c r="L519" i="3"/>
  <c r="L520" i="3"/>
  <c r="L521" i="3"/>
  <c r="L522" i="3"/>
  <c r="L523" i="3"/>
  <c r="L518" i="3"/>
  <c r="L525" i="3"/>
  <c r="L526" i="3"/>
  <c r="L527" i="3"/>
  <c r="L528" i="3"/>
  <c r="L524" i="3"/>
  <c r="L534" i="3"/>
  <c r="L535" i="3"/>
  <c r="L529" i="3"/>
  <c r="L536" i="3"/>
  <c r="L530" i="3"/>
  <c r="L531" i="3"/>
  <c r="L532" i="3"/>
  <c r="L537" i="3"/>
  <c r="L533" i="3"/>
  <c r="L538" i="3"/>
  <c r="L539" i="3"/>
  <c r="L540" i="3"/>
  <c r="L541" i="3"/>
  <c r="L542" i="3"/>
  <c r="L543" i="3"/>
  <c r="L545" i="3"/>
  <c r="L546" i="3"/>
  <c r="L548" i="3"/>
  <c r="L544" i="3"/>
  <c r="L554" i="3"/>
  <c r="L549" i="3"/>
  <c r="L550" i="3"/>
  <c r="L547" i="3"/>
  <c r="L551" i="3"/>
  <c r="L552" i="3"/>
  <c r="L553" i="3"/>
  <c r="L558" i="3"/>
  <c r="L559" i="3"/>
  <c r="L555" i="3"/>
  <c r="L556" i="3"/>
  <c r="L560" i="3"/>
  <c r="L561" i="3"/>
  <c r="L562" i="3"/>
  <c r="L563" i="3"/>
  <c r="L557" i="3"/>
  <c r="L568" i="3"/>
  <c r="L569" i="3"/>
  <c r="L570" i="3"/>
  <c r="L564" i="3"/>
  <c r="L565" i="3"/>
  <c r="L566" i="3"/>
  <c r="L575" i="3"/>
  <c r="L576" i="3"/>
  <c r="L571" i="3"/>
  <c r="L572" i="3"/>
  <c r="L573" i="3"/>
  <c r="L574" i="3"/>
  <c r="L577" i="3"/>
  <c r="L585" i="3"/>
  <c r="L578" i="3"/>
  <c r="L586" i="3"/>
  <c r="L579" i="3"/>
  <c r="L567" i="3"/>
  <c r="L580" i="3"/>
  <c r="L581" i="3"/>
  <c r="L582" i="3"/>
  <c r="L587" i="3"/>
  <c r="L588" i="3"/>
  <c r="L589" i="3"/>
  <c r="L590" i="3"/>
  <c r="L591" i="3"/>
  <c r="L592" i="3"/>
  <c r="L593" i="3"/>
  <c r="L583" i="3"/>
  <c r="L594" i="3"/>
  <c r="L596" i="3"/>
  <c r="L597" i="3"/>
  <c r="L598" i="3"/>
  <c r="L595" i="3"/>
  <c r="L584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6" i="3"/>
  <c r="L627" i="3"/>
  <c r="L628" i="3"/>
  <c r="L624" i="3"/>
  <c r="L632" i="3"/>
  <c r="L633" i="3"/>
  <c r="L634" i="3"/>
  <c r="L629" i="3"/>
  <c r="L635" i="3"/>
  <c r="L630" i="3"/>
  <c r="L631" i="3"/>
  <c r="L637" i="3"/>
  <c r="L638" i="3"/>
  <c r="L636" i="3"/>
  <c r="L639" i="3"/>
  <c r="L644" i="3"/>
  <c r="L645" i="3"/>
  <c r="L646" i="3"/>
  <c r="L640" i="3"/>
  <c r="L641" i="3"/>
  <c r="L642" i="3"/>
  <c r="L647" i="3"/>
  <c r="L648" i="3"/>
  <c r="L643" i="3"/>
  <c r="L649" i="3"/>
  <c r="L650" i="3"/>
  <c r="L653" i="3"/>
  <c r="L651" i="3"/>
  <c r="L654" i="3"/>
  <c r="L652" i="3"/>
  <c r="L662" i="3"/>
  <c r="L663" i="3"/>
  <c r="L655" i="3"/>
  <c r="L664" i="3"/>
  <c r="L665" i="3"/>
  <c r="L656" i="3"/>
  <c r="L657" i="3"/>
  <c r="L658" i="3"/>
  <c r="L659" i="3"/>
  <c r="L660" i="3"/>
  <c r="L669" i="3"/>
  <c r="L670" i="3"/>
  <c r="L671" i="3"/>
  <c r="L666" i="3"/>
  <c r="L672" i="3"/>
  <c r="L673" i="3"/>
  <c r="L674" i="3"/>
  <c r="L667" i="3"/>
  <c r="L675" i="3"/>
  <c r="L676" i="3"/>
  <c r="L668" i="3"/>
  <c r="L661" i="3"/>
  <c r="L677" i="3"/>
  <c r="L678" i="3"/>
  <c r="L692" i="3"/>
  <c r="L693" i="3"/>
  <c r="L679" i="3"/>
  <c r="L680" i="3"/>
  <c r="L681" i="3"/>
  <c r="L694" i="3"/>
  <c r="L682" i="3"/>
  <c r="L683" i="3"/>
  <c r="L684" i="3"/>
  <c r="L685" i="3"/>
  <c r="L686" i="3"/>
  <c r="L687" i="3"/>
  <c r="L688" i="3"/>
  <c r="L689" i="3"/>
  <c r="L690" i="3"/>
  <c r="L691" i="3"/>
  <c r="L703" i="3"/>
  <c r="L695" i="3"/>
  <c r="L696" i="3"/>
  <c r="L697" i="3"/>
  <c r="L698" i="3"/>
  <c r="L699" i="3"/>
  <c r="L700" i="3"/>
  <c r="L701" i="3"/>
  <c r="L702" i="3"/>
  <c r="L704" i="3"/>
  <c r="L712" i="3"/>
  <c r="L713" i="3"/>
  <c r="L714" i="3"/>
  <c r="L705" i="3"/>
  <c r="L706" i="3"/>
  <c r="L707" i="3"/>
  <c r="L715" i="3"/>
  <c r="L708" i="3"/>
  <c r="L709" i="3"/>
  <c r="L710" i="3"/>
  <c r="L711" i="3"/>
  <c r="L721" i="3"/>
  <c r="L722" i="3"/>
  <c r="L716" i="3"/>
  <c r="L717" i="3"/>
  <c r="L718" i="3"/>
  <c r="L723" i="3"/>
  <c r="L724" i="3"/>
  <c r="L725" i="3"/>
  <c r="L726" i="3"/>
  <c r="L719" i="3"/>
  <c r="L729" i="3"/>
  <c r="L727" i="3"/>
  <c r="L730" i="3"/>
  <c r="L731" i="3"/>
  <c r="L728" i="3"/>
  <c r="L732" i="3"/>
  <c r="L739" i="3"/>
  <c r="L733" i="3"/>
  <c r="L734" i="3"/>
  <c r="L735" i="3"/>
  <c r="L736" i="3"/>
  <c r="L737" i="3"/>
  <c r="L738" i="3"/>
  <c r="L749" i="3"/>
  <c r="L750" i="3"/>
  <c r="L751" i="3"/>
  <c r="L752" i="3"/>
  <c r="L753" i="3"/>
  <c r="L754" i="3"/>
  <c r="L740" i="3"/>
  <c r="L755" i="3"/>
  <c r="L720" i="3"/>
  <c r="L741" i="3"/>
  <c r="L742" i="3"/>
  <c r="L743" i="3"/>
  <c r="L744" i="3"/>
  <c r="L745" i="3"/>
  <c r="L746" i="3"/>
  <c r="L747" i="3"/>
  <c r="L748" i="3"/>
  <c r="L764" i="3"/>
  <c r="L756" i="3"/>
  <c r="L757" i="3"/>
  <c r="L758" i="3"/>
  <c r="L759" i="3"/>
  <c r="L760" i="3"/>
  <c r="L761" i="3"/>
  <c r="L762" i="3"/>
  <c r="L765" i="3"/>
  <c r="L763" i="3"/>
  <c r="L769" i="3"/>
  <c r="L766" i="3"/>
  <c r="L767" i="3"/>
  <c r="L768" i="3"/>
  <c r="L772" i="3"/>
  <c r="L773" i="3"/>
  <c r="L774" i="3"/>
  <c r="L775" i="3"/>
  <c r="L776" i="3"/>
  <c r="L770" i="3"/>
  <c r="L771" i="3"/>
  <c r="L777" i="3"/>
  <c r="L778" i="3"/>
  <c r="L779" i="3"/>
  <c r="L781" i="3"/>
  <c r="L780" i="3"/>
  <c r="L782" i="3"/>
  <c r="L787" i="3"/>
  <c r="L788" i="3"/>
  <c r="L789" i="3"/>
  <c r="L783" i="3"/>
  <c r="L790" i="3"/>
  <c r="L784" i="3"/>
  <c r="L785" i="3"/>
  <c r="L786" i="3"/>
  <c r="L791" i="3"/>
  <c r="L792" i="3"/>
  <c r="L798" i="3"/>
  <c r="L799" i="3"/>
  <c r="L793" i="3"/>
  <c r="L800" i="3"/>
  <c r="L801" i="3"/>
  <c r="L794" i="3"/>
  <c r="L795" i="3"/>
  <c r="L796" i="3"/>
  <c r="L797" i="3"/>
  <c r="L802" i="3"/>
  <c r="L803" i="3"/>
  <c r="L805" i="3"/>
  <c r="L804" i="3"/>
  <c r="L806" i="3"/>
  <c r="L812" i="3"/>
  <c r="L813" i="3"/>
  <c r="L807" i="3"/>
  <c r="L808" i="3"/>
  <c r="L809" i="3"/>
  <c r="L810" i="3"/>
  <c r="L811" i="3"/>
  <c r="L814" i="3"/>
  <c r="L818" i="3"/>
  <c r="L815" i="3"/>
  <c r="L816" i="3"/>
  <c r="L817" i="3"/>
  <c r="L820" i="3"/>
  <c r="L821" i="3"/>
  <c r="L819" i="3"/>
  <c r="L822" i="3"/>
  <c r="L827" i="3"/>
  <c r="L823" i="3"/>
  <c r="L824" i="3"/>
  <c r="L825" i="3"/>
  <c r="L826" i="3"/>
  <c r="L828" i="3"/>
  <c r="L829" i="3"/>
  <c r="L832" i="3"/>
  <c r="L833" i="3"/>
  <c r="L834" i="3"/>
  <c r="L830" i="3"/>
  <c r="L831" i="3"/>
  <c r="L845" i="3"/>
  <c r="L846" i="3"/>
  <c r="L847" i="3"/>
  <c r="L835" i="3"/>
  <c r="L848" i="3"/>
  <c r="L836" i="3"/>
  <c r="L837" i="3"/>
  <c r="L838" i="3"/>
  <c r="L839" i="3"/>
  <c r="L840" i="3"/>
  <c r="L841" i="3"/>
  <c r="L842" i="3"/>
  <c r="L843" i="3"/>
  <c r="L849" i="3"/>
  <c r="L850" i="3"/>
  <c r="L844" i="3"/>
  <c r="L851" i="3"/>
  <c r="L852" i="3"/>
  <c r="L853" i="3"/>
  <c r="L860" i="3"/>
  <c r="L861" i="3"/>
  <c r="L862" i="3"/>
  <c r="L863" i="3"/>
  <c r="L854" i="3"/>
  <c r="L855" i="3"/>
  <c r="L856" i="3"/>
  <c r="L857" i="3"/>
  <c r="L858" i="3"/>
  <c r="L859" i="3"/>
  <c r="L864" i="3"/>
  <c r="L869" i="3"/>
  <c r="L870" i="3"/>
  <c r="L871" i="3"/>
  <c r="L872" i="3"/>
  <c r="L873" i="3"/>
  <c r="L874" i="3"/>
  <c r="L875" i="3"/>
  <c r="L865" i="3"/>
  <c r="L866" i="3"/>
  <c r="L867" i="3"/>
  <c r="L876" i="3"/>
  <c r="L882" i="3"/>
  <c r="L877" i="3"/>
  <c r="L883" i="3"/>
  <c r="L878" i="3"/>
  <c r="L879" i="3"/>
  <c r="L884" i="3"/>
  <c r="L880" i="3"/>
  <c r="L891" i="3"/>
  <c r="L892" i="3"/>
  <c r="L893" i="3"/>
  <c r="L885" i="3"/>
  <c r="L881" i="3"/>
  <c r="L886" i="3"/>
  <c r="L887" i="3"/>
  <c r="L888" i="3"/>
  <c r="L894" i="3"/>
  <c r="L889" i="3"/>
  <c r="L890" i="3"/>
  <c r="L896" i="3"/>
  <c r="L897" i="3"/>
  <c r="L898" i="3"/>
  <c r="L899" i="3"/>
  <c r="L895" i="3"/>
  <c r="L900" i="3"/>
  <c r="L901" i="3"/>
  <c r="L902" i="3"/>
  <c r="L903" i="3"/>
  <c r="L904" i="3"/>
  <c r="L905" i="3"/>
  <c r="L909" i="3"/>
  <c r="L906" i="3"/>
  <c r="L907" i="3"/>
  <c r="L908" i="3"/>
  <c r="L912" i="3"/>
  <c r="L913" i="3"/>
  <c r="L914" i="3"/>
  <c r="L915" i="3"/>
  <c r="L916" i="3"/>
  <c r="L910" i="3"/>
  <c r="L911" i="3"/>
  <c r="L920" i="3"/>
  <c r="L921" i="3"/>
  <c r="L917" i="3"/>
  <c r="L918" i="3"/>
  <c r="L922" i="3"/>
  <c r="L919" i="3"/>
  <c r="L924" i="3"/>
  <c r="L925" i="3"/>
  <c r="L923" i="3"/>
  <c r="L929" i="3"/>
  <c r="L926" i="3"/>
  <c r="L927" i="3"/>
  <c r="L928" i="3"/>
  <c r="L930" i="3"/>
  <c r="L931" i="3"/>
  <c r="L941" i="3"/>
  <c r="L942" i="3"/>
  <c r="L932" i="3"/>
  <c r="L933" i="3"/>
  <c r="L934" i="3"/>
  <c r="L935" i="3"/>
  <c r="L936" i="3"/>
  <c r="L937" i="3"/>
  <c r="L938" i="3"/>
  <c r="L939" i="3"/>
  <c r="L940" i="3"/>
  <c r="L945" i="3"/>
  <c r="L943" i="3"/>
  <c r="L944" i="3"/>
  <c r="L948" i="3"/>
  <c r="L949" i="3"/>
  <c r="L946" i="3"/>
  <c r="L947" i="3"/>
  <c r="L953" i="3"/>
  <c r="L954" i="3"/>
  <c r="L955" i="3"/>
  <c r="L950" i="3"/>
  <c r="L956" i="3"/>
  <c r="L951" i="3"/>
  <c r="L952" i="3"/>
  <c r="L957" i="3"/>
  <c r="L960" i="3"/>
  <c r="L961" i="3"/>
  <c r="L962" i="3"/>
  <c r="L958" i="3"/>
  <c r="L963" i="3"/>
  <c r="L964" i="3"/>
  <c r="L965" i="3"/>
  <c r="L968" i="3"/>
  <c r="L969" i="3"/>
  <c r="L970" i="3"/>
  <c r="L971" i="3"/>
  <c r="L966" i="3"/>
  <c r="L967" i="3"/>
  <c r="L974" i="3"/>
  <c r="L959" i="3"/>
  <c r="L975" i="3"/>
  <c r="L977" i="3"/>
  <c r="L976" i="3"/>
  <c r="L978" i="3"/>
  <c r="L979" i="3"/>
  <c r="L972" i="3"/>
  <c r="L973" i="3"/>
  <c r="L980" i="3"/>
  <c r="L985" i="3"/>
  <c r="L986" i="3"/>
  <c r="L982" i="3"/>
  <c r="L983" i="3"/>
  <c r="L994" i="3"/>
  <c r="L987" i="3"/>
  <c r="L988" i="3"/>
  <c r="L989" i="3"/>
  <c r="L990" i="3"/>
  <c r="L991" i="3"/>
  <c r="L984" i="3"/>
  <c r="L998" i="3"/>
  <c r="L999" i="3"/>
  <c r="L1000" i="3"/>
  <c r="L1001" i="3"/>
  <c r="L1002" i="3"/>
  <c r="L1003" i="3"/>
  <c r="L1004" i="3"/>
  <c r="L1005" i="3"/>
  <c r="L995" i="3"/>
  <c r="L996" i="3"/>
  <c r="L992" i="3"/>
  <c r="L997" i="3"/>
  <c r="L1008" i="3"/>
  <c r="L1009" i="3"/>
  <c r="L1010" i="3"/>
  <c r="L1011" i="3"/>
  <c r="L981" i="3"/>
  <c r="L1006" i="3"/>
  <c r="L1007" i="3"/>
  <c r="L1014" i="3"/>
  <c r="L1012" i="3"/>
  <c r="L1015" i="3"/>
  <c r="L1016" i="3"/>
  <c r="L1017" i="3"/>
  <c r="L1018" i="3"/>
  <c r="L1019" i="3"/>
  <c r="L1020" i="3"/>
  <c r="L1021" i="3"/>
  <c r="L1013" i="3"/>
  <c r="L1026" i="3"/>
  <c r="L1022" i="3"/>
  <c r="L1027" i="3"/>
  <c r="L1028" i="3"/>
  <c r="L1029" i="3"/>
  <c r="L993" i="3"/>
  <c r="L1023" i="3"/>
  <c r="L1024" i="3"/>
  <c r="L1025" i="3"/>
  <c r="L1030" i="3"/>
  <c r="L1037" i="3"/>
  <c r="L1038" i="3"/>
  <c r="L1039" i="3"/>
  <c r="L1040" i="3"/>
  <c r="L1031" i="3"/>
  <c r="L1032" i="3"/>
  <c r="L1033" i="3"/>
  <c r="L1034" i="3"/>
  <c r="L1035" i="3"/>
  <c r="L1036" i="3"/>
  <c r="L1041" i="3"/>
  <c r="L1046" i="3"/>
  <c r="L1047" i="3"/>
  <c r="L1042" i="3"/>
  <c r="L1043" i="3"/>
  <c r="L1044" i="3"/>
  <c r="L1048" i="3"/>
  <c r="L1045" i="3"/>
  <c r="L1052" i="3"/>
  <c r="L1053" i="3"/>
  <c r="L1054" i="3"/>
  <c r="L1055" i="3"/>
  <c r="L1056" i="3"/>
  <c r="L1057" i="3"/>
  <c r="L1058" i="3"/>
  <c r="L1059" i="3"/>
  <c r="L1060" i="3"/>
  <c r="L1049" i="3"/>
  <c r="L1050" i="3"/>
  <c r="L1051" i="3"/>
  <c r="L1061" i="3"/>
  <c r="L1062" i="3"/>
  <c r="L1063" i="3"/>
  <c r="L1064" i="3"/>
  <c r="L1065" i="3"/>
  <c r="L1066" i="3"/>
  <c r="L1067" i="3"/>
  <c r="L1070" i="3"/>
  <c r="L1071" i="3"/>
  <c r="L1072" i="3"/>
  <c r="L1073" i="3"/>
  <c r="L1074" i="3"/>
  <c r="L1068" i="3"/>
  <c r="L1069" i="3"/>
  <c r="L1083" i="3"/>
  <c r="L1084" i="3"/>
  <c r="L1085" i="3"/>
  <c r="L1086" i="3"/>
  <c r="L1075" i="3"/>
  <c r="L1076" i="3"/>
  <c r="L1077" i="3"/>
  <c r="L1078" i="3"/>
  <c r="L1079" i="3"/>
  <c r="L1080" i="3"/>
  <c r="L1081" i="3"/>
  <c r="L1082" i="3"/>
  <c r="L1087" i="3"/>
  <c r="L1088" i="3"/>
  <c r="L1089" i="3"/>
  <c r="L1093" i="3"/>
  <c r="L1094" i="3"/>
  <c r="L1095" i="3"/>
  <c r="L1090" i="3"/>
  <c r="L1091" i="3"/>
  <c r="L1096" i="3"/>
  <c r="L1097" i="3"/>
  <c r="L1098" i="3"/>
  <c r="L1099" i="3"/>
  <c r="L1101" i="3"/>
  <c r="L1102" i="3"/>
  <c r="L1100" i="3"/>
  <c r="L1103" i="3"/>
  <c r="L1104" i="3"/>
  <c r="L1105" i="3"/>
  <c r="L1107" i="3"/>
  <c r="L1108" i="3"/>
  <c r="L1109" i="3"/>
  <c r="L1110" i="3"/>
  <c r="L1106" i="3"/>
  <c r="L1111" i="3"/>
  <c r="L1112" i="3"/>
  <c r="L1113" i="3"/>
  <c r="L1117" i="3"/>
  <c r="L1114" i="3"/>
  <c r="L1115" i="3"/>
  <c r="L1118" i="3"/>
  <c r="L1116" i="3"/>
  <c r="L1120" i="3"/>
  <c r="L1121" i="3"/>
  <c r="L1119" i="3"/>
  <c r="L1122" i="3"/>
  <c r="L1123" i="3"/>
  <c r="L1124" i="3"/>
  <c r="L1125" i="3"/>
  <c r="L1126" i="3"/>
  <c r="L1127" i="3"/>
  <c r="L1128" i="3"/>
  <c r="L1130" i="3"/>
  <c r="L1129" i="3"/>
  <c r="L1131" i="3"/>
  <c r="L1133" i="3"/>
  <c r="L1141" i="3"/>
  <c r="L1134" i="3"/>
  <c r="L1135" i="3"/>
  <c r="L1132" i="3"/>
  <c r="L1136" i="3"/>
  <c r="L1137" i="3"/>
  <c r="L1138" i="3"/>
  <c r="L1139" i="3"/>
  <c r="L1140" i="3"/>
  <c r="L1142" i="3"/>
  <c r="L1143" i="3"/>
  <c r="L1144" i="3"/>
  <c r="L1145" i="3"/>
  <c r="L1146" i="3"/>
  <c r="L1147" i="3"/>
  <c r="L1148" i="3"/>
  <c r="L1150" i="3"/>
  <c r="L1151" i="3"/>
  <c r="L1149" i="3"/>
  <c r="L1152" i="3"/>
  <c r="L1153" i="3"/>
  <c r="L1155" i="3"/>
  <c r="L1156" i="3"/>
  <c r="L1157" i="3"/>
  <c r="L1158" i="3"/>
  <c r="L1154" i="3"/>
  <c r="L1162" i="3"/>
  <c r="L1159" i="3"/>
  <c r="L1160" i="3"/>
  <c r="L1161" i="3"/>
  <c r="L1165" i="3"/>
  <c r="L1163" i="3"/>
  <c r="L1164" i="3"/>
  <c r="L1166" i="3"/>
  <c r="L1169" i="3"/>
  <c r="L1167" i="3"/>
  <c r="L1170" i="3"/>
  <c r="L1174" i="3"/>
  <c r="L1175" i="3"/>
  <c r="L1176" i="3"/>
  <c r="L1177" i="3"/>
  <c r="L1171" i="3"/>
  <c r="L1172" i="3"/>
  <c r="L1178" i="3"/>
  <c r="L1173" i="3"/>
  <c r="L1183" i="3"/>
  <c r="L1179" i="3"/>
  <c r="L1180" i="3"/>
  <c r="L1181" i="3"/>
  <c r="L1182" i="3"/>
  <c r="L1184" i="3"/>
  <c r="L1185" i="3"/>
  <c r="L1186" i="3"/>
  <c r="L1187" i="3"/>
  <c r="L1193" i="3"/>
  <c r="L1188" i="3"/>
  <c r="L1189" i="3"/>
  <c r="L1190" i="3"/>
  <c r="L1191" i="3"/>
  <c r="L1192" i="3"/>
  <c r="L1194" i="3"/>
  <c r="L1198" i="3"/>
  <c r="L1199" i="3"/>
  <c r="L1200" i="3"/>
  <c r="L1195" i="3"/>
  <c r="L1196" i="3"/>
  <c r="L1197" i="3"/>
  <c r="L1201" i="3"/>
  <c r="L1203" i="3"/>
  <c r="L1204" i="3"/>
  <c r="L1205" i="3"/>
  <c r="L1202" i="3"/>
  <c r="L1206" i="3"/>
  <c r="L1207" i="3"/>
  <c r="L1208" i="3"/>
  <c r="L1209" i="3"/>
  <c r="L1210" i="3"/>
  <c r="L1211" i="3"/>
  <c r="L1212" i="3"/>
  <c r="L1213" i="3"/>
  <c r="L1214" i="3"/>
  <c r="L1216" i="3"/>
  <c r="L1215" i="3"/>
  <c r="L1221" i="3"/>
  <c r="L1222" i="3"/>
  <c r="L1217" i="3"/>
  <c r="L1218" i="3"/>
  <c r="L1219" i="3"/>
  <c r="L1223" i="3"/>
  <c r="L1220" i="3"/>
  <c r="L1224" i="3"/>
  <c r="L1225" i="3"/>
  <c r="L1226" i="3"/>
  <c r="L1227" i="3"/>
  <c r="L1228" i="3"/>
  <c r="L1229" i="3"/>
  <c r="L1230" i="3"/>
  <c r="L1231" i="3"/>
  <c r="L1237" i="3"/>
  <c r="L1238" i="3"/>
  <c r="L1239" i="3"/>
  <c r="L1232" i="3"/>
  <c r="L1233" i="3"/>
  <c r="L1234" i="3"/>
  <c r="L1235" i="3"/>
  <c r="L1236" i="3"/>
  <c r="L1243" i="3"/>
  <c r="L1244" i="3"/>
  <c r="L1245" i="3"/>
  <c r="L1246" i="3"/>
  <c r="L1247" i="3"/>
  <c r="L1248" i="3"/>
  <c r="L1249" i="3"/>
  <c r="L1250" i="3"/>
  <c r="L1240" i="3"/>
  <c r="L1251" i="3"/>
  <c r="L1241" i="3"/>
  <c r="L1242" i="3"/>
  <c r="L1252" i="3"/>
  <c r="L1253" i="3"/>
  <c r="L1256" i="3"/>
  <c r="L1254" i="3"/>
  <c r="L1255" i="3"/>
  <c r="L1257" i="3"/>
  <c r="L1262" i="3"/>
  <c r="L1263" i="3"/>
  <c r="L1264" i="3"/>
  <c r="L1258" i="3"/>
  <c r="L1259" i="3"/>
  <c r="L1260" i="3"/>
  <c r="L1265" i="3"/>
  <c r="L1270" i="3"/>
  <c r="L1266" i="3"/>
  <c r="L1271" i="3"/>
  <c r="L1272" i="3"/>
  <c r="L1273" i="3"/>
  <c r="L1274" i="3"/>
  <c r="L1275" i="3"/>
  <c r="L1276" i="3"/>
  <c r="L1267" i="3"/>
  <c r="L1268" i="3"/>
  <c r="L1269" i="3"/>
  <c r="L1279" i="3"/>
  <c r="L1280" i="3"/>
  <c r="L1281" i="3"/>
  <c r="L1277" i="3"/>
  <c r="L1278" i="3"/>
  <c r="L1283" i="3"/>
  <c r="L1282" i="3"/>
  <c r="L1284" i="3"/>
  <c r="L1290" i="3"/>
  <c r="L1285" i="3"/>
  <c r="L1286" i="3"/>
  <c r="L1287" i="3"/>
  <c r="L1291" i="3"/>
  <c r="L1288" i="3"/>
  <c r="L1289" i="3"/>
  <c r="L1294" i="3"/>
  <c r="L1295" i="3"/>
  <c r="L1292" i="3"/>
  <c r="L1293" i="3"/>
  <c r="L1299" i="3"/>
  <c r="L1296" i="3"/>
  <c r="L1300" i="3"/>
  <c r="L1297" i="3"/>
  <c r="L1298" i="3"/>
  <c r="L1301" i="3"/>
  <c r="L1307" i="3"/>
  <c r="L1308" i="3"/>
  <c r="L1309" i="3"/>
  <c r="L1310" i="3"/>
  <c r="L1311" i="3"/>
  <c r="L1312" i="3"/>
  <c r="L1313" i="3"/>
  <c r="L1314" i="3"/>
  <c r="L1315" i="3"/>
  <c r="L1316" i="3"/>
  <c r="L1302" i="3"/>
  <c r="L1303" i="3"/>
  <c r="L1304" i="3"/>
  <c r="L1305" i="3"/>
  <c r="L1306" i="3"/>
  <c r="L1317" i="3"/>
  <c r="L1322" i="3"/>
  <c r="L1323" i="3"/>
  <c r="L1324" i="3"/>
  <c r="L1325" i="3"/>
  <c r="L1326" i="3"/>
  <c r="L1327" i="3"/>
  <c r="L1328" i="3"/>
  <c r="L1329" i="3"/>
  <c r="L1330" i="3"/>
  <c r="L1318" i="3"/>
  <c r="L1319" i="3"/>
  <c r="L1320" i="3"/>
  <c r="L1321" i="3"/>
  <c r="L1331" i="3"/>
  <c r="L1332" i="3"/>
  <c r="L1337" i="3"/>
  <c r="L1338" i="3"/>
  <c r="L1339" i="3"/>
  <c r="L1333" i="3"/>
  <c r="L1334" i="3"/>
  <c r="L1335" i="3"/>
  <c r="L1336" i="3"/>
  <c r="L1340" i="3"/>
  <c r="L1342" i="3"/>
  <c r="L1341" i="3"/>
  <c r="L1348" i="3"/>
  <c r="L1349" i="3"/>
  <c r="L1350" i="3"/>
  <c r="L1351" i="3"/>
  <c r="L1343" i="3"/>
  <c r="L1344" i="3"/>
  <c r="L1345" i="3"/>
  <c r="L1346" i="3"/>
  <c r="L1347" i="3"/>
  <c r="L1352" i="3"/>
  <c r="L1354" i="3"/>
  <c r="L1353" i="3"/>
  <c r="L1355" i="3"/>
  <c r="L1360" i="3"/>
  <c r="L1361" i="3"/>
  <c r="L1362" i="3"/>
  <c r="L1356" i="3"/>
  <c r="L1357" i="3"/>
  <c r="L1358" i="3"/>
  <c r="L1359" i="3"/>
  <c r="L1363" i="3"/>
  <c r="L1366" i="3"/>
  <c r="L1367" i="3"/>
  <c r="L1364" i="3"/>
  <c r="L1365" i="3"/>
  <c r="L1368" i="3"/>
  <c r="L1369" i="3"/>
  <c r="L1370" i="3"/>
  <c r="L1371" i="3"/>
  <c r="L1372" i="3"/>
  <c r="L1373" i="3"/>
  <c r="L1378" i="3"/>
  <c r="L1376" i="3"/>
  <c r="L1374" i="3"/>
  <c r="L1379" i="3"/>
  <c r="L1380" i="3"/>
  <c r="L1381" i="3"/>
  <c r="L1382" i="3"/>
  <c r="L1383" i="3"/>
  <c r="L1377" i="3"/>
  <c r="L1384" i="3"/>
  <c r="L1385" i="3"/>
  <c r="L1389" i="3"/>
  <c r="L1390" i="3"/>
  <c r="L1387" i="3"/>
  <c r="L1391" i="3"/>
  <c r="L1392" i="3"/>
  <c r="L1388" i="3"/>
  <c r="L1386" i="3"/>
  <c r="L1393" i="3"/>
  <c r="L1398" i="3"/>
  <c r="L1399" i="3"/>
  <c r="L1400" i="3"/>
  <c r="L1394" i="3"/>
  <c r="L1395" i="3"/>
  <c r="L1401" i="3"/>
  <c r="L1402" i="3"/>
  <c r="L1396" i="3"/>
  <c r="L1397" i="3"/>
  <c r="L1404" i="3"/>
  <c r="L1405" i="3"/>
  <c r="L1406" i="3"/>
  <c r="L1407" i="3"/>
  <c r="L1403" i="3"/>
  <c r="L1410" i="3"/>
  <c r="L1411" i="3"/>
  <c r="L1408" i="3"/>
  <c r="L1409" i="3"/>
  <c r="L1414" i="3"/>
  <c r="L1415" i="3"/>
  <c r="L1416" i="3"/>
  <c r="L1412" i="3"/>
  <c r="L1413" i="3"/>
  <c r="L1418" i="3"/>
  <c r="L1419" i="3"/>
  <c r="L1420" i="3"/>
  <c r="L1421" i="3"/>
  <c r="L1417" i="3"/>
  <c r="L1422" i="3"/>
  <c r="L1426" i="3"/>
  <c r="L1423" i="3"/>
  <c r="L1424" i="3"/>
  <c r="L1427" i="3"/>
  <c r="L1425" i="3"/>
  <c r="L1433" i="3"/>
  <c r="L1434" i="3"/>
  <c r="L1435" i="3"/>
  <c r="L1436" i="3"/>
  <c r="L1428" i="3"/>
  <c r="L1429" i="3"/>
  <c r="L1430" i="3"/>
  <c r="L1437" i="3"/>
  <c r="L1438" i="3"/>
  <c r="L1431" i="3"/>
  <c r="L1439" i="3"/>
  <c r="L1432" i="3"/>
  <c r="L1440" i="3"/>
  <c r="L1441" i="3"/>
  <c r="L1442" i="3"/>
  <c r="L1449" i="3"/>
  <c r="L1450" i="3"/>
  <c r="L1451" i="3"/>
  <c r="L1452" i="3"/>
  <c r="L1443" i="3"/>
  <c r="L1453" i="3"/>
  <c r="L1454" i="3"/>
  <c r="L1455" i="3"/>
  <c r="L1444" i="3"/>
  <c r="L1445" i="3"/>
  <c r="L1446" i="3"/>
  <c r="L1447" i="3"/>
  <c r="L1448" i="3"/>
  <c r="L1456" i="3"/>
  <c r="L1459" i="3"/>
  <c r="L1460" i="3"/>
  <c r="L1461" i="3"/>
  <c r="L1462" i="3"/>
  <c r="L1463" i="3"/>
  <c r="L1457" i="3"/>
  <c r="L1464" i="3"/>
  <c r="L1465" i="3"/>
  <c r="L1458" i="3"/>
  <c r="L1466" i="3"/>
  <c r="L1467" i="3"/>
  <c r="L1474" i="3"/>
  <c r="L1475" i="3"/>
  <c r="L1468" i="3"/>
  <c r="L1469" i="3"/>
  <c r="L1470" i="3"/>
  <c r="L1471" i="3"/>
  <c r="L1476" i="3"/>
  <c r="L1477" i="3"/>
  <c r="L1480" i="3"/>
  <c r="L1478" i="3"/>
  <c r="L1481" i="3"/>
  <c r="L1479" i="3"/>
  <c r="L1484" i="3"/>
  <c r="L1482" i="3"/>
  <c r="L1485" i="3"/>
  <c r="L1483" i="3"/>
  <c r="L1486" i="3"/>
  <c r="L1487" i="3"/>
  <c r="L1488" i="3"/>
  <c r="L1472" i="3"/>
  <c r="L1489" i="3"/>
  <c r="L1490" i="3"/>
  <c r="L1491" i="3"/>
  <c r="L1492" i="3"/>
  <c r="L1493" i="3"/>
  <c r="L1495" i="3"/>
  <c r="L1496" i="3"/>
  <c r="L1497" i="3"/>
  <c r="L1498" i="3"/>
  <c r="L1499" i="3"/>
  <c r="L1494" i="3"/>
  <c r="L1503" i="3"/>
  <c r="L1504" i="3"/>
  <c r="L1500" i="3"/>
  <c r="L1501" i="3"/>
  <c r="L1502" i="3"/>
  <c r="L1505" i="3"/>
  <c r="L1510" i="3"/>
  <c r="L1511" i="3"/>
  <c r="L1506" i="3"/>
  <c r="L1507" i="3"/>
  <c r="L1508" i="3"/>
  <c r="L1509" i="3"/>
  <c r="L1513" i="3"/>
  <c r="L1514" i="3"/>
  <c r="L1515" i="3"/>
  <c r="L1516" i="3"/>
  <c r="L1517" i="3"/>
  <c r="L1518" i="3"/>
  <c r="L1519" i="3"/>
  <c r="L1512" i="3"/>
  <c r="L1520" i="3"/>
  <c r="L1522" i="3"/>
  <c r="L1523" i="3"/>
  <c r="L1521" i="3"/>
  <c r="L1528" i="3"/>
  <c r="L1529" i="3"/>
  <c r="L1530" i="3"/>
  <c r="L1531" i="3"/>
  <c r="L1524" i="3"/>
  <c r="L1525" i="3"/>
  <c r="L1526" i="3"/>
  <c r="L1527" i="3"/>
  <c r="L1535" i="3"/>
  <c r="L1536" i="3"/>
  <c r="L1537" i="3"/>
  <c r="L1532" i="3"/>
  <c r="L1538" i="3"/>
  <c r="L1539" i="3"/>
  <c r="L1533" i="3"/>
  <c r="L1534" i="3"/>
  <c r="L1542" i="3"/>
  <c r="L1543" i="3"/>
  <c r="L1540" i="3"/>
  <c r="L1541" i="3"/>
  <c r="L1550" i="3"/>
  <c r="L1551" i="3"/>
  <c r="L1552" i="3"/>
  <c r="L1544" i="3"/>
  <c r="L1553" i="3"/>
  <c r="L1554" i="3"/>
  <c r="L1545" i="3"/>
  <c r="L1546" i="3"/>
  <c r="L1547" i="3"/>
  <c r="L1548" i="3"/>
  <c r="L1549" i="3"/>
  <c r="L1557" i="3"/>
  <c r="L1558" i="3"/>
  <c r="L1559" i="3"/>
  <c r="L1555" i="3"/>
  <c r="L1556" i="3"/>
  <c r="L1563" i="3"/>
  <c r="L1560" i="3"/>
  <c r="L1561" i="3"/>
  <c r="L1562" i="3"/>
  <c r="L1564" i="3"/>
  <c r="L1565" i="3"/>
  <c r="L1566" i="3"/>
  <c r="L1568" i="3"/>
  <c r="L1569" i="3"/>
  <c r="L1570" i="3"/>
  <c r="L1571" i="3"/>
  <c r="L1572" i="3"/>
  <c r="L1567" i="3"/>
  <c r="L1574" i="3"/>
  <c r="L1575" i="3"/>
  <c r="L1573" i="3"/>
  <c r="L1581" i="3"/>
  <c r="L1576" i="3"/>
  <c r="L1577" i="3"/>
  <c r="L1578" i="3"/>
  <c r="L1579" i="3"/>
  <c r="L1586" i="3"/>
  <c r="L1587" i="3"/>
  <c r="L1582" i="3"/>
  <c r="L1583" i="3"/>
  <c r="L1584" i="3"/>
  <c r="L1585" i="3"/>
  <c r="L1593" i="3"/>
  <c r="L1588" i="3"/>
  <c r="L1589" i="3"/>
  <c r="L1590" i="3"/>
  <c r="L1597" i="3"/>
  <c r="L1594" i="3"/>
  <c r="L1598" i="3"/>
  <c r="L1595" i="3"/>
  <c r="L1596" i="3"/>
  <c r="L1601" i="3"/>
  <c r="L1602" i="3"/>
  <c r="L1603" i="3"/>
  <c r="L1599" i="3"/>
  <c r="L1600" i="3"/>
  <c r="L1591" i="3"/>
  <c r="L1592" i="3"/>
  <c r="L1606" i="3"/>
  <c r="L1607" i="3"/>
  <c r="L1608" i="3"/>
  <c r="L1604" i="3"/>
  <c r="L1605" i="3"/>
  <c r="L1612" i="3"/>
  <c r="L1613" i="3"/>
  <c r="L1609" i="3"/>
  <c r="L1610" i="3"/>
  <c r="L1611" i="3"/>
  <c r="L1615" i="3"/>
  <c r="L1616" i="3"/>
  <c r="L1617" i="3"/>
  <c r="L1618" i="3"/>
  <c r="L1614" i="3"/>
  <c r="L1620" i="3"/>
  <c r="L1621" i="3"/>
  <c r="L1622" i="3"/>
  <c r="L1619" i="3"/>
  <c r="L1623" i="3"/>
  <c r="L1624" i="3"/>
  <c r="L1628" i="3"/>
  <c r="L1629" i="3"/>
  <c r="L1625" i="3"/>
  <c r="L1630" i="3"/>
  <c r="L1631" i="3"/>
  <c r="L1626" i="3"/>
  <c r="L1627" i="3"/>
  <c r="L1635" i="3"/>
  <c r="L1636" i="3"/>
  <c r="L1637" i="3"/>
  <c r="L1638" i="3"/>
  <c r="L1639" i="3"/>
  <c r="L1640" i="3"/>
  <c r="L1641" i="3"/>
  <c r="L1642" i="3"/>
  <c r="L1632" i="3"/>
  <c r="L1633" i="3"/>
  <c r="L1634" i="3"/>
  <c r="L1643" i="3"/>
  <c r="L1644" i="3"/>
  <c r="L1645" i="3"/>
  <c r="L1646" i="3"/>
  <c r="L1647" i="3"/>
  <c r="L1648" i="3"/>
  <c r="L1649" i="3"/>
  <c r="L1653" i="3"/>
  <c r="L1654" i="3"/>
  <c r="L1655" i="3"/>
  <c r="L1656" i="3"/>
  <c r="L1657" i="3"/>
  <c r="L1658" i="3"/>
  <c r="L1659" i="3"/>
  <c r="L1660" i="3"/>
  <c r="L1650" i="3"/>
  <c r="L1651" i="3"/>
  <c r="L1652" i="3"/>
  <c r="L1661" i="3"/>
  <c r="L1669" i="3"/>
  <c r="L1662" i="3"/>
  <c r="L1663" i="3"/>
  <c r="L1664" i="3"/>
  <c r="L1665" i="3"/>
  <c r="L1666" i="3"/>
  <c r="L1667" i="3"/>
  <c r="L1668" i="3"/>
  <c r="L1670" i="3"/>
  <c r="L1676" i="3"/>
  <c r="L1677" i="3"/>
  <c r="L1678" i="3"/>
  <c r="L1671" i="3"/>
  <c r="L1672" i="3"/>
  <c r="L1680" i="3"/>
  <c r="L1681" i="3"/>
  <c r="L1673" i="3"/>
  <c r="L1682" i="3"/>
  <c r="L1683" i="3"/>
  <c r="L1684" i="3"/>
  <c r="L1685" i="3"/>
  <c r="L1686" i="3"/>
  <c r="L1679" i="3"/>
  <c r="L1674" i="3"/>
  <c r="L1687" i="3"/>
  <c r="L1688" i="3"/>
  <c r="L1689" i="3"/>
  <c r="L1690" i="3"/>
  <c r="L1693" i="3"/>
  <c r="L1694" i="3"/>
  <c r="L1691" i="3"/>
  <c r="L1692" i="3"/>
  <c r="L1700" i="3"/>
  <c r="L1701" i="3"/>
  <c r="L1702" i="3"/>
  <c r="L1703" i="3"/>
  <c r="L1695" i="3"/>
  <c r="L1696" i="3"/>
  <c r="L1697" i="3"/>
  <c r="L1704" i="3"/>
  <c r="L1698" i="3"/>
  <c r="L1708" i="3"/>
  <c r="L1705" i="3"/>
  <c r="L1709" i="3"/>
  <c r="L1710" i="3"/>
  <c r="L1711" i="3"/>
  <c r="L1699" i="3"/>
  <c r="L1706" i="3"/>
  <c r="L1707" i="3"/>
  <c r="L1715" i="3"/>
  <c r="L1716" i="3"/>
  <c r="L1717" i="3"/>
  <c r="L1718" i="3"/>
  <c r="L1719" i="3"/>
  <c r="L1720" i="3"/>
  <c r="L1712" i="3"/>
  <c r="L1713" i="3"/>
  <c r="L1714" i="3"/>
  <c r="L1721" i="3"/>
  <c r="L1727" i="3"/>
  <c r="L1728" i="3"/>
  <c r="L1722" i="3"/>
  <c r="L1723" i="3"/>
  <c r="L1724" i="3"/>
  <c r="L1725" i="3"/>
  <c r="L1726" i="3"/>
  <c r="L1729" i="3"/>
  <c r="L1733" i="3"/>
  <c r="L1734" i="3"/>
  <c r="L1735" i="3"/>
  <c r="L1730" i="3"/>
  <c r="L1731" i="3"/>
  <c r="L1732" i="3"/>
  <c r="L1739" i="3"/>
  <c r="L1740" i="3"/>
  <c r="L1741" i="3"/>
  <c r="L1742" i="3"/>
  <c r="L1736" i="3"/>
  <c r="L1737" i="3"/>
  <c r="L1753" i="3"/>
  <c r="L1743" i="3"/>
  <c r="L1744" i="3"/>
  <c r="L1745" i="3"/>
  <c r="L1746" i="3"/>
  <c r="L1747" i="3"/>
  <c r="L1748" i="3"/>
  <c r="L1749" i="3"/>
  <c r="L1750" i="3"/>
  <c r="L1738" i="3"/>
  <c r="L1751" i="3"/>
  <c r="L1754" i="3"/>
  <c r="L1752" i="3"/>
  <c r="L1758" i="3"/>
  <c r="L1759" i="3"/>
  <c r="L1760" i="3"/>
  <c r="L1755" i="3"/>
  <c r="L1756" i="3"/>
  <c r="L1765" i="3"/>
  <c r="L1766" i="3"/>
  <c r="L1767" i="3"/>
  <c r="L1761" i="3"/>
  <c r="L1762" i="3"/>
  <c r="L1763" i="3"/>
  <c r="L1757" i="3"/>
  <c r="L1768" i="3"/>
  <c r="L1772" i="3"/>
  <c r="L1773" i="3"/>
  <c r="L1774" i="3"/>
  <c r="L1775" i="3"/>
  <c r="L1769" i="3"/>
  <c r="L1770" i="3"/>
  <c r="L1771" i="3"/>
  <c r="L1780" i="3"/>
  <c r="L1776" i="3"/>
  <c r="L1777" i="3"/>
  <c r="L1778" i="3"/>
  <c r="L1779" i="3"/>
  <c r="L1764" i="3"/>
  <c r="L1783" i="3"/>
  <c r="L1781" i="3"/>
  <c r="L1784" i="3"/>
  <c r="L1785" i="3"/>
  <c r="L1786" i="3"/>
  <c r="L1787" i="3"/>
  <c r="L1789" i="3"/>
  <c r="L1790" i="3"/>
  <c r="L1791" i="3"/>
  <c r="L1792" i="3"/>
  <c r="L1788" i="3"/>
  <c r="L37" i="3"/>
  <c r="G50" i="1"/>
  <c r="G76" i="1"/>
  <c r="G113" i="1"/>
  <c r="G124" i="1"/>
  <c r="G145" i="1"/>
  <c r="G156" i="1"/>
  <c r="G184" i="1"/>
  <c r="G191" i="1"/>
  <c r="G207" i="1"/>
  <c r="G243" i="1"/>
  <c r="G250" i="1"/>
  <c r="G258" i="1"/>
  <c r="G278" i="1"/>
  <c r="G280" i="1"/>
  <c r="G297" i="1"/>
  <c r="G307" i="1"/>
  <c r="G324" i="1"/>
  <c r="G327" i="1"/>
  <c r="G393" i="1"/>
  <c r="G458" i="1"/>
  <c r="G559" i="1"/>
  <c r="G663" i="1"/>
  <c r="G717" i="1"/>
  <c r="G765" i="1"/>
  <c r="G812" i="1"/>
  <c r="G942" i="1"/>
  <c r="G977" i="1"/>
  <c r="G1038" i="1"/>
  <c r="G1146" i="1"/>
  <c r="G1189" i="1"/>
  <c r="G1196" i="1"/>
  <c r="G1242" i="1"/>
  <c r="G1284" i="1"/>
  <c r="G1308" i="1"/>
  <c r="G1394" i="1"/>
  <c r="G1435" i="1"/>
  <c r="G1453" i="1"/>
  <c r="G1515" i="1"/>
  <c r="G1534" i="1"/>
  <c r="G1549" i="1"/>
  <c r="G1591" i="1"/>
  <c r="G1604" i="1"/>
  <c r="G1615" i="1"/>
  <c r="G1677" i="1"/>
  <c r="G1710" i="1"/>
  <c r="G1748" i="1"/>
  <c r="G1765" i="1"/>
  <c r="G1795" i="1"/>
</calcChain>
</file>

<file path=xl/sharedStrings.xml><?xml version="1.0" encoding="utf-8"?>
<sst xmlns="http://schemas.openxmlformats.org/spreadsheetml/2006/main" count="26927" uniqueCount="6543">
  <si>
    <t>Date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</si>
  <si>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</si>
  <si>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</si>
  <si>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</si>
  <si>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</si>
  <si>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</si>
  <si>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</si>
  <si>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</si>
  <si>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</si>
  <si>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</si>
  <si>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</si>
  <si>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PRIME VIDEO *NU8SR16888-802-3080        WA</t>
  </si>
  <si>
    <t>42KLI5WKSLR DIGITAL
PRIME VIDEO *NU8SR1662
888-802-3080
WA
DIGITAL</t>
  </si>
  <si>
    <t>1512 2ND AVE</t>
  </si>
  <si>
    <t>SEATTLE
WA</t>
  </si>
  <si>
    <t>98101-1508</t>
  </si>
  <si>
    <t>UNITED STATES</t>
  </si>
  <si>
    <t>'320252980027719335'</t>
  </si>
  <si>
    <t>Merchandise &amp; Supplies-Internet Purchase</t>
  </si>
  <si>
    <t>Interest Charge on Purchases</t>
  </si>
  <si>
    <t>'151025060000077188'</t>
  </si>
  <si>
    <t>Fees &amp; Adjustments-Fees &amp; Adjustments</t>
  </si>
  <si>
    <t>ONLINE PAYMENT - THANK YOU</t>
  </si>
  <si>
    <t>'320252970019749578'</t>
  </si>
  <si>
    <t>PRIME VIDEO *NU6F775888-802-3080        WA</t>
  </si>
  <si>
    <t>6X5MRC3GIW5 DIGITAL
PRIME VIDEO *NU6F775F2
888-802-3080
WA
DIGITAL</t>
  </si>
  <si>
    <t>'320252980048196154'</t>
  </si>
  <si>
    <t>ERACTOLL 9L9D62     877-860-1258        NY</t>
  </si>
  <si>
    <t>T212569511  877-860-1258
ERACTOLL 9L9D62
877-860-1258
NY
Description : ERACTOLL 9L9D62 Price : 0.00
877-860-1258</t>
  </si>
  <si>
    <t>-</t>
  </si>
  <si>
    <t>'320252960980482192'</t>
  </si>
  <si>
    <t>Transportation-Tolls &amp; Fees</t>
  </si>
  <si>
    <t>OPENAI *CHATGPT SUBSSAN FRANCISCO       CA</t>
  </si>
  <si>
    <t>CH_3SL37PC6 +14158799686
OPENAI *CHATGPT SUBSCR
SAN FRANCISCO
CA
+14158799686</t>
  </si>
  <si>
    <t>3180 18TH ST
STE 100</t>
  </si>
  <si>
    <t>SAN FRANCISCO
CA</t>
  </si>
  <si>
    <t>'320252950944651462'</t>
  </si>
  <si>
    <t>Merchandise &amp; Supplies-Computer Supplies</t>
  </si>
  <si>
    <t>ENTERPRISE RENT-A-CANEW YORK            NY</t>
  </si>
  <si>
    <t>036334944   212-5332900
ENTERPRISE RENT-A-CAR
NEW YORK
NY</t>
  </si>
  <si>
    <t>221 THOMPSON ST</t>
  </si>
  <si>
    <t>NEW YORK
NY</t>
  </si>
  <si>
    <t>'320252950957686941'</t>
  </si>
  <si>
    <t>Travel-Vehicle Rental</t>
  </si>
  <si>
    <t>EMBASSY SUITES      SARATOGA SPRINGS    NY</t>
  </si>
  <si>
    <t>87200766    518-290-9090
LODGING
EMBASSY SUITES
SARATOGA SPRINGS
NY</t>
  </si>
  <si>
    <t>86 CONGRESS ST</t>
  </si>
  <si>
    <t>SARATOGA SPRINGS
NY</t>
  </si>
  <si>
    <t>12866-4102</t>
  </si>
  <si>
    <t>'320252930895065300'</t>
  </si>
  <si>
    <t>Travel-Lodging</t>
  </si>
  <si>
    <t>PAYPAL *MRLOUSPAL   4029357733          NY</t>
  </si>
  <si>
    <t>10193225540 4029357733
PAYPAL *MRLOUSPAL
4029357733
NY
Description : PROFESSIONAL SERVIC Price : 0.00
4029357733</t>
  </si>
  <si>
    <t>109 MIDDLE AVE</t>
  </si>
  <si>
    <t>NY</t>
  </si>
  <si>
    <t>'320252930905172692'</t>
  </si>
  <si>
    <t>Business Services-Professional Services</t>
  </si>
  <si>
    <t>STEWARTS ICE CREAM  SARATOGA SPRINGS    NY</t>
  </si>
  <si>
    <t>00251600002 5185811201
STEWARTS ICE CREAM
SARATOGA SPRINGS
NY
Description : AUTOMATED FUEL Price : 0.6542
5185811201</t>
  </si>
  <si>
    <t>402 LK AVE</t>
  </si>
  <si>
    <t>'320252920857020974'</t>
  </si>
  <si>
    <t>Transportation-Fuel</t>
  </si>
  <si>
    <t>T212065440  877-860-1258
ERACTOLL 9L9D62
877-860-1258
NY
Description : ERACTOLL 9L9D62 Price : 0.00
877-860-1258</t>
  </si>
  <si>
    <t>'320252910841999576'</t>
  </si>
  <si>
    <t>'320252900795935816'</t>
  </si>
  <si>
    <t>PRIME VIDEO *NU0SI84888-802-3080        WA</t>
  </si>
  <si>
    <t>A5TIG1SJOI1 DIGITAL
PRIME VIDEO *NU0SI84D0
888-802-3080
WA
DIGITAL</t>
  </si>
  <si>
    <t>'320252900797526572'</t>
  </si>
  <si>
    <t>NANOGROUP           NEWHAVEN            E</t>
  </si>
  <si>
    <t>CH_3SIIWCAC +4407534745202
NANOGROUP
NEWHAVEN
E
+4407534745202</t>
  </si>
  <si>
    <t>51 SOUTH ROAD</t>
  </si>
  <si>
    <t>NEWHAVEN
ENG</t>
  </si>
  <si>
    <t>BN9</t>
  </si>
  <si>
    <t>UNITED KINGDOM OF GB AND NI</t>
  </si>
  <si>
    <t>'320252890785579709'</t>
  </si>
  <si>
    <t>ERACTOLL 9FDL7T     877-860-1258        NY</t>
  </si>
  <si>
    <t>T211802428  877-860-1258
ERACTOLL 9FDL7T
877-860-1258
NY
Description : ERACTOLL 9FDL7T Price : 0.00
877-860-1258</t>
  </si>
  <si>
    <t>'320252890781298252'</t>
  </si>
  <si>
    <t>TABULAR EDITOR APS  NORDHAVN            DK</t>
  </si>
  <si>
    <t>CH_3SIDYZAV +4535153137
TABULAR EDITOR APS
NORDHAVN
DK
+4535153137</t>
  </si>
  <si>
    <t>SUNDKAJ 125
NORDHAVN</t>
  </si>
  <si>
    <t>DENMARK</t>
  </si>
  <si>
    <t>'320252890777574526'</t>
  </si>
  <si>
    <t>AT&amp;T</t>
  </si>
  <si>
    <t>40878986    800-331-0500
AT&amp;T
800-288-2020
TX
Description : TELECOMMUNICATIONS Price : 0.00
800-331-0500</t>
  </si>
  <si>
    <t>AT&amp;T                800-288-2020        TX</t>
  </si>
  <si>
    <t>208 SOUTH AKARD ST
FL 10</t>
  </si>
  <si>
    <t>DALLAS
TX</t>
  </si>
  <si>
    <t>75202-4208</t>
  </si>
  <si>
    <t>'320252880756013817'</t>
  </si>
  <si>
    <t>Communications-Mobile Telecom</t>
  </si>
  <si>
    <t>FOUNDER INSTITUTE   PALO ALTO           CA</t>
  </si>
  <si>
    <t>CH_3SIM7RK6 +17077266310
FOUNDER INSTITUTE
PALO ALTO
CA
+17077266310</t>
  </si>
  <si>
    <t>265 CAMBRIDGE AVE</t>
  </si>
  <si>
    <t>PALO ALTO
CA</t>
  </si>
  <si>
    <t>'320252880755794215'</t>
  </si>
  <si>
    <t>Other-Miscellaneous</t>
  </si>
  <si>
    <t>IDEA BROWSER        AVENTURA            FL</t>
  </si>
  <si>
    <t>CH_3SILTXEK +14158890787
IDEA BROWSER
AVENTURA
FL
+14158890787</t>
  </si>
  <si>
    <t>4000 IS BLVD
901</t>
  </si>
  <si>
    <t>AVENTURA
FL</t>
  </si>
  <si>
    <t>'320252880757011722'</t>
  </si>
  <si>
    <t>'320252870710944880'</t>
  </si>
  <si>
    <t>PRIME VIDEO *NF1SE8I888-802-3080        WA</t>
  </si>
  <si>
    <t>5CUKBQ6B6PE DIGITAL
PRIME VIDEO *NF1SE8IF2
888-802-3080
WA
DIGITAL</t>
  </si>
  <si>
    <t>'320252870736291450'</t>
  </si>
  <si>
    <t>THE CLEANERS IO, LLCNEW YORK            NY</t>
  </si>
  <si>
    <t>rLvEr3f4ORo squareup.com/receipts
THE CLEANERS IO, LLC
NEW YORK
NY
squareup.com/receipts</t>
  </si>
  <si>
    <t>215 THOMPSON ST</t>
  </si>
  <si>
    <t>'320252870716376398'</t>
  </si>
  <si>
    <t>Business Services-Other Services</t>
  </si>
  <si>
    <t>WEST VILLAGE EYECARENew York            NY</t>
  </si>
  <si>
    <t>x2hnXIYi6Qo squareup.com/receipts
WEST VILLAGE EYECARE ON LAGUARDIA PLAC
New York
NY
squareup.com/receipts</t>
  </si>
  <si>
    <t>542 LAGUARDIA PL</t>
  </si>
  <si>
    <t>10012-1458</t>
  </si>
  <si>
    <t>'320252870717349213'</t>
  </si>
  <si>
    <t>Business Services-Health Care Services</t>
  </si>
  <si>
    <t>LbzEatXo6uU squareup.com/receipts
WEST VILLAGE EYECARE ON LAGUARDIA PLAC
New York
NY
squareup.com/receipts</t>
  </si>
  <si>
    <t>'320252870717388119'</t>
  </si>
  <si>
    <t>PRIME VIDEO *NF4H44S888-802-3080        WA</t>
  </si>
  <si>
    <t>4Y1ABXUJQ7G DIGITAL
PRIME VIDEO *NF4H44S92
888-802-3080
WA
DIGITAL</t>
  </si>
  <si>
    <t>'320252870726270033'</t>
  </si>
  <si>
    <t>TST* UNION SQUARE - NEW YORK            NY</t>
  </si>
  <si>
    <t>NM4bis4bq00 2124770777
TST* UNION SQUARE - GRAME 300597599
NEW YORK
NY
Description : RESTAURANTS Price : 17.6446
2124770777</t>
  </si>
  <si>
    <t>42 EAST 20TH ST
FRNT A</t>
  </si>
  <si>
    <t>'320252860695536053'</t>
  </si>
  <si>
    <t>Restaurant-Restaurant</t>
  </si>
  <si>
    <t>GOOGLE *ISHARING GPS G.CO/HELPPAY#      CA</t>
  </si>
  <si>
    <t>A12YBMC1    DIGITAL GOODS: GAMES
GOOGLE *ISHARING GPS L
G.CO/HELPPAY#
CA
DIGITAL GOODS: GAMES</t>
  </si>
  <si>
    <t>1600 AMPHITHEATRE PKWY</t>
  </si>
  <si>
    <t>MOUNTAIN VIEW
CA</t>
  </si>
  <si>
    <t>94043-1351</t>
  </si>
  <si>
    <t>'320252850669380148'</t>
  </si>
  <si>
    <t>Business Services-Internet Services</t>
  </si>
  <si>
    <t>MOBILE PAYMENT - THANK YOU</t>
  </si>
  <si>
    <t>'320252850655835805'</t>
  </si>
  <si>
    <t>TST* BARCHEF 0023732MANHATTAN           NY</t>
  </si>
  <si>
    <t>21105175286 RESTAURANT
TST* BARCHEF 00237326
MANHATTAN
NY
RESTAURANT</t>
  </si>
  <si>
    <t>21W 35TH ST</t>
  </si>
  <si>
    <t>'320252860703375222'</t>
  </si>
  <si>
    <t>AMAZON MARKEPLACE NA PA</t>
  </si>
  <si>
    <t>59BJQ2HWIFN MERCHANDISE
AMAZON MARKETPLACE NA PA
AMZN.COM/BILL
WA
MERCHANDISE</t>
  </si>
  <si>
    <t>AMAZON MARKETPLACE NAMZN.COM/BILL       WA</t>
  </si>
  <si>
    <t>410 TERRY AVE N</t>
  </si>
  <si>
    <t>'320252860697034777'</t>
  </si>
  <si>
    <t>ERACTOLL 9TWXMK     877-860-1258        NY</t>
  </si>
  <si>
    <t>T211355747  877-860-1258
ERACTOLL 9TWXMK
877-860-1258
NY
Description : ERACTOLL 9TWXMK Price : 0.00
877-860-1258</t>
  </si>
  <si>
    <t>'320252850665558920'</t>
  </si>
  <si>
    <t>FS *RAINDROP.IO     877-327-8914        CA</t>
  </si>
  <si>
    <t>VACX9EPWRBYD96C5A1C612C7466 93101
FS *RAINDROP.IO
877-327-8914
CA
D96C5A1C612C7466 93101</t>
  </si>
  <si>
    <t>801 GDN ST 201</t>
  </si>
  <si>
    <t>SANTA BARBARA
CA</t>
  </si>
  <si>
    <t>'320252850676841603'</t>
  </si>
  <si>
    <t>MICROSOFT           MSBILL.INFO</t>
  </si>
  <si>
    <t>Z72ZD2O9QQCZ72ZD2O9QQCA     98052
MICROSOFT
MSBILL.INFO
Z72ZD2O9QQCA     98052</t>
  </si>
  <si>
    <t>1 MICROSOFT WAY</t>
  </si>
  <si>
    <t>REDMOND
WA</t>
  </si>
  <si>
    <t>'320252820578288346'</t>
  </si>
  <si>
    <t>Z730D3H4UTBZ730D3H4UTB2     98052
MICROSOFT
MSBILL.INFO
Z730D3H4UTB2     98052</t>
  </si>
  <si>
    <t>'320252820578358266'</t>
  </si>
  <si>
    <t>WWW.PERPLEXITY.AI   SAN FRANCISCO       CA</t>
  </si>
  <si>
    <t>CH_3SGYYMGZ +15102700840
WWW.PERPLEXITY.AI
SAN FRANCISCO
CA
+15102700840</t>
  </si>
  <si>
    <t>115 SANSOME ST
SUITE 900</t>
  </si>
  <si>
    <t>'320252830616486591'</t>
  </si>
  <si>
    <t>Business Services-Office Supplies</t>
  </si>
  <si>
    <t>A1010BUSD01         MSBILL.INFO</t>
  </si>
  <si>
    <t>Z72XCWYXDJ9Z72XCWYXDJ9Q     98052
A1010BUSD01
MSBILL.INFO
Z72XCWYXDJ9Q     98052</t>
  </si>
  <si>
    <t>8TH FLOOR
91 MAIN ST</t>
  </si>
  <si>
    <t>'320252800535302567'</t>
  </si>
  <si>
    <t>ARLOTECHNOLOGIES INC408-638-3750        CA</t>
  </si>
  <si>
    <t>224498192  224498192        12866
ARLOTECHNOLOGIES INC
408-638-3750
CA
224498192        12866</t>
  </si>
  <si>
    <t>STE 200
480 N MCCARTHY BLVD</t>
  </si>
  <si>
    <t>MILPITAS
CA</t>
  </si>
  <si>
    <t>'320252820573736904'</t>
  </si>
  <si>
    <t>Merchandise &amp; Supplies-Wholesale Stores</t>
  </si>
  <si>
    <t>TST* IL BUCO - BOND NEW YORK            NY</t>
  </si>
  <si>
    <t>00041760028 RESTAURANT
TST* IL BUCO - BOND ST 00041760
NEW YORK
NY
RESTAURANT</t>
  </si>
  <si>
    <t>47 BOND ST FRNT 1</t>
  </si>
  <si>
    <t>'320252810554114382'</t>
  </si>
  <si>
    <t>AMAZON.COM          AMZN.COM/BILL       WA</t>
  </si>
  <si>
    <t>6T4U0TOLXP1 MERCHANDISE
AMAZON.COM
AMZN.COM/BILL
WA
MERCHANDISE</t>
  </si>
  <si>
    <t>'320252800524555826'</t>
  </si>
  <si>
    <t>T210808024  877-860-1258
ERACTOLL 9TWXMK
877-860-1258
NY
Description : ERACTOLL 9TWXMK Price : 0.00
877-860-1258</t>
  </si>
  <si>
    <t>'320252800524941061'</t>
  </si>
  <si>
    <t>NOTION LABS, INC.   SAN FRANCISCO       CA</t>
  </si>
  <si>
    <t>CH_3SFHPPCC +14154004291
NOTION LABS, INC.
SAN FRANCISCO
CA
+14154004291</t>
  </si>
  <si>
    <t>685 MARKET ST
SUITE 300</t>
  </si>
  <si>
    <t>'320252790490451565'</t>
  </si>
  <si>
    <t>Business Services-Employment Agencies</t>
  </si>
  <si>
    <t>3WD3AJIZY58 MERCHANDISE
AMAZON MARKETPLACE NA PA
AMZN.COM/BILL
WA
MERCHANDISE</t>
  </si>
  <si>
    <t>'320252800515953987'</t>
  </si>
  <si>
    <t>PRIME VIDEO *NV4FQ53888-802-3080        WA</t>
  </si>
  <si>
    <t>52LODOW3Y73 DIGITAL
PRIME VIDEO *NV4FQ5372
888-802-3080
WA
DIGITAL</t>
  </si>
  <si>
    <t>'320252780481961186'</t>
  </si>
  <si>
    <t>Z72VCRKOTQWZ72VCRKOTQWW     98052
MICROSOFT
MSBILL.INFO
Z72VCRKOTQWW     98052</t>
  </si>
  <si>
    <t>'320252770450714760'</t>
  </si>
  <si>
    <t>PEACOCK             NEW YORK CITY       NY</t>
  </si>
  <si>
    <t>US NBCU PG  CABLE &amp; PAY TV
PEACOCK
NEW YORK CITY
NY
CABLE &amp; PAY TV</t>
  </si>
  <si>
    <t>100 UNIVERSAL CITY PLZ</t>
  </si>
  <si>
    <t>UNIVERSAL CITY
CA</t>
  </si>
  <si>
    <t>'320252770435570793'</t>
  </si>
  <si>
    <t>Communications-Cable &amp; Internet Comm</t>
  </si>
  <si>
    <t>IN *ERP BLOG LLC    ARDMORE             PA</t>
  </si>
  <si>
    <t>276I1A9GFUJ68035            19003
IN *ERP BLOG LLC
ARDMORE
PA
68035            19003</t>
  </si>
  <si>
    <t>1906 CHESTNUT CIR</t>
  </si>
  <si>
    <t>ARDMORE
PA</t>
  </si>
  <si>
    <t>'320252760402474976'</t>
  </si>
  <si>
    <t>Merchandise &amp; Supplies-General Retail</t>
  </si>
  <si>
    <t>Z728CPELLAHZ728CPELLAHN     98052
MICROSOFT
MSBILL.INFO
Z728CPELLAHN     98052</t>
  </si>
  <si>
    <t>'320252760418566308'</t>
  </si>
  <si>
    <t>PRIME VIDEO *NV04D73888-802-3080        WA</t>
  </si>
  <si>
    <t>4MEPIM3NXBU DIGITAL
PRIME VIDEO *NV04D7341
888-802-3080
WA
DIGITAL</t>
  </si>
  <si>
    <t>'320252760399134029'</t>
  </si>
  <si>
    <t>HUBSPOT INC.        CAMBRIDGE, MASSACHUSMA</t>
  </si>
  <si>
    <t>37007385    COMPUTER PROGRAMMING
HUBSPOT INC.
CAMBRIDGE, MASSACHUSE
MA
COMPUTER PROGRAMMING</t>
  </si>
  <si>
    <t>25 FIRST STREET
-</t>
  </si>
  <si>
    <t>CAMBRIDGE
MA</t>
  </si>
  <si>
    <t>02141</t>
  </si>
  <si>
    <t>'320252750389565190'</t>
  </si>
  <si>
    <t>PRIME VIDEO *NV2WN5F888-802-3080        WA</t>
  </si>
  <si>
    <t>3THMV2ON01S DIGITAL
PRIME VIDEO *NV2WN5F71
888-802-3080
WA
DIGITAL</t>
  </si>
  <si>
    <t>'320252750394745396'</t>
  </si>
  <si>
    <t>TOPTAL.COM          SAN FRANCISCO       CA</t>
  </si>
  <si>
    <t>CH_2SE1RIVY +18886043188
TOPTAL.COM
SAN FRANCISCO
CA
+18886043188</t>
  </si>
  <si>
    <t>548 MARKET ST 36879</t>
  </si>
  <si>
    <t>'320252760418962076'</t>
  </si>
  <si>
    <t>CH_3SDQQ1AC +4407534745202
NANOGROUP
NEWHAVEN
E
+4407534745202</t>
  </si>
  <si>
    <t>'320252740345770713'</t>
  </si>
  <si>
    <t>'320252740334502566'</t>
  </si>
  <si>
    <t>PAYPAL *SIGNSMATT   4029357733          FL</t>
  </si>
  <si>
    <t>10191753310 4029357733
PAYPAL *SIGNSMATT
4029357733
FL
Description : PROFESSIONAL SERVIC Price : 0.00
4029357733</t>
  </si>
  <si>
    <t>520 4TH ST WEST</t>
  </si>
  <si>
    <t>4029357733
FL</t>
  </si>
  <si>
    <t>'320252750388913260'</t>
  </si>
  <si>
    <t>VERIZON WRLS RCCRNG PMTS</t>
  </si>
  <si>
    <t>N0000004068VZWRLSS*APOCC
VZW APO
800-922-0204
FL
VZWRLSS*APOCC</t>
  </si>
  <si>
    <t>VZW APO             800-922-0204        FL</t>
  </si>
  <si>
    <t>600 COOLIDGE DR</t>
  </si>
  <si>
    <t>FOLSOM
CA</t>
  </si>
  <si>
    <t>95630-3155</t>
  </si>
  <si>
    <t>'320252740352046699'</t>
  </si>
  <si>
    <t>CLAUDE.AI SUBSCRIPTISAN FRANCISCO       CA</t>
  </si>
  <si>
    <t>CH_3SCU26BJ +14152360599
CLAUDE.AI SUBSCRIPTION
SAN FRANCISCO
CA
+14152360599</t>
  </si>
  <si>
    <t>731 SANSOME ST</t>
  </si>
  <si>
    <t>'320252730329025104'</t>
  </si>
  <si>
    <t>395017      518-290-9090
LODGING
EMBASSY SUITES
SARATOGA SPRINGS
NY</t>
  </si>
  <si>
    <t>'320252720292223020'</t>
  </si>
  <si>
    <t>032015958   212-5332900
ENTERPRISE RENT-A-CAR
NEW YORK
NY</t>
  </si>
  <si>
    <t>'320252730325207529'</t>
  </si>
  <si>
    <t>T209970637  877-860-1258
ERACTOLL 9FDL7T
877-860-1258
NY
Description : ERACTOLL 9FDL7T Price : 0.00
877-860-1258</t>
  </si>
  <si>
    <t>'320252720294727886'</t>
  </si>
  <si>
    <t>'320252720277718131'</t>
  </si>
  <si>
    <t>00201900004 5185811201
STEWARTS ICE CREAM
SARATOGA SPRINGS
NY
Description : AUTOMATED FUEL Price : 0.714
5185811201</t>
  </si>
  <si>
    <t>'320252720304988588'</t>
  </si>
  <si>
    <t>PRIME VIDEO *NJ5OT69888-802-3080        WA</t>
  </si>
  <si>
    <t>5WK8UKHW2CM DIGITAL
PRIME VIDEO *NJ5OT6900
888-802-3080
WA
DIGITAL</t>
  </si>
  <si>
    <t>'320252700225613104'</t>
  </si>
  <si>
    <t>AMAZON PRIME*UD1OT8O888-802-3080        WA</t>
  </si>
  <si>
    <t>S51I6BOP9IE DIGITAL
AMAZON PRIME*UD1OT8O03
888-802-3080
WA
DIGITAL</t>
  </si>
  <si>
    <t>'320252690200517097'</t>
  </si>
  <si>
    <t>SUNOCO 0042337601 00SLOATSBURG          NY</t>
  </si>
  <si>
    <t>00405550    845-753-5091
SUNOCO 0042337601 0042
SLOATSBURG
NY
Description : Super Unleaded (92 Price : 0.00
845-753-5091</t>
  </si>
  <si>
    <t>'320252700233705050'</t>
  </si>
  <si>
    <t>FENYDdgMOyY squareup.com/receipts
THE CLEANERS IO, LLC
NEW YORK
NY
squareup.com/receipts</t>
  </si>
  <si>
    <t>'320252680172559570'</t>
  </si>
  <si>
    <t>T209470696  877-860-1258
ERACTOLL 9L9D62
877-860-1258
NY
Description : ERACTOLL 9L9D62 Price : 0.00
877-860-1258</t>
  </si>
  <si>
    <t>'320252680181511784'</t>
  </si>
  <si>
    <t>'150925060000036487'</t>
  </si>
  <si>
    <t>PRIME VIDEO *W41F73E888-802-3080        WA</t>
  </si>
  <si>
    <t>680ZQVUAINF DIGITAL
PRIME VIDEO *W41F73EQ3
888-802-3080
WA
DIGITAL</t>
  </si>
  <si>
    <t>'320252660113673751'</t>
  </si>
  <si>
    <t>CH_3SAANEC6 +14158799686
OPENAI *CHATGPT SUBSCR
SAN FRANCISCO
CA
+14158799686</t>
  </si>
  <si>
    <t>'320252650091566571'</t>
  </si>
  <si>
    <t>PRIME VIDEO *OP0RY1J888-802-3080        WA</t>
  </si>
  <si>
    <t>3U78L7DI4WE DIGITAL
PRIME VIDEO *OP0RY1JW3
888-802-3080
WA
DIGITAL</t>
  </si>
  <si>
    <t>'320252650086661015'</t>
  </si>
  <si>
    <t>PRIME VIDEO *3V6PY54888-802-3080        WA</t>
  </si>
  <si>
    <t>3UFRX5PI9TE DIGITAL
PRIME VIDEO *3V6PY54W3
888-802-3080
WA
DIGITAL</t>
  </si>
  <si>
    <t>'320252640082058753'</t>
  </si>
  <si>
    <t>TECHBRIG INC        DOVER               DE</t>
  </si>
  <si>
    <t>CH_3SA1GZLE +19298449541
TECHBRIG INC
DOVER
DE
+19298449541</t>
  </si>
  <si>
    <t>1111B SOUTH GOVERNORS AVE
STE 21440</t>
  </si>
  <si>
    <t>DOVER
DE</t>
  </si>
  <si>
    <t>'320252650101730980'</t>
  </si>
  <si>
    <t>PRIME VIDEO *UZ7EA57888-802-3080        WA</t>
  </si>
  <si>
    <t>21HSASRYAQO DIGITAL
PRIME VIDEO *UZ7EA57B3
888-802-3080
WA
DIGITAL</t>
  </si>
  <si>
    <t>'320252620003244262'</t>
  </si>
  <si>
    <t>ROSEVALE KITCHEN ANDNEW YORK            NY</t>
  </si>
  <si>
    <t>41493177   1324             10036
PINKPONYMASQUERADE
WESTEGGCOCKTAIL
GREYGOOSE
ROSEVALE KITCHEN AND COC 0448
NEW YORK
NY
PINKPONYMASQUERADE
WESTEGGCOCKTAIL
GREYGOOSE
1324             10036</t>
  </si>
  <si>
    <t>305 WEST 48TH ST</t>
  </si>
  <si>
    <t>10036-1348</t>
  </si>
  <si>
    <t>'320252620007598914'</t>
  </si>
  <si>
    <t>BT*MEDIEVAL COLLECTIPRINCETON           IN</t>
  </si>
  <si>
    <t>RMBXWG7V   8123867047
BT*MEDIEVAL COLLECTIBLES
PRINCETON
IN
8123867047</t>
  </si>
  <si>
    <t>401 NORTH RICHLAND CRK DR</t>
  </si>
  <si>
    <t>PRINCETON
IN</t>
  </si>
  <si>
    <t>'320252600948294493'</t>
  </si>
  <si>
    <t>ERACTOLL 93CF1J     877-860-1258        NY</t>
  </si>
  <si>
    <t>T208548150  877-860-1258
ERACTOLL 93CF1J
877-860-1258
NY
Description : ERACTOLL 93CF1J Price : 0.00
877-860-1258</t>
  </si>
  <si>
    <t>'320252610984502820'</t>
  </si>
  <si>
    <t>MINETTA TAVERN RESTANEW YORK            NY</t>
  </si>
  <si>
    <t>2129255340
MINETTA TAVERN RESTAUR
NEW YORK
NY
2129255340</t>
  </si>
  <si>
    <t>113 MACDOUGAL ST</t>
  </si>
  <si>
    <t>10012-1201</t>
  </si>
  <si>
    <t>'320252600956716102'</t>
  </si>
  <si>
    <t>Restaurant-Bar &amp; CafÃ©</t>
  </si>
  <si>
    <t>PRET A MANGER US0105NEW YORK            NY</t>
  </si>
  <si>
    <t>152907     152907           10019
PRET A MANGER US0105 US01
NEW YORK
NY
152907           10019</t>
  </si>
  <si>
    <t>100 CENTRAL PARK SOUTH</t>
  </si>
  <si>
    <t>'320252600957349386'</t>
  </si>
  <si>
    <t>T208462420  877-860-1258
ERACTOLL 9L9D62
877-860-1258
NY
Description : ERACTOLL 9L9D62 Price : 0.00
877-860-1258</t>
  </si>
  <si>
    <t>'320252590930088871'</t>
  </si>
  <si>
    <t>CH_3S7LFZAV +4535153137
TABULAR EDITOR APS
NORDHAVN
DK
+4535153137</t>
  </si>
  <si>
    <t>'320252590929069810'</t>
  </si>
  <si>
    <t>41739878    800-331-0500
AT&amp;T MOBILITY RECURRING
800-288-2020
TX
Description : TELECOMMUNICATIONS Price : 0.00
800-331-0500</t>
  </si>
  <si>
    <t>AT&amp;T MOBILITY RECURR800-288-2020        TX</t>
  </si>
  <si>
    <t>'320252580909191418'</t>
  </si>
  <si>
    <t>PREM CAR RENTAL PROTECTION 800-228-6855</t>
  </si>
  <si>
    <t>CRA028825088 09/12/2025 NEW YORK
PREM CAR RENTAL PROTECTION 800-228-6855</t>
  </si>
  <si>
    <t>200 VESEY STREET
43RD FLOOR</t>
  </si>
  <si>
    <t>'320252570885321148'</t>
  </si>
  <si>
    <t>Business Services-Insurance Services</t>
  </si>
  <si>
    <t>PRIME VIDEO *9F4343Y888-802-3080        WA</t>
  </si>
  <si>
    <t>5AU7UP6G1D4 DIGITAL
PRIME VIDEO *9F4343YM3
888-802-3080
WA
DIGITAL</t>
  </si>
  <si>
    <t>'320252570862373154'</t>
  </si>
  <si>
    <t>028825088   212-5332900
ENTERPRISE RENT-A-CAR
NEW YORK
NY</t>
  </si>
  <si>
    <t>'320252560853761852'</t>
  </si>
  <si>
    <t>ERACTOLL 7Y329K     877-860-1258        NY</t>
  </si>
  <si>
    <t>T208145614  877-860-1258
ERACTOLL 7Y329K
877-860-1258
NY
Description : ERACTOLL 7Y329K Price : 0.00
877-860-1258</t>
  </si>
  <si>
    <t>'320252560846601041'</t>
  </si>
  <si>
    <t>A12GTPOU    COMPUTER PROGRAMMING
GOOGLE *ISHARING GPS L
G.CO/HELPPAY#
CA
COMPUTER PROGRAMMING</t>
  </si>
  <si>
    <t>'320252550821250377'</t>
  </si>
  <si>
    <t>2Y5J0EPO52T MERCHANDISE
AMAZON MARKETPLACE NA PA
AMZN.COM/BILL
WA
MERCHANDISE</t>
  </si>
  <si>
    <t>'320252540794231527'</t>
  </si>
  <si>
    <t>Z730B8VM8Z4Z730B8VM8Z47     98052
MICROSOFT
MSBILL.INFO
Z730B8VM8Z47     98052</t>
  </si>
  <si>
    <t>'320252520732753500'</t>
  </si>
  <si>
    <t>Z72XB8B323UZ72XB8B323UP     98052
MICROSOFT
MSBILL.INFO
Z72XB8B323UP     98052</t>
  </si>
  <si>
    <t>'320252520732688919'</t>
  </si>
  <si>
    <t>CH_3S5SDPAC +4407534745202
NANOGROUP
NEWHAVEN
E
+4407534745202</t>
  </si>
  <si>
    <t>'320252520729673060'</t>
  </si>
  <si>
    <t>'320252520721377674'</t>
  </si>
  <si>
    <t>PRIME VIDEO *660ZL6Y888-802-3080        WA</t>
  </si>
  <si>
    <t>5MPLMXA773S DIGITAL
PRIME VIDEO *660ZL6YH3
888-802-3080
WA
DIGITAL</t>
  </si>
  <si>
    <t>'320252530765047371'</t>
  </si>
  <si>
    <t>CH_3S5GFCGZ +15102700840
WWW.PERPLEXITY.AI
SAN FRANCISCO
CA
+15102700840</t>
  </si>
  <si>
    <t>'320252530758829873'</t>
  </si>
  <si>
    <t>988PO4TEHVL MERCHANDISE
AMAZON MARKETPLACE NA PA
AMZN.COM/BILL
WA
MERCHANDISE</t>
  </si>
  <si>
    <t>'320252510699113790'</t>
  </si>
  <si>
    <t>222931529  222931529        12866
ARLOTECHNOLOGIES INC
408-638-3750
CA
222931529        12866</t>
  </si>
  <si>
    <t>'320252520727130525'</t>
  </si>
  <si>
    <t>393334      518-290-9090
LODGING
EMBASSY SUITES
SARATOGA SPRINGS
NY</t>
  </si>
  <si>
    <t>'320252510707740568'</t>
  </si>
  <si>
    <t>Z72SB29JIEHZ72SB29JIEHQ     98052
A1010BUSD01
MSBILL.INFO
Z72SB29JIEHQ     98052</t>
  </si>
  <si>
    <t>'320252500688879126'</t>
  </si>
  <si>
    <t>PRIME VIDEO *MC1EK7O888-802-3080        WA</t>
  </si>
  <si>
    <t>4BOMQXGXHDL DIGITAL
PRIME VIDEO *MC1EK7OO3
888-802-3080
WA
DIGITAL</t>
  </si>
  <si>
    <t>'320252500692119380'</t>
  </si>
  <si>
    <t>00471400001 5185811201
STEWARTS ICE CREAM
SARATOGA SPRINGS
NY
Description : AUTOMATED FUEL Price : 0.7969
5185811201</t>
  </si>
  <si>
    <t>'320252500674340263'</t>
  </si>
  <si>
    <t>CH_3S4PVHCC +14154004291
NOTION LABS, INC.
SAN FRANCISCO
CA
+14154004291</t>
  </si>
  <si>
    <t>'320252490645793958'</t>
  </si>
  <si>
    <t>TST* STANDARD FARE 0SARATOGA SPRING     NY</t>
  </si>
  <si>
    <t>21105175250 RESTAURANT
TST* STANDARD FARE 00220679
SARATOGA SPRING
NY
RESTAURANT</t>
  </si>
  <si>
    <t>10 PHILA ST</t>
  </si>
  <si>
    <t>'320252500677811275'</t>
  </si>
  <si>
    <t>EB *BUILD AI AGENTS SAN FRANCISCO       CA</t>
  </si>
  <si>
    <t>BJKE9JR0   13188800463      94105
EB *BUILD AI AGENTS OV
SAN FRANCISCO
CA
13188800463      94105</t>
  </si>
  <si>
    <t>155 5TH ST 7</t>
  </si>
  <si>
    <t>94103-2919</t>
  </si>
  <si>
    <t>'320252480619929039'</t>
  </si>
  <si>
    <t>Entertainment-General Events</t>
  </si>
  <si>
    <t>EB *THE NO-CODE AI ASAN FRANCISCO       CA</t>
  </si>
  <si>
    <t>15N2BB2X   13188752393      94105
EB *THE NO-CODE AI AGE
SAN FRANCISCO
CA
13188752393      94105</t>
  </si>
  <si>
    <t>'320252480620803693'</t>
  </si>
  <si>
    <t>T207268778  877-860-1258
ERACTOLL 7Y329K
877-860-1258
NY
Description : ERACTOLL 7Y329K Price : 0.00
877-860-1258</t>
  </si>
  <si>
    <t>'320252480628526888'</t>
  </si>
  <si>
    <t>Z72FAV42X9QZ72FAV42X9Q6     98052
MICROSOFT
MSBILL.INFO
Z72FAV42X9Q6     98052</t>
  </si>
  <si>
    <t>'320252470603035465'</t>
  </si>
  <si>
    <t>'320252470590115215'</t>
  </si>
  <si>
    <t>ERACTOLL 7Q1N3L     877-860-1258        NY</t>
  </si>
  <si>
    <t>T207129528  877-860-1258
ERACTOLL 7Q1N3L
877-860-1258
NY
Description : ERACTOLL 7Q1N3L Price : 0.00
877-860-1258</t>
  </si>
  <si>
    <t>'320252470598411069'</t>
  </si>
  <si>
    <t>Z728ATKP3JFZ728ATKP3JFE     98052
MICROSOFT
MSBILL.INFO
Z728ATKP3JFE     98052</t>
  </si>
  <si>
    <t>'320252460575589019'</t>
  </si>
  <si>
    <t>35504806    COMPUTER PROGRAMMING
HUBSPOT INC.
CAMBRIDGE, MASSACHUSE
MA
COMPUTER PROGRAMMING</t>
  </si>
  <si>
    <t>'320252450547262794'</t>
  </si>
  <si>
    <t>r9ep2E2r2qC squareup.com/receipts
THE CLEANERS IO, LLC
NEW YORK
NY
squareup.com/receipts</t>
  </si>
  <si>
    <t>'320252450530424079'</t>
  </si>
  <si>
    <t>CH_2S39YGVY +18886043188
TOPTAL.COM
SAN FRANCISCO
CA
+18886043188</t>
  </si>
  <si>
    <t>'320252460575834478'</t>
  </si>
  <si>
    <t>N0000004044VZWRLSS*APOCC
VZW APO
800-922-0204
FL
VZWRLSS*APOCC</t>
  </si>
  <si>
    <t>'320252440512499957'</t>
  </si>
  <si>
    <t>TST* KING FISH INT LNEW YORK            NY</t>
  </si>
  <si>
    <t>99999995241 6469546594
TST* KING FISH INT LLC 300718897
NEW YORK
NY
Description : RESTAURANTS Price : 0.5105
6469546594</t>
  </si>
  <si>
    <t>40 EAST 20TH ST</t>
  </si>
  <si>
    <t>10003-1318</t>
  </si>
  <si>
    <t>'320252410428185452'</t>
  </si>
  <si>
    <t>CRA025720530 08/26/2025 NEW YORK
PREM CAR RENTAL PROTECTION 800-228-6855</t>
  </si>
  <si>
    <t>'320252400412420173'</t>
  </si>
  <si>
    <t>TST* AQUA NYC 002103NEW YORK            NY</t>
  </si>
  <si>
    <t>21105175241 RESTAURANT
TST* AQUA NYC 00210304
NEW YORK
NY
RESTAURANT</t>
  </si>
  <si>
    <t>902 BROADWAY</t>
  </si>
  <si>
    <t>'320252410426468454'</t>
  </si>
  <si>
    <t>ERACTOLL 9BXVQH     877-860-1258        NY</t>
  </si>
  <si>
    <t>T206405239  877-860-1258
ERACTOLL 9BXVQH
877-860-1258
NY
Description : ERACTOLL 9BXVQH Price : 0.00
877-860-1258</t>
  </si>
  <si>
    <t>'320252400398245212'</t>
  </si>
  <si>
    <t>AMAZON PRIME*8H46S68888-802-3080        WA</t>
  </si>
  <si>
    <t>5NWLQ9O9M4R DIGITAL
AMAZON PRIME*8H46S68Z3
888-802-3080
WA
DIGITAL</t>
  </si>
  <si>
    <t>'320252380335571578'</t>
  </si>
  <si>
    <t>025720530   212-5332900
ENTERPRISE RENT-A-CAR
NEW YORK
NY</t>
  </si>
  <si>
    <t>'320252390375423022'</t>
  </si>
  <si>
    <t>'150826070000036642'</t>
  </si>
  <si>
    <t>EXXONMOBIL 9999     CENTRAL VALLE       NY</t>
  </si>
  <si>
    <t>00009830    845-928-9710
EXXONMOBIL 9999
CENTRAL VALLE
NY
Description : 001 Price : 0.00
845-928-9710</t>
  </si>
  <si>
    <t>(800) 243-9966
TX</t>
  </si>
  <si>
    <t>'320252380345700556'</t>
  </si>
  <si>
    <t>CH_3RYW3YC6 +14158799686
OPENAI *CHATGPT SUBSCR
SAN FRANCISCO
CA
+14158799686</t>
  </si>
  <si>
    <t>'320252340226207750'</t>
  </si>
  <si>
    <t>CRA024090613 08/18/2025 NEW YORK
PREM CAR RENTAL PROTECTION 800-228-6855</t>
  </si>
  <si>
    <t>'320252320187312321'</t>
  </si>
  <si>
    <t>024090613   212-5332900
ENTERPRISE RENT-A-CAR
NEW YORK
NY</t>
  </si>
  <si>
    <t>'320252310155006735'</t>
  </si>
  <si>
    <t>ROXY HOTEL ROXY HOTENEW YORK            NY</t>
  </si>
  <si>
    <t>45179156    212-519-6600
LODGING
ROXY HOTEL ROXY HOTEL
NEW YORK
NY</t>
  </si>
  <si>
    <t>2 AVE OF THE AMERICAS</t>
  </si>
  <si>
    <t>10013-2401</t>
  </si>
  <si>
    <t>'320252300118040968'</t>
  </si>
  <si>
    <t>ACTBLUE* JOSH.WALLENBOSTON              MA</t>
  </si>
  <si>
    <t>CH_3RXLMFEF +16175177600
ACTBLUE* JOSH.WALLENST
BOSTON
MA
+16175177600</t>
  </si>
  <si>
    <t>366 SUMMER ST</t>
  </si>
  <si>
    <t>SOMERVILLE
MA</t>
  </si>
  <si>
    <t>02144</t>
  </si>
  <si>
    <t>'320252300126388144'</t>
  </si>
  <si>
    <t>Other-Charities</t>
  </si>
  <si>
    <t>CH_3RXLMGDG +16175177600
ACTBLUE* JOSH.WALLENST
BOSTON
MA
+16175177600</t>
  </si>
  <si>
    <t>'320252300126386159'</t>
  </si>
  <si>
    <t>'320252290082157210'</t>
  </si>
  <si>
    <t>TABULAR EDITOR APS  COPENHAGEN V        DK</t>
  </si>
  <si>
    <t>CH_3RWWTWAV +4553503099
TABULAR EDITOR APS
COPENHAGEN V
DK
+4553503099</t>
  </si>
  <si>
    <t>'320252280073613161'</t>
  </si>
  <si>
    <t>TST* ASKA 00226859  BROOKLYN            NY</t>
  </si>
  <si>
    <t>21105175228 RESTAURANT
TST* ASKA 00226859
BROOKLYN
NY
RESTAURANT</t>
  </si>
  <si>
    <t>47 SOUTH 5TH ST</t>
  </si>
  <si>
    <t>BROOKLYN
NY</t>
  </si>
  <si>
    <t>11249-5106</t>
  </si>
  <si>
    <t>'320252280066619514'</t>
  </si>
  <si>
    <t>49086636    800-331-0500
AT&amp;T MOBILITY RECURRING
800-288-2020
TX
Description : TELECOMMUNICATIONS Price : 0.00
800-331-0500</t>
  </si>
  <si>
    <t>'320252270039324275'</t>
  </si>
  <si>
    <t>ERACTOLL 8LGZN9     877-860-1258        NY</t>
  </si>
  <si>
    <t>T205130779  877-860-1258
ERACTOLL 8LGZN9
877-860-1258
NY
Description : ERACTOLL 8LGZN9 Price : 0.00
877-860-1258</t>
  </si>
  <si>
    <t>'320252270036073724'</t>
  </si>
  <si>
    <t>'320252260996027165'</t>
  </si>
  <si>
    <t>'320252260995806616'</t>
  </si>
  <si>
    <t>REFAIR.COM* REN FAIRLOUISVILLE          CO</t>
  </si>
  <si>
    <t>CH_3RW30IG1 +18887184253
REFAIR.COM* REN FAIR N
LOUISVILLE
CO
+18887184253</t>
  </si>
  <si>
    <t>357 MCCASLIN BLVD
SUITE 200</t>
  </si>
  <si>
    <t>LOUISVILLE
CO</t>
  </si>
  <si>
    <t>'320252260002434955'</t>
  </si>
  <si>
    <t>GOOGLE *ISHARINGSOFT G.CO/HELPPAY#      CA</t>
  </si>
  <si>
    <t>A11YXNCQ    LARGE DIGITAL GOODS M
LARGE DIGITAL GOODS MERCH
GOOGLE *ISHARINGSOFT
G.CO/HELPPAY#
CA
LARGE DIGITAL GOODS MERCH</t>
  </si>
  <si>
    <t>'320252240957186669'</t>
  </si>
  <si>
    <t>GETTHELEVERAGE.COM  BOSTON              MA</t>
  </si>
  <si>
    <t>CH_3RUXUHG7 +15082931383
GETTHELEVERAGE.COM
BOSTON
MA
+15082931383</t>
  </si>
  <si>
    <t>1693 BEACON ST
APT 3</t>
  </si>
  <si>
    <t>BROOKLINE
MA</t>
  </si>
  <si>
    <t>02445</t>
  </si>
  <si>
    <t>'320252230935849431'</t>
  </si>
  <si>
    <t>TST* RUSS &amp; DAUGHTERNEW YORK            NY</t>
  </si>
  <si>
    <t>00033995027 RESTAURANT
TST* RUSS &amp; DAUGHTERS CAF 00033995
NEW YORK
NY
RESTAURANT</t>
  </si>
  <si>
    <t>127 ORCH ST</t>
  </si>
  <si>
    <t>'320252240958208689'</t>
  </si>
  <si>
    <t>T204725008  877-860-1258
ERACTOLL 93CF1J
877-860-1258
NY
Description : ERACTOLL 93CF1J Price : 0.00
877-860-1258</t>
  </si>
  <si>
    <t>'320252230923724144'</t>
  </si>
  <si>
    <t>Z72F9C4HC7XZ72F9C4HC7XG     98052
MICROSOFT
MSBILL.INFO
Z72F9C4HC7XG     98052</t>
  </si>
  <si>
    <t>'320252210868325328'</t>
  </si>
  <si>
    <t>Z7389BPCLMWZ7389BPCLMWD     98052
MICROSOFT
MSBILL.INFO
Z7389BPCLMWD     98052</t>
  </si>
  <si>
    <t>'320252210868327698'</t>
  </si>
  <si>
    <t>'320252210857269199'</t>
  </si>
  <si>
    <t>UBER</t>
  </si>
  <si>
    <t>PTSBDJRQ   VXSBREWM         10013
Uber Trip
help.uber.com
CA
VXSBREWM         10013</t>
  </si>
  <si>
    <t>Uber Trip           help.uber.com       CA</t>
  </si>
  <si>
    <t>1455 MARKET ST
4TH FLOOR</t>
  </si>
  <si>
    <t>'320252210866279769'</t>
  </si>
  <si>
    <t>Transportation-Taxis &amp; Coach</t>
  </si>
  <si>
    <t>CH_3RURSVGZ +15102700840
WWW.PERPLEXITY.AI
SAN FRANCISCO
CA
+15102700840</t>
  </si>
  <si>
    <t>'320252220905693186'</t>
  </si>
  <si>
    <t>221398329  221398329        12866
ARLOTECHNOLOGIES INC
408-638-3750
CA
221398329        12866</t>
  </si>
  <si>
    <t>'320252210863192003'</t>
  </si>
  <si>
    <t>KEEPERSECURITY.COM  CHICAGO             IL</t>
  </si>
  <si>
    <t>CH_3RU1NJGS +13129715702
KEEPERSECURITY.COM
CHICAGO
IL
+13129715702</t>
  </si>
  <si>
    <t>"311 W MONROE ST, SUITE 406"</t>
  </si>
  <si>
    <t>CHICAGO
IL</t>
  </si>
  <si>
    <t>'320252210878880676'</t>
  </si>
  <si>
    <t>PWPOSITIONING WORKSHOAKVILLE</t>
  </si>
  <si>
    <t>CH_3RU13SB0 +17406796254
PWPOSITIONING WORKSHOP
OAKVILLE
+17406796254</t>
  </si>
  <si>
    <t>295 ROBINSON ST</t>
  </si>
  <si>
    <t>OAKVILLE
ON</t>
  </si>
  <si>
    <t>L6J 1G7</t>
  </si>
  <si>
    <t>CANADA</t>
  </si>
  <si>
    <t>'320252210878842200'</t>
  </si>
  <si>
    <t>Business Services-Conferences &amp; Training</t>
  </si>
  <si>
    <t>K64AECC6   7N34A6YG         10011
Uber Trip
help.uber.com
CA
7N34A6YG         10011</t>
  </si>
  <si>
    <t>'320252200832695296'</t>
  </si>
  <si>
    <t>CX65XT2P   WMX5YLAY         10012
Uber Trip
help.uber.com
CA
WMX5YLAY         10012</t>
  </si>
  <si>
    <t>'320252200833151636'</t>
  </si>
  <si>
    <t>Z72T96HB37PZ72T96HB37PL     98052
A1010BUSD01
MSBILL.INFO
Z72T96HB37PL     98052</t>
  </si>
  <si>
    <t>'320252190815713111'</t>
  </si>
  <si>
    <t>CH_3RTALOCC +14154004291
NOTION LABS, INC.
SAN FRANCISCO
CA
+14154004291</t>
  </si>
  <si>
    <t>'320252180778725336'</t>
  </si>
  <si>
    <t>P19QFCNB   TMAE5USD         10012
Uber Trip
help.uber.com
CA
TMAE5USD         10012</t>
  </si>
  <si>
    <t>'320252180782216232'</t>
  </si>
  <si>
    <t>E4RM0NXK   DBZ7QNPI         10012
Uber Trip
help.uber.com
CA
DBZ7QNPI         10012</t>
  </si>
  <si>
    <t>'320252180780997409'</t>
  </si>
  <si>
    <t>1MC3R5SR   3EOAY52Y         11249
Uber Trip
help.uber.com
CA
3EOAY52Y         11249</t>
  </si>
  <si>
    <t>'320252180781107569'</t>
  </si>
  <si>
    <t>T204183054  877-860-1258
ERACTOLL 93CF1J
877-860-1258
NY
Description : ERACTOLL 93CF1J Price : 0.00
877-860-1258</t>
  </si>
  <si>
    <t>'320252180787299601'</t>
  </si>
  <si>
    <t>GITHUB, INC.        SAN FRANCISCO       CA</t>
  </si>
  <si>
    <t>CH_3RSQ3KJF +18774484820
GITHUB, INC.
SAN FRANCISCO
CA
+18774484820</t>
  </si>
  <si>
    <t>275 BRANNAN ST</t>
  </si>
  <si>
    <t>'320252170747022219'</t>
  </si>
  <si>
    <t>TST* LE CROCODILE 00BROOKLYN            NY</t>
  </si>
  <si>
    <t>21105175218 RESTAURANT
TST* LE CROCODILE 00004192
BROOKLYN
NY
RESTAURANT</t>
  </si>
  <si>
    <t>80 WYTHE AVE</t>
  </si>
  <si>
    <t>'320252180783936734'</t>
  </si>
  <si>
    <t>AAA MSHIP AUTORENEW</t>
  </si>
  <si>
    <t>3302429M080 MEMBERSHIP
AAA MEMBERSHIP DUES
401-868-2000
RI
MEMBERSHIP</t>
  </si>
  <si>
    <t>AAA MEMBERSHIP DUES 401-868-2000        RI</t>
  </si>
  <si>
    <t>1415 KELLUM PL
UNIT A</t>
  </si>
  <si>
    <t>GARDEN CITY
NY</t>
  </si>
  <si>
    <t>11530-1696</t>
  </si>
  <si>
    <t>'320252160728641858'</t>
  </si>
  <si>
    <t>Entertainment-Associations</t>
  </si>
  <si>
    <t>CH_3RSBE9K6 +17077266310
FOUNDER INSTITUTE
PALO ALTO
CA
+17077266310</t>
  </si>
  <si>
    <t>'320252170760370780'</t>
  </si>
  <si>
    <t>Z72F90JPAAFZ72F90JPAAFD     98052
MICROSOFT
MSBILL.INFO
Z72F90JPAAFD     98052</t>
  </si>
  <si>
    <t>'320252160735297581'</t>
  </si>
  <si>
    <t>'320252160722423115'</t>
  </si>
  <si>
    <t>Z72Z8QZK98NZ72Z8QZK98NF     98052
MICROSOFT
MSBILL.INFO
Z72Z8QZK98NF     98052</t>
  </si>
  <si>
    <t>'320252150708997290'</t>
  </si>
  <si>
    <t>33551999    COMPUTER PROGRAMMING
HUBSPOT INC.
CAMBRIDGE, MASSACHUSE
MA
COMPUTER PROGRAMMING</t>
  </si>
  <si>
    <t>'320252140687552220'</t>
  </si>
  <si>
    <t>CH_2RRUMDVY +18886043188
TOPTAL.COM
SAN FRANCISCO
CA
+18886043188</t>
  </si>
  <si>
    <t>'320252150709337270'</t>
  </si>
  <si>
    <t>CRA020510357 07/30/2025 NEW YORK
PREM CAR RENTAL PROTECTION 800-228-6855</t>
  </si>
  <si>
    <t>'320252130656134194'</t>
  </si>
  <si>
    <t>SIREN47906          NEW YORK            NY</t>
  </si>
  <si>
    <t>9CFFBEC22A5 FAST FOOD RESTAURANT
SIREN47906
NEW YORK
NY
FAST FOOD RESTAURANT</t>
  </si>
  <si>
    <t>61 9TH AVE</t>
  </si>
  <si>
    <t>'320252140672180148'</t>
  </si>
  <si>
    <t>N0000004020VZWRLSS*APOCC
VZW APO
800-922-0204
FL
VZWRLSS*APOCC</t>
  </si>
  <si>
    <t>'320252130646472709'</t>
  </si>
  <si>
    <t>'320252120600773643'</t>
  </si>
  <si>
    <t>6D80XRY4   2MD77K4A         11230
Uber Trip
help.uber.com
CA
2MD77K4A         11230</t>
  </si>
  <si>
    <t>'320252120607554962'</t>
  </si>
  <si>
    <t>GCT56H8A   GH5FGUWR         10012
Uber Trip
help.uber.com
CA
GH5FGUWR         10012</t>
  </si>
  <si>
    <t>'320252120607348385'</t>
  </si>
  <si>
    <t>QEZQ1C0A   5YHL7IH5         11235
Uber Trip
help.uber.com
CA
5YHL7IH5         11235</t>
  </si>
  <si>
    <t>'320252120607807262'</t>
  </si>
  <si>
    <t>020510357   212-5332900
ENTERPRISE RENT-A-CAR
NEW YORK
NY</t>
  </si>
  <si>
    <t>'320252120619219637'</t>
  </si>
  <si>
    <t>T203611405  877-860-1258
ERACTOLL 8LGZN9
877-860-1258
NY
Description : ERACTOLL 8LGZN9 Price : 0.00
877-860-1258</t>
  </si>
  <si>
    <t>'320252120612197376'</t>
  </si>
  <si>
    <t>BRAINSTATION        NEW YORK            NY</t>
  </si>
  <si>
    <t>CH_3RQ4JBLF +18779001856
BRAINSTATION
NEW YORK
NY
+18779001856</t>
  </si>
  <si>
    <t>136 CROSBY ST
FLOOR 4</t>
  </si>
  <si>
    <t>'320252100565958161'</t>
  </si>
  <si>
    <t>00142584    845-753-5091
SUNOCO 0042337601 0042
SLOATSBURG
NY
Description : Unleaded (88 octane Price : 0.00
845-753-5091</t>
  </si>
  <si>
    <t>'320252100555299981'</t>
  </si>
  <si>
    <t>USPS PO 3574850866 0SARATOGA SPRI       NY</t>
  </si>
  <si>
    <t>20915100317 8002758777
USPS PO 3574850866 001380805
SARATOGA SPRI
NY
Description : POST SVCS GO Price : 0.185
8002758777</t>
  </si>
  <si>
    <t>245 WASHINGTON ST</t>
  </si>
  <si>
    <t>'320252100561630992'</t>
  </si>
  <si>
    <t>Business Services-Mailing &amp; Shipping</t>
  </si>
  <si>
    <t>HERTZTOLL 960268724 ALBANY              NY</t>
  </si>
  <si>
    <t>CH_3RPQG9GT 8774114300
HERTZTOLL 960268724
ALBANY
NY
8774114300</t>
  </si>
  <si>
    <t>1150 NORTH ALMA SCHOOL RD</t>
  </si>
  <si>
    <t>MESA
AZ</t>
  </si>
  <si>
    <t>'320252080501826229'</t>
  </si>
  <si>
    <t>'320252080491590318'</t>
  </si>
  <si>
    <t>AMAZON PRIME*1I7MM70888-802-3080        WA</t>
  </si>
  <si>
    <t>328ONP4XF5Q DIGITAL
AMAZON PRIME*1I7MM70V3
888-802-3080
WA
DIGITAL</t>
  </si>
  <si>
    <t>'320252070470556310'</t>
  </si>
  <si>
    <t>UBER EATS           help.uber.com       CA</t>
  </si>
  <si>
    <t>GC143HGE   SNI4BVLE         94103
UBER EATS
help.uber.com
CA
SNI4BVLE         94103</t>
  </si>
  <si>
    <t>1455 MARKET ST
-</t>
  </si>
  <si>
    <t>'320252070472613189'</t>
  </si>
  <si>
    <t>'150726060000069475'</t>
  </si>
  <si>
    <t>RENEWAL MEMBERSHIP FEE</t>
  </si>
  <si>
    <t>'320252063436710423'</t>
  </si>
  <si>
    <t>65X299Z9   O6MFWRKQ         10012
Uber Trip
help.uber.com
CA
O6MFWRKQ         10012</t>
  </si>
  <si>
    <t>'320252060442119603'</t>
  </si>
  <si>
    <t>3CPAYMENT*SOFITEL BABARCELONA           ES</t>
  </si>
  <si>
    <t>07360651764 0034 93 221 65 65
3CPAYMENT*SOFITEL BARCELONA SKIPPER 00
BARCELONA
ES
0034 93 221 65 65Foreign Spend Amount: 200.00 EURO Commission Amount:  Currency Exchange Rate: null</t>
  </si>
  <si>
    <t>AVDA LITORAL 10
BARCELONA</t>
  </si>
  <si>
    <t>08003</t>
  </si>
  <si>
    <t>SPAIN</t>
  </si>
  <si>
    <t>'320252050424422344'</t>
  </si>
  <si>
    <t>07360634133 0034 93 221 65 65
3CPAYMENT*SOFITEL BARCELONA SKIPPER 00
BARCELONA
ES
0034 93 221 65 65Foreign Spend Amount: 681.60 EURO Commission Amount:  Currency Exchange Rate: null</t>
  </si>
  <si>
    <t>'320252060451495820'</t>
  </si>
  <si>
    <t>07360651761 0034 93 221 65 65
3CPAYMENT*SOFITEL BARCELONA SKIPPER 00
BARCELONA
ES
0034 93 221 65 65Foreign Spend Amount: 175.50 EURO Commission Amount:  Currency Exchange Rate: null</t>
  </si>
  <si>
    <t>'320252050424237906'</t>
  </si>
  <si>
    <t>07360651763 0034 93 221 65 65
3CPAYMENT*SOFITEL BARCELONA SKIPPER 00
BARCELONA
ES
0034 93 221 65 65Foreign Spend Amount: 238.00 EURO Commission Amount:  Currency Exchange Rate: null</t>
  </si>
  <si>
    <t>'320252050424376065'</t>
  </si>
  <si>
    <t>'320252040380720573'</t>
  </si>
  <si>
    <t>UBER TRIP           SAN FRANCISCO       CA</t>
  </si>
  <si>
    <t>3YAECMB0    8005928996
UBER TRIP
SAN FRANCISCO
CA
8005928996</t>
  </si>
  <si>
    <t>MR. TREUBLAAN 7
AMSTERDAM</t>
  </si>
  <si>
    <t>1097 DP</t>
  </si>
  <si>
    <t>NETHERLANDS</t>
  </si>
  <si>
    <t>'320252040386706376'</t>
  </si>
  <si>
    <t>LALOLA DE JAVI ABASCSEVILLA             ES</t>
  </si>
  <si>
    <t>10309       RESTAURANT
LALOLA DE JAVI ABASCAL 097465918
SEVILLA
ES
RESTAURANTForeign Spend Amount: 214.90 EURO Commission Amount:  Currency Exchange Rate: null</t>
  </si>
  <si>
    <t>CL CONDE DE TORREJON 9 HOTEL ONE SHOT
SEVILLA</t>
  </si>
  <si>
    <t>'320252040400254054'</t>
  </si>
  <si>
    <t>CH_3RNHHHC6 +14158799686
OPENAI *CHATGPT SUBSCR
SAN FRANCISCO
CA
+14158799686</t>
  </si>
  <si>
    <t>'320252030360579686'</t>
  </si>
  <si>
    <t>G8TW4Y6D    8005928996
UBER TRIP
SAN FRANCISCO
CA
8005928996</t>
  </si>
  <si>
    <t>'320252010307165107'</t>
  </si>
  <si>
    <t>T202435605  877-860-1258
ERACTOLL 8LGZN9
877-860-1258
NY
Description : ERACTOLL 8LGZN9 Price : 0.00
877-860-1258</t>
  </si>
  <si>
    <t>'320252010312700908'</t>
  </si>
  <si>
    <t>NOTTA               SINGAPORE           SG</t>
  </si>
  <si>
    <t>CH_3RLAATA0 +8617722567769
NOTTA
SINGAPORE
SG</t>
  </si>
  <si>
    <t>"#26-01 REPUBLIC PLAZA SINGAPORE, 9 RAFFL"
SINGAPORE</t>
  </si>
  <si>
    <t>048619</t>
  </si>
  <si>
    <t>SINGAPORE</t>
  </si>
  <si>
    <t>'320251970188841327'</t>
  </si>
  <si>
    <t>EL CORTE INGLES-DEPAMADRID              ES</t>
  </si>
  <si>
    <t>00009989    DEPARTMENT STORE
EL CORTE INGLES-DEPARTAM. 000678052
MADRID
ES
DEPARTMENT STOREForeign Spend Amount: 464.75 EURO Commission Amount:  Currency Exchange Rate: null</t>
  </si>
  <si>
    <t>PZA DUQUE DE LA VICTORIA 7
SEVILLA</t>
  </si>
  <si>
    <t>'320251970208036097'</t>
  </si>
  <si>
    <t>Merchandise &amp; Supplies-Department Stores</t>
  </si>
  <si>
    <t>1RWSNNP3    8005928996
UBER TRIP
SAN FRANCISCO
CA
8005928996</t>
  </si>
  <si>
    <t>'320251970190416849'</t>
  </si>
  <si>
    <t>CH_3RLI7WAV +4553503099
TABULAR EDITOR APS
COPENHAGEN V
DK
+4553503099</t>
  </si>
  <si>
    <t>'320251970196795006'</t>
  </si>
  <si>
    <t>49135230    800-331-0500
AT&amp;T MOBILITY RECURRING
800-288-2020
TX
Description : TELECOMMUNICATIONS Price : 0.00
800-331-0500</t>
  </si>
  <si>
    <t>'320251960171828859'</t>
  </si>
  <si>
    <t>CASA PALACIO M LUISAJEREZ DE LA F       ES</t>
  </si>
  <si>
    <t>690898      LODGING
CASA PALACIO M LUISA 355432121
JEREZ DE LA F
ES
LODGINGForeign Spend Amount: 965.50 EURO Commission Amount:  Currency Exchange Rate: null</t>
  </si>
  <si>
    <t>TORNERIA 22
JEREZ DE LA FRONTERA</t>
  </si>
  <si>
    <t>'320251940124426294'</t>
  </si>
  <si>
    <t>A11GY5Z0    DIGITAL GOODS: APPS
GOOGLE *ISHARINGSOFT
G.CO/HELPPAY#
CA
DIGITAL GOODS: APPS</t>
  </si>
  <si>
    <t>'320251930089210150'</t>
  </si>
  <si>
    <t>HERTZNYCFEE 96026872ALBANY              NY</t>
  </si>
  <si>
    <t>CH_3RK0R6GT 8779775771
HERTZNYCFEE 960268724
ALBANY
NY
8779775771</t>
  </si>
  <si>
    <t>'320251930085429702'</t>
  </si>
  <si>
    <t>CH_3RJVUIG7 +15082931383
GETTHELEVERAGE.COM
BOSTON
MA
+15082931383</t>
  </si>
  <si>
    <t>'320251930095276991'</t>
  </si>
  <si>
    <t>BG2ZPS34    8005928996
UBER TRIP
SAN FRANCISCO
CA
8005928996</t>
  </si>
  <si>
    <t>'320251910020223554'</t>
  </si>
  <si>
    <t>3TXB480K    8005928996
UBER TRIP
SAN FRANCISCO
CA
8005928996</t>
  </si>
  <si>
    <t>'320251910020203451'</t>
  </si>
  <si>
    <t>VILLAGE POSTAL WORKSNEW YORK            NY</t>
  </si>
  <si>
    <t>diqCVYBnirb squareup.com/receipts
VILLAGE POSTAL WORKS
NEW YORK
NY
squareup.com/receipts</t>
  </si>
  <si>
    <t>'320251910024160540'</t>
  </si>
  <si>
    <t>Z72Z7F0GYZVZ72Z7F0GYZVX     98052
MICROSOFT
MSBILL.INFO
Z72Z7F0GYZVX     98052</t>
  </si>
  <si>
    <t>'320251900993780349'</t>
  </si>
  <si>
    <t>Z72Y7F10YT8Z72Y7F10YT8R     98052
MICROSOFT
MSBILL.INFO
Z72Y7F10YT8R     98052</t>
  </si>
  <si>
    <t>'320251900993729368'</t>
  </si>
  <si>
    <t>VUELING INFLIGHT SALHARMONDSWORTH       GB</t>
  </si>
  <si>
    <t>594294531   www.es.iairgroup.com
VUELING INFLIGHT SALES IAG Connect
HARMONDSWORTH
GB
www.es.iairgroup.comForeign Spend Amount: 7.99 EURO Commission Amount:  Currency Exchange Rate: null</t>
  </si>
  <si>
    <t>SUBMISSIONS EUR
IRELAND</t>
  </si>
  <si>
    <t>IRELAND</t>
  </si>
  <si>
    <t>'320251900011263824'</t>
  </si>
  <si>
    <t>Travel-Other Travel</t>
  </si>
  <si>
    <t>CH_3RJD6RGZ +15102700840
WWW.PERPLEXITY.AI
SAN FRANCISCO
CA
+15102700840</t>
  </si>
  <si>
    <t>'320251910032577508'</t>
  </si>
  <si>
    <t>219854066  219854066        12866
ARLOTECHNOLOGIES INC
408-638-3750
CA
219854066        12866</t>
  </si>
  <si>
    <t>'320251900987298378'</t>
  </si>
  <si>
    <t>EL CORTE INGLES PLAZBARCELONA           ES</t>
  </si>
  <si>
    <t>00009581    DEPARTMENT STORE
EL CORTE INGLES PLAZA DE CATALUA 00067
BARCELONA
ES
DEPARTMENT STOREForeign Spend Amount: 190.81 EURO Commission Amount:  Currency Exchange Rate: null</t>
  </si>
  <si>
    <t>PZA DE CATALUNA 14
BARCELONA</t>
  </si>
  <si>
    <t>08002</t>
  </si>
  <si>
    <t>'320251890982480259'</t>
  </si>
  <si>
    <t>00006649    DEPARTMENT STORE
EL CORTE INGLES PLAZA DE CATALUA 00067
BARCELONA
ES
DEPARTMENT STOREForeign Spend Amount: 1055.40 EURO Commission Amount:  Currency Exchange Rate: null</t>
  </si>
  <si>
    <t>'320251890982479307'</t>
  </si>
  <si>
    <t>VUELING AIRLINES SA BARCELONA           ES</t>
  </si>
  <si>
    <t>NE53JY_3001 AIRLINE/AIR CARRIER
PASSENGER TICKET
VUELING AIRLINES SA
BARCELONA
ES
Carrier : Vueling
Passenger Name : Nicola/Cristian Alexandru
Ticket Number : NE53JY
Departure Day : 07/09
Additional Info : PASSENGER TICKET
From : BARCELONA
To : SEVILLE
Class : I
From : SEVILLE
To : BARCELONA
Class : IForeign Spend Amount: 162.00 EURO Commission Amount:  Currency Exchange Rate: null</t>
  </si>
  <si>
    <t>PARQUE DE NEGOCIOS MAS BLAU II
"PLAZA PLA DE L'ESTANY, 5"
EL PRAT DE LLOBREGAT</t>
  </si>
  <si>
    <t>08820</t>
  </si>
  <si>
    <t>'320251890967830824'</t>
  </si>
  <si>
    <t>Travel-Airline</t>
  </si>
  <si>
    <t>Z72U7876JQNZ72U7876JQNW     98052
A1010BUSD01
MSBILL.INFO
Z72U7876JQNW     98052</t>
  </si>
  <si>
    <t>'320251880949008783'</t>
  </si>
  <si>
    <t>RESTAURANT ABAC, S.LBARCELONA           ES</t>
  </si>
  <si>
    <t>003705      LODGING
RESTAURANT ABAC, S.L. 022295869
BARCELONA
ES
LODGINGForeign Spend Amount: 775.00 EURO Commission Amount:  Currency Exchange Rate: null</t>
  </si>
  <si>
    <t>"AVDA. TIBIDABO,1"
BARCELONA</t>
  </si>
  <si>
    <t>08022</t>
  </si>
  <si>
    <t>'320251890982456523'</t>
  </si>
  <si>
    <t>CH_3RHVXLCC +14154004291
NOTION LABS, INC.
SAN FRANCISCO
CA
+14154004291</t>
  </si>
  <si>
    <t>'320251870909982486'</t>
  </si>
  <si>
    <t>'320251870904532623'</t>
  </si>
  <si>
    <t>CH_3RHZYGJF +18774484820
GITHUB, INC.
SAN FRANCISCO
CA
+18774484820</t>
  </si>
  <si>
    <t>'320251860888244274'</t>
  </si>
  <si>
    <t>HOTEL DUQUESA DE CARBARCELONA           ES</t>
  </si>
  <si>
    <t>911554      LODGING
HOTEL DUQUESA DE CARDONA 266063106
BARCELONA
ES
LODGINGForeign Spend Amount: 1512.66 EURO Commission Amount:  Currency Exchange Rate: null</t>
  </si>
  <si>
    <t>PG. COLOM 12
BARCELONA</t>
  </si>
  <si>
    <t>'320251860884175018'</t>
  </si>
  <si>
    <t>MERCER GESTION LLEDOBARCELONA           ES</t>
  </si>
  <si>
    <t>2717        LODGING
MERCER GESTION LLEDO SL 014534143
BARCELONA
ES
LODGINGForeign Spend Amount: 389.00 EURO Commission Amount:  Currency Exchange Rate: null</t>
  </si>
  <si>
    <t>LLEDO 7
BARCELONA</t>
  </si>
  <si>
    <t>'320251860884180545'</t>
  </si>
  <si>
    <t>86F6PBGG    8005928996
UBER TRIP
SAN FRANCISCO
CA
8005928996</t>
  </si>
  <si>
    <t>'320251860891294632'</t>
  </si>
  <si>
    <t>Z72X72HAFBBZ72X72HAFBBN     98052
MICROSOFT
MSBILL.INFO
Z72X72HAFBBN     98052</t>
  </si>
  <si>
    <t>'320251850874097731'</t>
  </si>
  <si>
    <t>'320251850859538115'</t>
  </si>
  <si>
    <t>AR55X3BD   J2Q2F576
UBER TRIP
SAN FRANCISCO
CA
J2Q2F576</t>
  </si>
  <si>
    <t>'320251850857893665'</t>
  </si>
  <si>
    <t>2Z9FMZX8   J2Q2F576
UBER TRIP
SAN FRANCISCO
CA
J2Q2F576</t>
  </si>
  <si>
    <t>'320251850857867915'</t>
  </si>
  <si>
    <t>5MNB4SWZ   MQWNMLR4
UBER TRIP
SAN FRANCISCO
CA
MQWNMLR4</t>
  </si>
  <si>
    <t>'320251850857319781'</t>
  </si>
  <si>
    <t>9RRMFX73    8005928996
UBER TRIP
SAN FRANCISCO
CA
8005928996</t>
  </si>
  <si>
    <t>'320251850861916184'</t>
  </si>
  <si>
    <t>EZH774QB    8005928996
UBER TRIP
SAN FRANCISCO
CA
8005928996</t>
  </si>
  <si>
    <t>'320251850861371670'</t>
  </si>
  <si>
    <t>Z72C714M42DZ72C714M42D7     98052
MICROSOFT
MSBILL.INFO
Z72C714M42D7     98052</t>
  </si>
  <si>
    <t>'320251840846618862'</t>
  </si>
  <si>
    <t>AA0DXB46    8005928996
UBER TRIP
SAN FRANCISCO
CA
8005928996</t>
  </si>
  <si>
    <t>'320251840829731355'</t>
  </si>
  <si>
    <t>13H94M4S   MED37XBI
UBER TRIP
SAN FRANCISCO
CA
MED37XBI</t>
  </si>
  <si>
    <t>'320251840835330484'</t>
  </si>
  <si>
    <t>T200622578  877-860-1258
ERACTOLL 8LGZN9
877-860-1258
NY
Description : ERACTOLL 8LGZN9 Price : 0.00
877-860-1258</t>
  </si>
  <si>
    <t>'320251840840232076'</t>
  </si>
  <si>
    <t>31888256    COMPUTER PROGRAMMING
HUBSPOT INC.
CAMBRIDGE, MASSACHUSE
MA
COMPUTER PROGRAMMING</t>
  </si>
  <si>
    <t>'320251830820680751'</t>
  </si>
  <si>
    <t>CH_2RGG0GVY +18886043188
TOPTAL.COM
SAN FRANCISCO
CA
+18886043188</t>
  </si>
  <si>
    <t>'320251840844965264'</t>
  </si>
  <si>
    <t>NZN7XAYD   GPBHDU4Z
UBER TRIP
SAN FRANCISCO
CA
GPBHDU4Z</t>
  </si>
  <si>
    <t>'320251830798203091'</t>
  </si>
  <si>
    <t>2BYEC12B    8005928996
UBER TRIP
SAN FRANCISCO
CA
8005928996</t>
  </si>
  <si>
    <t>'320251830801801490'</t>
  </si>
  <si>
    <t>2WB3PP48    8005928996
UBER TRIP
SAN FRANCISCO
CA
8005928996</t>
  </si>
  <si>
    <t>'320251830797955161'</t>
  </si>
  <si>
    <t>BGF2ASW7    8005928996
UBER TRIP
SAN FRANCISCO
CA
8005928996</t>
  </si>
  <si>
    <t>'320251830801750926'</t>
  </si>
  <si>
    <t>AIR FRANCE          NEW YORK</t>
  </si>
  <si>
    <t>283645      AIRLINE/AIR CARRIER
PREFERRED SEAT UPGRADE
AIR FRANCE
NEW YORK
Carrier : AIR FRANCE
Passenger Name : NICOLA/CRISTIAN ALEXANDRU
Ticket Number : 05742267240334
Additional Info : PREFERRED SEAT UPGRADE</t>
  </si>
  <si>
    <t>SUBMISSIONS USD</t>
  </si>
  <si>
    <t>USA</t>
  </si>
  <si>
    <t>00000</t>
  </si>
  <si>
    <t>'320251830805220480'</t>
  </si>
  <si>
    <t>283645      AIRLINE/AIR CARRIER
PASSENGER TICKET
AIR FRANCE
NEW YORK
Carrier : AIR FRANCE
Passenger Name : NICOLA/CRISTIAN ALEXANDRU
Ticket Number : 05723406416475
Departure Day : 07/05
Additional Info : PASSENGER TICKET
From : PARIS CHARLES DE G
To : BARCELONA
Class : F</t>
  </si>
  <si>
    <t>'320251830805237995'</t>
  </si>
  <si>
    <t>283645      AIRLINE/AIR CARRIER
TICKET CHANGE OR CANCEL FEE
AIR FRANCE
NEW YORK
Carrier : AIR FRANCE
Passenger Name : NICOLA/CRISTIAN ALEXANDRU
Ticket Number : 05742267240323
Additional Info : TICKET CHANGE OR CANCEL FEE</t>
  </si>
  <si>
    <t>'320251830805203773'</t>
  </si>
  <si>
    <t>80CB7W30   LQELI2QJ
UBER TRIP
SAN FRANCISCO
CA
LQELI2QJ</t>
  </si>
  <si>
    <t>'320251820773285104'</t>
  </si>
  <si>
    <t>7PBJ8GQT    8005928996
UBER TRIP
SAN FRANCISCO
CA
8005928996</t>
  </si>
  <si>
    <t>'320251830802528970'</t>
  </si>
  <si>
    <t>98VA48C5    8005928996
UBER TRIP
SAN FRANCISCO
CA
8005928996</t>
  </si>
  <si>
    <t>'320251820773171220'</t>
  </si>
  <si>
    <t>JY4NZF93   DP6MEAX6
UBER TRIP
SAN FRANCISCO
CA
DP6MEAX6</t>
  </si>
  <si>
    <t>'320251820773236419'</t>
  </si>
  <si>
    <t>N0000003997VZWRLSS*APOCC
VZW APO
800-922-0204
FL
VZWRLSS*APOCC</t>
  </si>
  <si>
    <t>'320251820780889978'</t>
  </si>
  <si>
    <t>CHATEAUDEVERSAILLESVVERSAILLES          FR</t>
  </si>
  <si>
    <t>17cfc23faca GOVERNMENT SERVICE
CHATEAUDEVERSAILLESVEL
VERSAILLES
FR
GOVERNMENT SERVICEForeign Spend Amount: 80.00 EURO Commission Amount:  Currency Exchange Rate: null</t>
  </si>
  <si>
    <t>RP 834
VERSAILLES</t>
  </si>
  <si>
    <t>FRANCE</t>
  </si>
  <si>
    <t>'320251820778915551'</t>
  </si>
  <si>
    <t>Entertainment-General Attractions</t>
  </si>
  <si>
    <t>SOC AMIS DU LOUVRE  PARIS</t>
  </si>
  <si>
    <t>CH_3RFD3MCX +33140205364
SOC AMIS DU LOUVRE
PARIS
+33140205364Foreign Spend Amount: 85.00 EURO Commission Amount:  Currency Exchange Rate: null</t>
  </si>
  <si>
    <t>"PALAIS DU LOUVRE, PLACE DU CARROUSEL"
PARIS</t>
  </si>
  <si>
    <t>'320251810745480207'</t>
  </si>
  <si>
    <t>CH_3RFCUCCX +33140205364
SOC AMIS DU LOUVRE
PARIS
+33140205364Foreign Spend Amount: 85.00 EURO Commission Amount:  Currency Exchange Rate: null</t>
  </si>
  <si>
    <t>'320251810745651849'</t>
  </si>
  <si>
    <t>8Z71RM18   MJPPIBFI
UBER TRIP
SAN FRANCISCO
CA
MJPPIBFI</t>
  </si>
  <si>
    <t>'320251810742601423'</t>
  </si>
  <si>
    <t>DXYVESTC   LQS6Y3LQ
UBER TRIP
SAN FRANCISCO
CA
LQS6Y3LQ</t>
  </si>
  <si>
    <t>'320251810742531606'</t>
  </si>
  <si>
    <t>GFWZ4GZ4   P23EBJ4L
UBER TRIP
SAN FRANCISCO
CA
P23EBJ4L</t>
  </si>
  <si>
    <t>'320251820772919263'</t>
  </si>
  <si>
    <t>7WF0WXN3    8005928996
UBER TRIP
SAN FRANCISCO
CA
8005928996</t>
  </si>
  <si>
    <t>'320251810742520227'</t>
  </si>
  <si>
    <t>P6T9QW6S    8005928996
UBER TRIP
SAN FRANCISCO
CA
8005928996</t>
  </si>
  <si>
    <t>'320251810738577781'</t>
  </si>
  <si>
    <t>KS7WP86Y    8005928996
UBER TRIP
SAN FRANCISCO
CA
8005928996</t>
  </si>
  <si>
    <t>'320251810742520615'</t>
  </si>
  <si>
    <t>N3XB7SRB   MJPPIBFI
UBER TRIP
SAN FRANCISCO
CA
MJPPIBFI</t>
  </si>
  <si>
    <t>'320251810743524583'</t>
  </si>
  <si>
    <t>C4ZB95CY   NVBGKAWE
UBER TRIP
SAN FRANCISCO
CA
NVBGKAWE</t>
  </si>
  <si>
    <t>'320251800715784321'</t>
  </si>
  <si>
    <t>2SXE4N5Z    8005928996
UBER TRIP
SAN FRANCISCO
CA
8005928996</t>
  </si>
  <si>
    <t>'320251800714791510'</t>
  </si>
  <si>
    <t>85562JSE    8005928996
UBER TRIP
SAN FRANCISCO
CA
8005928996</t>
  </si>
  <si>
    <t>'320251810742203332'</t>
  </si>
  <si>
    <t>FQDS5PK9   3E5WFS5P
UBER TRIP
SAN FRANCISCO
CA
3E5WFS5P</t>
  </si>
  <si>
    <t>'320251800711755047'</t>
  </si>
  <si>
    <t>PJMDBE5B    8005928996
UBER TRIP
SAN FRANCISCO
CA
8005928996</t>
  </si>
  <si>
    <t>'320251800715833482'</t>
  </si>
  <si>
    <t>HRZFHHG7   FX524H6R
UBER TRIP
SAN FRANCISCO
CA
FX524H6R</t>
  </si>
  <si>
    <t>'320251790687565071'</t>
  </si>
  <si>
    <t>DDBP0BYE   B62PGK36
UBER TRIP
SAN FRANCISCO
CA
B62PGK36</t>
  </si>
  <si>
    <t>'320251790689159951'</t>
  </si>
  <si>
    <t>BEC60XQ5    8005928996
UBER TRIP
SAN FRANCISCO
CA
8005928996</t>
  </si>
  <si>
    <t>'320251790689074175'</t>
  </si>
  <si>
    <t>HXBY89ZV   B62PGK36
UBER TRIP
SAN FRANCISCO
CA
B62PGK36</t>
  </si>
  <si>
    <t>'320251790689142356'</t>
  </si>
  <si>
    <t>4A79WXRM    8005928996
UBER TRIP
SAN FRANCISCO
CA
8005928996</t>
  </si>
  <si>
    <t>'320251790686815739'</t>
  </si>
  <si>
    <t>AMAZON PRIME*NQ4B61J888-802-3080        WA</t>
  </si>
  <si>
    <t>7BJSU73UIXS DIGITAL
AMAZON PRIME*NQ4B61J50
888-802-3080
WA
DIGITAL</t>
  </si>
  <si>
    <t>'320251770629782187'</t>
  </si>
  <si>
    <t>T199797659  877-860-1258
ERACTOLL 8LGZN9
877-860-1258
NY
Description : ERACTOLL 8LGZN9 Price : 0.00
877-860-1258</t>
  </si>
  <si>
    <t>'320251770638957002'</t>
  </si>
  <si>
    <t>MAISON FL           PARIS               FR</t>
  </si>
  <si>
    <t>L1769lhn0j0 http://www.maisonfl.c
http://www.maisonfl.com
MAISON FL
PARIS
FR
http://www.maisonfl.comForeign Spend Amount: 860.00 EURO Commission Amount:  Currency Exchange Rate: null</t>
  </si>
  <si>
    <t>6 RUE DE LA TOUR
PARIS</t>
  </si>
  <si>
    <t>'320251790684846309'</t>
  </si>
  <si>
    <t>Q1GKWWPS    8005928996
UBER TRIP
SAN FRANCISCO
CA
8005928996</t>
  </si>
  <si>
    <t>'320251750571657659'</t>
  </si>
  <si>
    <t>'320251740541802456'</t>
  </si>
  <si>
    <t>DELTA AIR LINES     ATLANTA</t>
  </si>
  <si>
    <t>18002211212
ADDITIONAL COLLECTION
DELTA AIR LINES
ATLANTA
Carrier : DELTA AIR LINES
Passenger Name : NICOLA/ELENA FIONA
Ticket Number : 0062330765239
Departure Day : 06/21
Additional Info : ADDITIONAL COLLECTION
From : N.Y. J F KENNEDY I
To : PARIS CHARLES DE G
From : PARIS CHARLES DE G
To : N.Y. J F KENNEDY I</t>
  </si>
  <si>
    <t>DEPT 680 1030 DELTA BLVD</t>
  </si>
  <si>
    <t>ATLANTA
GA</t>
  </si>
  <si>
    <t>'320251730531662661'</t>
  </si>
  <si>
    <t>CH_3RCOX3C6 +14158799686
OPENAI *CHATGPT SUBSCR
SAN FRANCISCO
CA
+14158799686</t>
  </si>
  <si>
    <t>'320251730524482219'</t>
  </si>
  <si>
    <t>953EXAZD    8005928996
UBER TRIP
SAN FRANCISCO
CA
8005928996</t>
  </si>
  <si>
    <t>'320251730520338697'</t>
  </si>
  <si>
    <t>37QC16Y0   B3PULAIT         11430
Uber Trip
help.uber.com
CA
B3PULAIT         11430</t>
  </si>
  <si>
    <t>'320251730522914471'</t>
  </si>
  <si>
    <t>nzW9v3s2S5N squareup.com/receipts
THE CLEANERS IO, LLC
NEW YORK
NY
squareup.com/receipts</t>
  </si>
  <si>
    <t>'320251710467590026'</t>
  </si>
  <si>
    <t>'320251710456036908'</t>
  </si>
  <si>
    <t>CRA012473651 06/17/2025 NEW YORK
PREM CAR RENTAL PROTECTION 800-228-6855</t>
  </si>
  <si>
    <t>'320251700455958607'</t>
  </si>
  <si>
    <t>595R296P   AHK5SLKG         11249
Uber Trip
help.uber.com
CA
AHK5SLKG         11249</t>
  </si>
  <si>
    <t>'320251700437786531'</t>
  </si>
  <si>
    <t>57XCRHJ1   W7B4CRAW         11249
Uber Trip
help.uber.com
CA
W7B4CRAW         11249</t>
  </si>
  <si>
    <t>'320251700438113020'</t>
  </si>
  <si>
    <t>QS8NWSB4   TY53X2EL         94105
Uber Trip
help.uber.com
CA
TY53X2EL         94105</t>
  </si>
  <si>
    <t>'320251700438917891'</t>
  </si>
  <si>
    <t>85AWJPGR   PDXNHWXX         11203
Uber Trip
help.uber.com
CA
PDXNHWXX         11203</t>
  </si>
  <si>
    <t>'320251700437823311'</t>
  </si>
  <si>
    <t>T198988098  877-860-1258
ERACTOLL 7Y329K
877-860-1258
NY
Description : ERACTOLL 7Y329K Price : 0.00
877-860-1258</t>
  </si>
  <si>
    <t>'320251700446667131'</t>
  </si>
  <si>
    <t>CH_3RBAVWEK +14158890787
IDEA BROWSER
AVENTURA
FL
+14158890787</t>
  </si>
  <si>
    <t>'320251700438173615'</t>
  </si>
  <si>
    <t>NKWASW6S   KEL2ICG6         10012
Uber Trip
help.uber.com
CA
KEL2ICG6         10012</t>
  </si>
  <si>
    <t>'320251690409907019'</t>
  </si>
  <si>
    <t>J4VQG0YD   QE5BJM5H         10001
Uber Trip
help.uber.com
CA
QE5BJM5H         10001</t>
  </si>
  <si>
    <t>'320251690410771401'</t>
  </si>
  <si>
    <t>012473651   212-5332900
ENTERPRISE RENT-A-CAR
NEW YORK
NY</t>
  </si>
  <si>
    <t>'320251690423266720'</t>
  </si>
  <si>
    <t>CH_3RAV8AGT 8774114300
HERTZTOLL 960268724
ALBANY
NY
8774114300</t>
  </si>
  <si>
    <t>'320251680385647163'</t>
  </si>
  <si>
    <t>DROPBOX*LXKFBV6V33SVSAN FRANCISCO       CA</t>
  </si>
  <si>
    <t>GYRWESPG   621559370        94107
DROPBOX*LXKFBV6V33SV
SAN FRANCISCO
CA
621559370        94107</t>
  </si>
  <si>
    <t>333 BRANNAN ST</t>
  </si>
  <si>
    <t>'320251670350313529'</t>
  </si>
  <si>
    <t>SADDLE RIVER MUNICIPHAMILTON            NJ</t>
  </si>
  <si>
    <t>333147250   201-327-2132
SADDLE RIVER MUNICIPAL C
HAMILTON
NJ
Description : NJ 0258 SADDLE RIVE Price : 0.00
201-327-2132</t>
  </si>
  <si>
    <t>15 WEST STATE ST 2ND
FL</t>
  </si>
  <si>
    <t>TRENTON
NJ</t>
  </si>
  <si>
    <t>08608</t>
  </si>
  <si>
    <t>'320251670366624714'</t>
  </si>
  <si>
    <t>Other-Government Services</t>
  </si>
  <si>
    <t>00251800009 5185811201
STEWARTS ICE CREAM
SARATOGA SPRINGS
NY
Description : AUTOMATED FUEL Price : 0.6678
5185811201</t>
  </si>
  <si>
    <t>'320251670369658555'</t>
  </si>
  <si>
    <t>CH_3RAPPWAV +4553503099
TABULAR EDITOR APS
COPENHAGEN V
DK
+4553503099</t>
  </si>
  <si>
    <t>'320251670359635481'</t>
  </si>
  <si>
    <t>48101738    800-331-0500
AT&amp;T MOBILITY RECURRING
800-288-2020
TX
Description : TELECOMMUNICATIONS Price : 0.00
800-331-0500</t>
  </si>
  <si>
    <t>'320251660339393993'</t>
  </si>
  <si>
    <t>Q3B2RQ3R   CNKTYVJN         10012
Uber Trip
help.uber.com
CA
CNKTYVJN         10012</t>
  </si>
  <si>
    <t>'320251640270872978'</t>
  </si>
  <si>
    <t>A1106FQ7    COMPUTER STORE
GOOGLE *ISHARINGSOFT
G.CO/HELPPAY#
CA
COMPUTER STORE</t>
  </si>
  <si>
    <t>'320251630251012321'</t>
  </si>
  <si>
    <t>'320251630237105628'</t>
  </si>
  <si>
    <t>00PXY1E4   GEA2AQCR         10012
Uber Trip
help.uber.com
CA
GEA2AQCR         10012</t>
  </si>
  <si>
    <t>'320251630242430112'</t>
  </si>
  <si>
    <t>61CXQ2WY   UBPTXZPM         10021
Uber Trip
help.uber.com
CA
UBPTXZPM         10021</t>
  </si>
  <si>
    <t>'320251630242509829'</t>
  </si>
  <si>
    <t>CH_3RZ3AJG7 +15082931383
GETTHELEVERAGE.COM
BOSTON
MA
+15082931383</t>
  </si>
  <si>
    <t>'320251630254354968'</t>
  </si>
  <si>
    <t>'320251620208672739'</t>
  </si>
  <si>
    <t>GJ2YWR49   Q3BAAQUD         10012
Uber Trip
help.uber.com
CA
Q3BAAQUD         10012</t>
  </si>
  <si>
    <t>'320251620215798702'</t>
  </si>
  <si>
    <t>96QVV93V   RR6MNT2T         94105
Uber Trip
help.uber.com
CA
RR6MNT2T         94105</t>
  </si>
  <si>
    <t>'320251620215676798'</t>
  </si>
  <si>
    <t>THE CLEANERS IO, LLCNew York            NY</t>
  </si>
  <si>
    <t>BC5a1BbtdtW squareup.com/receipts
THE CLEANERS IO, LLC
New York
NY
squareup.com/receipts</t>
  </si>
  <si>
    <t>'320251610186199653'</t>
  </si>
  <si>
    <t>AIRFLIGHT INSURANCE PREMIUM 800-228-6855</t>
  </si>
  <si>
    <t>TKT NO. 05723393383610
AIRFLIGHT INSURANCE PREMIUM 800-228-6855</t>
  </si>
  <si>
    <t>P O BOX 19020</t>
  </si>
  <si>
    <t>GREENBAY
WI</t>
  </si>
  <si>
    <t>'320251600178019290'</t>
  </si>
  <si>
    <t>TKT NO. NE53JY
AIRFLIGHT INSURANCE PREMIUM 800-228-6855</t>
  </si>
  <si>
    <t>'320251600178019291'</t>
  </si>
  <si>
    <t>BAGGAGE INSURANCE PREMIUM 800-228-6855</t>
  </si>
  <si>
    <t>TKT NO. 05723393383610
BAGGAGE INSURANCE PREMIUM 800-228-6855</t>
  </si>
  <si>
    <t>777 AMERICAN EXPRESSWAY
ATTN: TINA HYMAN</t>
  </si>
  <si>
    <t>FT LAUDERDALE
FL</t>
  </si>
  <si>
    <t>'320251600178019292'</t>
  </si>
  <si>
    <t>TKT NO. NE53JY
BAGGAGE INSURANCE PREMIUM 800-228-6855</t>
  </si>
  <si>
    <t>'320251600178019293'</t>
  </si>
  <si>
    <t>Z7315J259H4Z7315J259H4F     98052
MICROSOFT
MSBILL.INFO
Z7315J259H4F     98052</t>
  </si>
  <si>
    <t>'320251600164388304'</t>
  </si>
  <si>
    <t>Z7385KC5HYOZ7385KC5HYOI     98052
MICROSOFT
MSBILL.INFO
Z7385KC5HYOI     98052</t>
  </si>
  <si>
    <t>'320251600164355623'</t>
  </si>
  <si>
    <t>TRAVEL DELAY 800-228-6855</t>
  </si>
  <si>
    <t>TKT NO. NE53JY
TRAVEL DELAY 800-228-6855</t>
  </si>
  <si>
    <t>3200 E CAMELBACK</t>
  </si>
  <si>
    <t>PHOENIX
AZ</t>
  </si>
  <si>
    <t>UNITED STATES OF AMERICA (THE)</t>
  </si>
  <si>
    <t>'320251600178019294'</t>
  </si>
  <si>
    <t>TKT NO. 05723393383610
TRAVEL DELAY 800-228-6855</t>
  </si>
  <si>
    <t>'320251600178019295'</t>
  </si>
  <si>
    <t>J8QXZHG2   M5UZ7WPO         11368
Uber Trip
help.uber.com
CA
M5UZ7WPO         11368</t>
  </si>
  <si>
    <t>'320251600161322017'</t>
  </si>
  <si>
    <t>EP6PNCMV   PLJIZBH3         94105
Uber Trip
help.uber.com
CA
PLJIZBH3         94105</t>
  </si>
  <si>
    <t>'320251600161123797'</t>
  </si>
  <si>
    <t>CH_3RYJQPGZ +15102700840
WWW.PERPLEXITY.AI
SAN FRANCISCO
CA
+15102700840</t>
  </si>
  <si>
    <t>'320251610196862427'</t>
  </si>
  <si>
    <t>2BVCN1WX   ZFULAWZP         10012
Uber Trip
help.uber.com
CA
ZFULAWZP         10012</t>
  </si>
  <si>
    <t>'320251590131221470'</t>
  </si>
  <si>
    <t>NE53JY_2978 AIRLINE/AIR CARRIER
PASSENGER TICKET
VUELING AIRLINES SA
BARCELONA
ES
Carrier : Vueling
Passenger Name : Nicola/Cristian Alexandru
Ticket Number : NE53JY
Departure Day : 07/09
Additional Info : PASSENGER TICKET
From : BARCELONA
To : SEVILLE
Class : I
From : SEVILLE
To : BARCELONA
Class : IForeign Spend Amount: 1161.96 EURO Commission Amount:  Currency Exchange Rate: null</t>
  </si>
  <si>
    <t>'320251590150731051'</t>
  </si>
  <si>
    <t>Z72D5EVCTK2Z72D5EVCTK2V     98052
A1010BUSD01
MSBILL.INFO
Z72D5EVCTK2V     98052</t>
  </si>
  <si>
    <t>'320251580125419072'</t>
  </si>
  <si>
    <t>244887      AIRLINE/AIR CARRIER
PREFERRED SEAT UPGRADE
AIR FRANCE
NEW YORK
Carrier : AIR FRANCE
Passenger Name : NICOLA/CRISTIAN ALEXANDRU
Ticket Number : 05742258523315
Additional Info : PREFERRED SEAT UPGRADE</t>
  </si>
  <si>
    <t>'320251590137160788'</t>
  </si>
  <si>
    <t>244887      AIRLINE/AIR CARRIER
PASSENGER TICKET
AIR FRANCE
NEW YORK
Carrier : AIR FRANCE
Passenger Name : NICOLA/CRISTIAN ALEXANDRU
Ticket Number : 05723393383610
Departure Day : 07/05
Additional Info : PASSENGER TICKET
From : PARIS CHARLES DE G
To : BARCELONA
Class : F</t>
  </si>
  <si>
    <t>'320251590137159305'</t>
  </si>
  <si>
    <t>218365053  218365053        12866
ARLOTECHNOLOGIES INC
408-638-3750
CA
218365053        12866</t>
  </si>
  <si>
    <t>'320251600158528271'</t>
  </si>
  <si>
    <t>CH_3RXJ7HGT 8774114300
HERTZTOLL 960268724
ALBANY
NY
8774114300</t>
  </si>
  <si>
    <t>'320251580113651804'</t>
  </si>
  <si>
    <t>CH_3RX2I3CC +14154004291
NOTION LABS, INC.
SAN FRANCISCO
CA
+14154004291</t>
  </si>
  <si>
    <t>'320251570078056038'</t>
  </si>
  <si>
    <t>32F93PDG   55O6NI6F         10012
Uber Trip
help.uber.com
CA
55O6NI6F         10012</t>
  </si>
  <si>
    <t>'320251570076251281'</t>
  </si>
  <si>
    <t>5AXB4QNA   XBS4QE6K         10019
Uber Trip
help.uber.com
CA
XBS4QE6K         10019</t>
  </si>
  <si>
    <t>'320251570077367585'</t>
  </si>
  <si>
    <t>CH_3RWHT8JF +18774484820
GITHUB, INC.
SAN FRANCISCO
CA
+18774484820</t>
  </si>
  <si>
    <t>'320251560049686040'</t>
  </si>
  <si>
    <t>CRA009810683 04/18/2025 NEW YORK
PREM CAR RENTAL PROTECTION 800-228-6855</t>
  </si>
  <si>
    <t>'320251560067875768'</t>
  </si>
  <si>
    <t>FMVVTX5D   Z2QQ7ED5         10012
Uber Trip
help.uber.com
CA
Z2QQ7ED5         10012</t>
  </si>
  <si>
    <t>'320251560050783200'</t>
  </si>
  <si>
    <t>NPAJEQW8   SMFXK4CY         10001
Uber Trip
help.uber.com
CA
SMFXK4CY         10001</t>
  </si>
  <si>
    <t>'320251560047407252'</t>
  </si>
  <si>
    <t>Bazaar              New York            NY</t>
  </si>
  <si>
    <t>2773       2773             10001
Bazaar
New York
NY
2773             10001</t>
  </si>
  <si>
    <t>1185 BROADWAY</t>
  </si>
  <si>
    <t>'320251560058432173'</t>
  </si>
  <si>
    <t>2791       2791             10001
Bazaar
New York
NY
2791             10001</t>
  </si>
  <si>
    <t>'320251560056868446'</t>
  </si>
  <si>
    <t>Z72T59AU7JWZ72T59AU7JW3     98052
MICROSOFT
MSBILL.INFO
Z72T59AU7JW3     98052</t>
  </si>
  <si>
    <t>'320251550025877453'</t>
  </si>
  <si>
    <t>'320251550021892484'</t>
  </si>
  <si>
    <t>009810683   212-5332900
ENTERPRISE RENT-A-CAR
NEW YORK
NY</t>
  </si>
  <si>
    <t>'320251550036297849'</t>
  </si>
  <si>
    <t>Z73155R6XZ7Z73155R6XZ7E     98052
MICROSOFT
MSBILL.INFO
Z73155R6XZ7E     98052</t>
  </si>
  <si>
    <t>'320251540004424437'</t>
  </si>
  <si>
    <t>'320251540985648758'</t>
  </si>
  <si>
    <t>31047035    COMPUTER PROGRAMMING
HUBSPOT INC.
CAMBRIDGE, MASSACHUSE
MA
COMPUTER PROGRAMMING</t>
  </si>
  <si>
    <t>'320251530978747236'</t>
  </si>
  <si>
    <t>CH_2RVNHRVY +18886043188
TOPTAL.COM
SAN FRANCISCO
CA
+18886043188</t>
  </si>
  <si>
    <t>'320251540002740728'</t>
  </si>
  <si>
    <t>T196999934  877-860-1258
ERACTOLL 7Y329K
877-860-1258
NY
Description : ERACTOLL 7Y329K Price : 0.00
877-860-1258</t>
  </si>
  <si>
    <t>'320251530971107829'</t>
  </si>
  <si>
    <t>Q0BZ0P49   OCIALATN         10012
Uber Trip
help.uber.com
CA
OCIALATN         10012</t>
  </si>
  <si>
    <t>'320251520933848199'</t>
  </si>
  <si>
    <t>N0000003972VZWRLSS*APOCC
VZW APO
800-922-0204
FL
VZWRLSS*APOCC</t>
  </si>
  <si>
    <t>'320251520938829672'</t>
  </si>
  <si>
    <t>CARLYLE HOTEL       NEW YORK            NY</t>
  </si>
  <si>
    <t>808261     168079           10021
CARLYLE HOTEL
NEW YORK
NY
168079           10021</t>
  </si>
  <si>
    <t>35 EAST 76TH ST</t>
  </si>
  <si>
    <t>10021-1827</t>
  </si>
  <si>
    <t>'320251520937510036'</t>
  </si>
  <si>
    <t>COVERGIRL.MAXIM.COM SAN ANTONIO         TX</t>
  </si>
  <si>
    <t>CH_3RUJ9CAC +12102014187
COVERGIRL.MAXIM.COM
SAN ANTONIO
TX
+12102014187</t>
  </si>
  <si>
    <t>19100 RIDGEWOOD PKWY
SUITE 1200</t>
  </si>
  <si>
    <t>SAN ANTONIO
TX</t>
  </si>
  <si>
    <t>'320251500891486972'</t>
  </si>
  <si>
    <t>CH_3RUCFLAC +12102014187
COVERGIRL.MAXIM.COM
SAN ANTONIO
TX
+12102014187</t>
  </si>
  <si>
    <t>'320251500894845205'</t>
  </si>
  <si>
    <t>CH_3RUJBXAC +12102014187
COVERGIRL.MAXIM.COM
SAN ANTONIO
TX
+12102014187</t>
  </si>
  <si>
    <t>'320251500891492678'</t>
  </si>
  <si>
    <t>HR9C4EX4   EWY334ND         10001
Uber Trip
help.uber.com
CA
EWY334ND         10001</t>
  </si>
  <si>
    <t>'320251470801704053'</t>
  </si>
  <si>
    <t>7CJFAZYN   S6JLGUJY         10012
Uber Trip
help.uber.com
CA
S6JLGUJY         10012</t>
  </si>
  <si>
    <t>'320251470801891662'</t>
  </si>
  <si>
    <t>BTRAM6ND   YY6JTMGG         10001
Uber Trip
help.uber.com
CA
YY6JTMGG         10001</t>
  </si>
  <si>
    <t>'320251470800852907'</t>
  </si>
  <si>
    <t>AMAZON PRIME*NZ51H3R888-802-3080        WA</t>
  </si>
  <si>
    <t>3A8T3U2PA74 DIGITAL
AMAZON PRIME*NZ51H3RF0
888-802-3080
WA
DIGITAL</t>
  </si>
  <si>
    <t>'320251460769509332'</t>
  </si>
  <si>
    <t>CLEARME.COM         NEW YORK            NY</t>
  </si>
  <si>
    <t>CH_3RTAA8C8 +18552532763
CLEARME.COM
NEW YORK
NY
+18552532763</t>
  </si>
  <si>
    <t>10TH FLOOR
85 TENTH AVENUE</t>
  </si>
  <si>
    <t>'320251470813962603'</t>
  </si>
  <si>
    <t>Nubeluz             New York            NY</t>
  </si>
  <si>
    <t>3727       3727             10001
Nubeluz
New York
NY
3727             10001</t>
  </si>
  <si>
    <t>'320251470807919962'</t>
  </si>
  <si>
    <t>KPRN36V9   ZBX6PMCK         10001
Uber Trip
help.uber.com
CA
ZBX6PMCK         10001</t>
  </si>
  <si>
    <t>'320251460771880988'</t>
  </si>
  <si>
    <t>7BJ5MVHT   S3JWKNOB         10012
Uber Trip
help.uber.com
CA
S3JWKNOB         10012</t>
  </si>
  <si>
    <t>'320251460767844286'</t>
  </si>
  <si>
    <t>B160QYW1   UTUTKEP4         10012
Uber Trip
help.uber.com
CA
UTUTKEP4         10012</t>
  </si>
  <si>
    <t>'320251460772207401'</t>
  </si>
  <si>
    <t>Zaytinya St         New York            NY</t>
  </si>
  <si>
    <t>1911       1911             10001
Zaytinya St
New York
NY
1911             10001</t>
  </si>
  <si>
    <t>'320251470807820174'</t>
  </si>
  <si>
    <t>WWW.RISENY* WWW.RISENEW YORK            NY</t>
  </si>
  <si>
    <t>CH_3RSG61AC +18338783967
WWW.RISENY* WWW.RISENY
NEW YORK
NY
+18338783967</t>
  </si>
  <si>
    <t>70 WEST 40TH ST
9TH FLOOR</t>
  </si>
  <si>
    <t>'320251460784612761'</t>
  </si>
  <si>
    <t>T195948991  877-860-1258
ERACTOLL 7Y329K
877-860-1258
NY
Description : ERACTOLL 7Y329K Price : 0.00
877-860-1258</t>
  </si>
  <si>
    <t>'320251450753621505'</t>
  </si>
  <si>
    <t>818AW7YN   E44DMAUL         10013
Uber Trip
help.uber.com
CA
E44DMAUL         10013</t>
  </si>
  <si>
    <t>'320251440720839300'</t>
  </si>
  <si>
    <t>E84MK7GT   THAYXIYW         10003
Uber Trip
help.uber.com
CA
THAYXIYW         10003</t>
  </si>
  <si>
    <t>'320251440720617713'</t>
  </si>
  <si>
    <t>K08QJ15T   MOSUS3JJ         10001
Uber Trip
help.uber.com
CA
MOSUS3JJ         10001</t>
  </si>
  <si>
    <t>'320251440722934210'</t>
  </si>
  <si>
    <t>2Z23WXXM   EZOYAUT6         10013
Uber Trip
help.uber.com
CA
EZOYAUT6         10013</t>
  </si>
  <si>
    <t>'320251440721030859'</t>
  </si>
  <si>
    <t>NEW YORK C* NY COMEDNEW YORK            NY</t>
  </si>
  <si>
    <t>CH_3RS6UIGN +15167789814
NEW YORK C* NY COMEDY
NEW YORK
NY
+15167789814</t>
  </si>
  <si>
    <t>85 EAST 4TH ST</t>
  </si>
  <si>
    <t>'320251440735034001'</t>
  </si>
  <si>
    <t>MICROSOFT#G093237240MSBILL.INFO         WA</t>
  </si>
  <si>
    <t>Z7364EPPVALZ7364EPPVALQ     12866-
COMPUTER EQUIP/SOFTWARE
MICROSOFT#G093237240 2BMO
MSBILL.INFO
WA
COMPUTER EQUIP/SOFTWARE
Z7364EPPVALQ     12866-</t>
  </si>
  <si>
    <t>'320251420674274862'</t>
  </si>
  <si>
    <t>CH_3RRAADC6 +14158799686
OPENAI *CHATGPT SUBSCR
SAN FRANCISCO
CA
+14158799686</t>
  </si>
  <si>
    <t>'320251420662327111'</t>
  </si>
  <si>
    <t>CH_3RRCJCAC +12102014187
COVERGIRL.MAXIM.COM
SAN ANTONIO
TX
+12102014187</t>
  </si>
  <si>
    <t>'320251410633037949'</t>
  </si>
  <si>
    <t>CH_3RRCKGAC +12102014187
COVERGIRL.MAXIM.COM
SAN ANTONIO
TX
+12102014187</t>
  </si>
  <si>
    <t>'320251410633038428'</t>
  </si>
  <si>
    <t>CH_3RRCUUAC +12102014187
COVERGIRL.MAXIM.COM
SAN ANTONIO
TX
+12102014187</t>
  </si>
  <si>
    <t>'320251410633072756'</t>
  </si>
  <si>
    <t>CH_3RRCVAAC +12102014187
COVERGIRL.MAXIM.COM
SAN ANTONIO
TX
+12102014187</t>
  </si>
  <si>
    <t>'320251410633073455'</t>
  </si>
  <si>
    <t>CH_3RRMBCAC +12102014187
COVERGIRL.MAXIM.COM
SAN ANTONIO
TX
+12102014187</t>
  </si>
  <si>
    <t>'320251420674016674'</t>
  </si>
  <si>
    <t>CH_3RRMBVAC +12102014187
COVERGIRL.MAXIM.COM
SAN ANTONIO
TX
+12102014187</t>
  </si>
  <si>
    <t>'320251420674019780'</t>
  </si>
  <si>
    <t>CH_3RRMX0AC +12102014187
COVERGIRL.MAXIM.COM
SAN ANTONIO
TX
+12102014187</t>
  </si>
  <si>
    <t>'320251420671874734'</t>
  </si>
  <si>
    <t>CH_3RRNGCAC +12102014187
COVERGIRL.MAXIM.COM
SAN ANTONIO
TX
+12102014187</t>
  </si>
  <si>
    <t>'320251420671908695'</t>
  </si>
  <si>
    <t>CH_3RRMCOAC +12102014187
COVERGIRL.MAXIM.COM
SAN ANTONIO
TX
+12102014187</t>
  </si>
  <si>
    <t>'320251420674021596'</t>
  </si>
  <si>
    <t>CH_3RRJVRAC +12102014187
COVERGIRL.MAXIM.COM
SAN ANTONIO
TX
+12102014187</t>
  </si>
  <si>
    <t>'320251420675572699'</t>
  </si>
  <si>
    <t>CH_3RRFEWAC +12102014187
COVERGIRL.MAXIM.COM
SAN ANTONIO
TX
+12102014187</t>
  </si>
  <si>
    <t>'320251420667549134'</t>
  </si>
  <si>
    <t>CH_3RRE7UAC +12102014187
COVERGIRL.MAXIM.COM
SAN ANTONIO
TX
+12102014187</t>
  </si>
  <si>
    <t>'320251410631536815'</t>
  </si>
  <si>
    <t>'320251410629035068'</t>
  </si>
  <si>
    <t>'320251420654365035'</t>
  </si>
  <si>
    <t>5ImkITPpNT4 squareup.com/receipts
THE CLEANERS IO, LLC
New York
NY
squareup.com/receipts</t>
  </si>
  <si>
    <t>'320251410633475445'</t>
  </si>
  <si>
    <t>28W3E1ED   3C6NGBCA         10012
Uber Trip
help.uber.com
CA
3C6NGBCA         10012</t>
  </si>
  <si>
    <t>'320251410636686844'</t>
  </si>
  <si>
    <t>CH_3RR5DPAC +12102014187
COVERGIRL.MAXIM.COM
SAN ANTONIO
TX
+12102014187</t>
  </si>
  <si>
    <t>'320251410649010722'</t>
  </si>
  <si>
    <t>CH_3RR5IUAC +12102014187
COVERGIRL.MAXIM.COM
SAN ANTONIO
TX
+12102014187</t>
  </si>
  <si>
    <t>'320251410649015057'</t>
  </si>
  <si>
    <t>CH_3RR5HNAC +12102014187
COVERGIRL.MAXIM.COM
SAN ANTONIO
TX
+12102014187</t>
  </si>
  <si>
    <t>'320251410649015390'</t>
  </si>
  <si>
    <t>CH_3RR5BHAC +12102014187
COVERGIRL.MAXIM.COM
SAN ANTONIO
TX
+12102014187</t>
  </si>
  <si>
    <t>'320251410649009142'</t>
  </si>
  <si>
    <t>CH_3RR5C2AC +12102014187
COVERGIRL.MAXIM.COM
SAN ANTONIO
TX
+12102014187</t>
  </si>
  <si>
    <t>'320251410649010291'</t>
  </si>
  <si>
    <t>CH_3RR5ERAC +12102014187
COVERGIRL.MAXIM.COM
SAN ANTONIO
TX
+12102014187</t>
  </si>
  <si>
    <t>'320251410649011519'</t>
  </si>
  <si>
    <t>CH_3RR5J2AC +12102014187
COVERGIRL.MAXIM.COM
SAN ANTONIO
TX
+12102014187</t>
  </si>
  <si>
    <t>'320251410649016152'</t>
  </si>
  <si>
    <t>EXXONMOBIL 9765     NEW YORK            NY</t>
  </si>
  <si>
    <t>00503044    212-989-3555
EXXONMOBIL 9765
NEW YORK
NY
Description : 001 Price : 0.00
212-989-3555</t>
  </si>
  <si>
    <t>'320251410647166706'</t>
  </si>
  <si>
    <t>'320251410627352588'</t>
  </si>
  <si>
    <t>CH_3RQJ6BAC +12102014187
COVERGIRL.MAXIM.COM
SAN ANTONIO
TX
+12102014187</t>
  </si>
  <si>
    <t>'320251400617028869'</t>
  </si>
  <si>
    <t>CH_3RQJ7OAC +12102014187
COVERGIRL.MAXIM.COM
SAN ANTONIO
TX
+12102014187</t>
  </si>
  <si>
    <t>'320251400620130946'</t>
  </si>
  <si>
    <t>CH_3RQTKPAC +12102013197
COVERGIRL.MAXIM.COM
SAN ANTONIO
TX
+12102013197</t>
  </si>
  <si>
    <t>'320251390575615233'</t>
  </si>
  <si>
    <t>T195494945  877-860-1258
ERACTOLL 7Y329K
877-860-1258
NY
Description : ERACTOLL 7Y329K Price : 0.00
877-860-1258</t>
  </si>
  <si>
    <t>'320251400614089376'</t>
  </si>
  <si>
    <t>00251800009 5185811201
STEWARTS ICE CREAM
SARATOGA SPRINGS
NY
Description : AUTOMATED FUEL Price : 0.5007
5185811201</t>
  </si>
  <si>
    <t>'320251400624236276'</t>
  </si>
  <si>
    <t>TKT NO. 01624870500595
AIRFLIGHT INSURANCE PREMIUM 800-228-6855</t>
  </si>
  <si>
    <t>'320251380568619726'</t>
  </si>
  <si>
    <t>TKT NO. 01624870500595
BAGGAGE INSURANCE PREMIUM 800-228-6855</t>
  </si>
  <si>
    <t>'320251380568619725'</t>
  </si>
  <si>
    <t>CH_3RQLJMAC +12102013197
COVERGIRL.MAXIM.COM
SAN ANTONIO
TX
+12102013197</t>
  </si>
  <si>
    <t>'320251390591467126'</t>
  </si>
  <si>
    <t>CH_3RQ2JKAC +12102013197
COVERGIRL.MAXIM.COM
SAN ANTONIO
TX
+12102013197</t>
  </si>
  <si>
    <t>'320251380549322935'</t>
  </si>
  <si>
    <t>CRACH_3RPSSZ 05/16/2025 ALBANY
PREM CAR RENTAL PROTECTION 800-228-6855</t>
  </si>
  <si>
    <t>'320251380568619727'</t>
  </si>
  <si>
    <t>TKT NO. 01624870500595
TRAVEL DELAY 800-228-6855</t>
  </si>
  <si>
    <t>'320251380568619724'</t>
  </si>
  <si>
    <t>9490EWA8   WQQ3TEFX         60666
Uber Trip
help.uber.com
CA
WQQ3TEFX         60666</t>
  </si>
  <si>
    <t>'320251380551829267'</t>
  </si>
  <si>
    <t>HERTZ CAR RENTAL    OKLAHOMA CITY       OK</t>
  </si>
  <si>
    <t>R/A# 960268724   +18006544173
HERTZ CAR RENTAL
OKLAHOMA CITY
OK</t>
  </si>
  <si>
    <t>5601 NORTH WEST EXPY</t>
  </si>
  <si>
    <t>OKLAHOMA CITY
OK</t>
  </si>
  <si>
    <t>'320251410637300512'</t>
  </si>
  <si>
    <t>HYATT REGENCY CHICAGCHICAGO             IL</t>
  </si>
  <si>
    <t>56677002    855-869-0846
LODGING
HYATT REGENCY CHICAGO CHIR
CHICAGO
IL</t>
  </si>
  <si>
    <t>151 EAST WACKER DR</t>
  </si>
  <si>
    <t>60601-3764</t>
  </si>
  <si>
    <t>'320251380552968647'</t>
  </si>
  <si>
    <t>TST* ASADOR BASTIAN CHICAGO             IL</t>
  </si>
  <si>
    <t>21105175137 RESTAURANT
TST* ASADOR BASTIAN 00114861
CHICAGO
IL
RESTAURANT</t>
  </si>
  <si>
    <t>214 WEST ERIE ST</t>
  </si>
  <si>
    <t>'320251370533321561'</t>
  </si>
  <si>
    <t>7987676K   NRRUE7P2         60616
Uber Trip
help.uber.com
CA
NRRUE7P2         60616</t>
  </si>
  <si>
    <t>'320251370528757920'</t>
  </si>
  <si>
    <t>M0A7VX61   THKELHYH         60601
Uber Trip
help.uber.com
CA
THKELHYH         60601</t>
  </si>
  <si>
    <t>'320251370524885197'</t>
  </si>
  <si>
    <t>H20ZG2SM   G2VDAPZW         60654
Uber Trip
help.uber.com
CA
G2VDAPZW         60654</t>
  </si>
  <si>
    <t>'320251370527367790'</t>
  </si>
  <si>
    <t>R/A# 004021732   +18006544173
HERTZ CAR RENTAL
OKLAHOMA CITY
OK</t>
  </si>
  <si>
    <t>'320251370529877039'</t>
  </si>
  <si>
    <t>'320251370517732270'</t>
  </si>
  <si>
    <t>TST* MOODY TONGUE BRCHICAGO             IL</t>
  </si>
  <si>
    <t>21105175137 RESTAURANT
TST* MOODY TONGUE BREWING 00046083
CHICAGO
IL
RESTAURANT</t>
  </si>
  <si>
    <t>2515 SOUTH WABASH AVE</t>
  </si>
  <si>
    <t>'320251370532857179'</t>
  </si>
  <si>
    <t>'320251370534099242'</t>
  </si>
  <si>
    <t>'320251370534173913'</t>
  </si>
  <si>
    <t>UNITED AIRLINES     HOUSTON             TX</t>
  </si>
  <si>
    <t>13692174    WWW.UNITED.COM
PASSENGER TICKET
UNITED AIRLINES
HOUSTON
TX
Carrier : UNITED AIRLINES
Passenger Name : NICOLA/CRISTIANALEXANDRU
Ticket Number : 01624870500595
Departure Day : 05/17
Additional Info : PASSENGER TICKET
From : CHICAGO O'HARE INT
To : ALBANY COUNTY APT</t>
  </si>
  <si>
    <t>HSCAC - 12TH
FLOOR 609 MAIN STREET</t>
  </si>
  <si>
    <t>HOUSTON
TX</t>
  </si>
  <si>
    <t>'320251370531425614'</t>
  </si>
  <si>
    <t>CHARITYBUZZ.COM     NEW YORK CITY       NY</t>
  </si>
  <si>
    <t>CH_3RP8OI4V +12122433900
CHARITYBUZZ.COM
NEW YORK CITY
NY
+12122433900</t>
  </si>
  <si>
    <t>11TH FLOOR
437 FIFTH AVE</t>
  </si>
  <si>
    <t>NEW YORK CITY
NY</t>
  </si>
  <si>
    <t>'320251350465093929'</t>
  </si>
  <si>
    <t>INF26280   INF-26-280       60601
RESTAURANT
HYATT REGENCY CHICAGO F&amp; CHIR
CHICAGO
IL
RESTAURANT
INF-26-280       60601</t>
  </si>
  <si>
    <t>'320251360498649335'</t>
  </si>
  <si>
    <t>INF72211   INF-7-2211       60601
RESTAURANT
HYATT REGENCY CHICAGO F&amp; CHIR
CHICAGO
IL
RESTAURANT
INF-7-2211       60601</t>
  </si>
  <si>
    <t>'320251360498189871'</t>
  </si>
  <si>
    <t>'320251350462685389'</t>
  </si>
  <si>
    <t>CH_3RPB3YAV +4553503099
TABULAR EDITOR APS
COPENHAGEN V
DK
+4553503099</t>
  </si>
  <si>
    <t>'320251360513411688'</t>
  </si>
  <si>
    <t>TST* NORTH WACKER CHCHICAGO             IL</t>
  </si>
  <si>
    <t>MaSB8oWcp00 3128206604
TST* NORTH WACKER CHICAGO 300559234
CHICAGO
IL
Description : RESTAURANTS Price : 11.00
3128206604</t>
  </si>
  <si>
    <t>120 NORTH WACKER</t>
  </si>
  <si>
    <t>'320251350471833055'</t>
  </si>
  <si>
    <t>3WR1A46R   CKUXPFIW         60606
Uber Trip
help.uber.com
CA
CKUXPFIW         60606</t>
  </si>
  <si>
    <t>'320251350469992932'</t>
  </si>
  <si>
    <t>43497960    800-331-0500
AT&amp;T MOBILITY RECURRING
800-288-2020
TX
Description : TELECOMMUNICATIONS Price : 0.00
800-331-0500</t>
  </si>
  <si>
    <t>'320251350480403424'</t>
  </si>
  <si>
    <t>CH_3ROPIUAC +12102013197
COVERGIRL.MAXIM.COM
SAN ANTONIO
TX
+12102013197</t>
  </si>
  <si>
    <t>'320251350486432397'</t>
  </si>
  <si>
    <t>CH_3ROPLNAC +12102013197
COVERGIRL.MAXIM.COM
SAN ANTONIO
TX
+12102013197</t>
  </si>
  <si>
    <t>'320251350486444399'</t>
  </si>
  <si>
    <t>CH_3ROPLUAC +12102013197
COVERGIRL.MAXIM.COM
SAN ANTONIO
TX
+12102013197</t>
  </si>
  <si>
    <t>'320251350486448298'</t>
  </si>
  <si>
    <t>CH_3ROPMXAC +12102013197
COVERGIRL.MAXIM.COM
SAN ANTONIO
TX
+12102013197</t>
  </si>
  <si>
    <t>'320251350486452011'</t>
  </si>
  <si>
    <t>CH_3ROPNFAC +12102013197
COVERGIRL.MAXIM.COM
SAN ANTONIO
TX
+12102013197</t>
  </si>
  <si>
    <t>'320251350486454213'</t>
  </si>
  <si>
    <t>CH_3ROPOUAC +12102013197
COVERGIRL.MAXIM.COM
SAN ANTONIO
TX
+12102013197</t>
  </si>
  <si>
    <t>'320251350486458464'</t>
  </si>
  <si>
    <t>CH_3ROVEKAC +12102013197
COVERGIRL.MAXIM.COM
SAN ANTONIO
TX
+12102013197</t>
  </si>
  <si>
    <t>'320251350470588506'</t>
  </si>
  <si>
    <t>CH_3ROPHSAC +12102013197
COVERGIRL.MAXIM.COM
SAN ANTONIO
TX
+12102013197</t>
  </si>
  <si>
    <t>'320251350486425369'</t>
  </si>
  <si>
    <t>CH_3ROVFIAC +12102013197
COVERGIRL.MAXIM.COM
SAN ANTONIO
TX
+12102013197</t>
  </si>
  <si>
    <t>'320251350470588213'</t>
  </si>
  <si>
    <t>T194926118  877-860-1258
ERACTOLL 7Y329K
877-860-1258
NY
Description : ERACTOLL 7Y329K Price : 0.00
877-860-1258</t>
  </si>
  <si>
    <t>'320251350476506795'</t>
  </si>
  <si>
    <t>INF38323   INF-38-323       60601
RESTAURANT
HYATT REGENCY CHICAGO F&amp; CHIR
CHICAGO
IL
RESTAURANT
INF-38-323       60601</t>
  </si>
  <si>
    <t>'320251350471351807'</t>
  </si>
  <si>
    <t>INF42448   INF-42-448       60601
RESTAURANT
HYATT REGENCY CHICAGO F&amp; CHIR
CHICAGO
IL
RESTAURANT
INF-42-448       60601</t>
  </si>
  <si>
    <t>'320251340444915139'</t>
  </si>
  <si>
    <t>Roka Akor - Chicago Chicago             IL</t>
  </si>
  <si>
    <t>30012      30012            60654
Toro Tartare
Lobster Dumplng
1pc Lobstr Dum
ButterfshTataki
Roka Akor - Chicago
Chicago
IL
Toro Tartare
Lobster Dumplng
1pc Lobstr Dum
ButterfshTataki
30012            60654</t>
  </si>
  <si>
    <t>111 1ST
FLOOR WEST ILLINOIS ST</t>
  </si>
  <si>
    <t>'320251340448795614'</t>
  </si>
  <si>
    <t>TSA Global Entry Fee Credit</t>
  </si>
  <si>
    <t>85 10TH AVE
9TH FLOOR</t>
  </si>
  <si>
    <t>'320251340460420508'</t>
  </si>
  <si>
    <t>0CA6KAGV   QNWXZXK4         60654
Uber Trip
help.uber.com
CA
QNWXZXK4         60654</t>
  </si>
  <si>
    <t>'320251340444033823'</t>
  </si>
  <si>
    <t>3YVC0X7Q   WYEF6QL2         60601
Uber Trip
help.uber.com
CA
WYEF6QL2         60601</t>
  </si>
  <si>
    <t>'320251340442834196'</t>
  </si>
  <si>
    <t>K5TEKFMV   V4ZSKFWC         60301
Uber Trip
help.uber.com
CA
V4ZSKFWC         60301</t>
  </si>
  <si>
    <t>'320251340442382460'</t>
  </si>
  <si>
    <t>JFYMYXFJ   AGWBSJAO         60601
Uber Trip
help.uber.com
CA
AGWBSJAO         60601</t>
  </si>
  <si>
    <t>'320251340443776349'</t>
  </si>
  <si>
    <t>INF34142   INF-341-42       60601
RESTAURANT
HYATT REGENCY CHICAGO F&amp; CHIR
CHICAGO
IL
RESTAURANT
INF-341-42       60601</t>
  </si>
  <si>
    <t>'320251330416038443'</t>
  </si>
  <si>
    <t>INF82056   INF-82-056       60601
RESTAURANT
HYATT REGENCY CHICAGO F&amp; CHIR
CHICAGO
IL
RESTAURANT
INF-82-056       60601</t>
  </si>
  <si>
    <t>'320251340444320445'</t>
  </si>
  <si>
    <t>ZZ45D8JLR7V TAXICAB &amp; LIMOUSINE
Uber Trip
help.uber.com
CA</t>
  </si>
  <si>
    <t>'320251320404113136'</t>
  </si>
  <si>
    <t>CMT CHICAGO IL690015CHICAGO             IL</t>
  </si>
  <si>
    <t>013609449   718-9374444
CMT CHICAGO IL690015 09027690015
CHICAGO
IL
Description : MERCHANDISE Price : 0.567
718-9374444</t>
  </si>
  <si>
    <t>724 WEST WASHINGTON</t>
  </si>
  <si>
    <t>'320251340457556334'</t>
  </si>
  <si>
    <t>CH_3ROCZTAC +12102013197
COVERGIRL.MAXIM.COM
SAN ANTONIO
TX
+12102013197</t>
  </si>
  <si>
    <t>'320251330412179923'</t>
  </si>
  <si>
    <t>A10KB8MF    SELLER
GOOGLE *ISHARINGSOFT
G.CO/HELPPAY#
CA
SELLER</t>
  </si>
  <si>
    <t>'320251320392492152'</t>
  </si>
  <si>
    <t>LGAF THE LINE SPRTS FLUSHING            NY</t>
  </si>
  <si>
    <t>31099535132 MISC FOOD STORE
LGAF THE LINE SPRTS GRILL 00-080405058
FLUSHING
NY
MISC FOOD STORE</t>
  </si>
  <si>
    <t>1 LAGURADIA AIRPORT</t>
  </si>
  <si>
    <t>FLUSHING
NY</t>
  </si>
  <si>
    <t>'320251330418923405'</t>
  </si>
  <si>
    <t>Merchandise &amp; Supplies-Groceries</t>
  </si>
  <si>
    <t>TSA PRECHECK BY CLEA833-945-2644        NY</t>
  </si>
  <si>
    <t>P-45486512  833-945-2644
TSA PRECHECK BY CLEAR
833-945-2644
NY
833-945-2644</t>
  </si>
  <si>
    <t>'320251330425723892'</t>
  </si>
  <si>
    <t>TKT NO. 0060870966326
AIRFLIGHT INSURANCE PREMIUM 800-228-6855</t>
  </si>
  <si>
    <t>'320251300352408943'</t>
  </si>
  <si>
    <t>TKT NO. 0060870966326
BAGGAGE INSURANCE PREMIUM 800-228-6855</t>
  </si>
  <si>
    <t>'320251300352408941'</t>
  </si>
  <si>
    <t>CH_3RNNS6G7 +15082931383
GETTHELEVERAGE.COM
BOSTON
MA
+15082931383</t>
  </si>
  <si>
    <t>'320251320395710028'</t>
  </si>
  <si>
    <t>TKT NO. 0060870966326
TRAVEL DELAY 800-228-6855</t>
  </si>
  <si>
    <t>'320251300352408942'</t>
  </si>
  <si>
    <t>55WN25V7   6JLTO5K2         10012
Uber Trip
help.uber.com
CA
6JLTO5K2         10012</t>
  </si>
  <si>
    <t>'320251310358171731'</t>
  </si>
  <si>
    <t>4TQ3PAWX   7HOPM24F         10001
Uber Trip
help.uber.com
CA
7HOPM24F         10001</t>
  </si>
  <si>
    <t>'320251310358991737'</t>
  </si>
  <si>
    <t>CREDIT - AIRFLIGHT INSURANCE PREMIUM</t>
  </si>
  <si>
    <t>TKT NO. 0062329556947
CREDIT - AIRFLIGHT INSURANCE PREMIUM</t>
  </si>
  <si>
    <t>'320251300352408946'</t>
  </si>
  <si>
    <t>CREDIT - BAGGAGE INSURANCE PREMIUM</t>
  </si>
  <si>
    <t>TKT NO. 0062329556947
CREDIT - BAGGAGE INSURANCE PREMIUM</t>
  </si>
  <si>
    <t>'320251300352408945'</t>
  </si>
  <si>
    <t>CREDIT - TRAVEL DELAY PREMIUM</t>
  </si>
  <si>
    <t>TKT NO. 0062329556947
CREDIT - TRAVEL DELAY PREMIUM</t>
  </si>
  <si>
    <t>'320251300352408944'</t>
  </si>
  <si>
    <t>DELTA AIR LINES</t>
  </si>
  <si>
    <t>18002211212
ADDITIONAL COLLECTION
DELTA AIR LINES
ATLANTA
Carrier : DELTA AIR LINES
Passenger Name : NICOLA/CRISTIAN
Ticket Number : 0060870966326
Departure Day : 05/12
Additional Info : ADDITIONAL COLLECTION
From : NEW YORK LA GUARDI
To : CHICAGO O'HARE INT</t>
  </si>
  <si>
    <t>ATLANTA AIRPORT</t>
  </si>
  <si>
    <t>'320251300343560986'</t>
  </si>
  <si>
    <t>C7433J6X   VUGVV5AL         10036
Uber Trip
help.uber.com
CA
VUGVV5AL         10036</t>
  </si>
  <si>
    <t>'320251300334373491'</t>
  </si>
  <si>
    <t>18002211212
MISC. CHARGE ORDER (MCO)/PREPAID TICKET AUTH.
DELTA AIR LINES
ATLANTA
Carrier : DELTA AIR LINES
Passenger Name : NICOLA/ELENA FIONA
Ticket Number : 0062329556947
Additional Info : MISC. CHARGE ORDER (MCO)/PREPAID TICKET AUTH.</t>
  </si>
  <si>
    <t>'320251290317928978'</t>
  </si>
  <si>
    <t>Z72C3NK2763Z72C3NK2763N     98052
MICROSOFT
MSBILL.INFO
Z72C3NK2763N     98052</t>
  </si>
  <si>
    <t>'320251290308045406'</t>
  </si>
  <si>
    <t>TKT NO. 00623295569470
AIRFLIGHT INSURANCE PREMIUM 800-228-6855</t>
  </si>
  <si>
    <t>'320251280291568039'</t>
  </si>
  <si>
    <t>TKT NO. 00623295569470
BAGGAGE INSURANCE PREMIUM 800-228-6855</t>
  </si>
  <si>
    <t>'320251280291568038'</t>
  </si>
  <si>
    <t>TKT NO. 00623295569470
TRAVEL DELAY 800-228-6855</t>
  </si>
  <si>
    <t>'320251280291568037'</t>
  </si>
  <si>
    <t>Z7373IFMJJQZ7373IFMJJQ3     98052
A1010BUSD01
MSBILL.INFO
Z7373IFMJJQ3     98052</t>
  </si>
  <si>
    <t>'320251270262638391'</t>
  </si>
  <si>
    <t>TKT NO. 00623290921061
AIRFLIGHT INSURANCE PREMIUM 800-228-6855</t>
  </si>
  <si>
    <t>'320251270263582861'</t>
  </si>
  <si>
    <t>TKT NO. 00623290641256
AIRFLIGHT INSURANCE PREMIUM 800-228-6855</t>
  </si>
  <si>
    <t>'320251270263582862'</t>
  </si>
  <si>
    <t>TKT NO. 00623291700850
AIRFLIGHT INSURANCE PREMIUM 800-228-6855</t>
  </si>
  <si>
    <t>'320251270263582869'</t>
  </si>
  <si>
    <t>216919919  216919919        12866
ARLOTECHNOLOGIES INC
408-638-3750
CA
216919919        12866</t>
  </si>
  <si>
    <t>'320251290302447135'</t>
  </si>
  <si>
    <t>TKT NO. 00623290921061
BAGGAGE INSURANCE PREMIUM 800-228-6855</t>
  </si>
  <si>
    <t>'320251270263582865'</t>
  </si>
  <si>
    <t>TKT NO. 00623290641256
BAGGAGE INSURANCE PREMIUM 800-228-6855</t>
  </si>
  <si>
    <t>'320251270263582866'</t>
  </si>
  <si>
    <t>TKT NO. 00623291700850
BAGGAGE INSURANCE PREMIUM 800-228-6855</t>
  </si>
  <si>
    <t>'320251270263582867'</t>
  </si>
  <si>
    <t>18002211212
ADDITIONAL COLLECTION
DELTA AIR LINES
ATLANTA
Carrier : DELTA AIR LINES
Passenger Name : DALESSANDRO/KYLIE
Ticket Number : 0062329888321
Departure Day : 07/05
Additional Info : ADDITIONAL COLLECTION
From : N.Y. J F KENNEDY I
To : BARCELONA
From : BARCELONA
To : N.Y. J F KENNEDY I</t>
  </si>
  <si>
    <t>'320251270258541585'</t>
  </si>
  <si>
    <t>18002211212
PASSENGER TICKET
DELTA AIR LINES
ATLANTA
Carrier : DELTA AIR LINES
Passenger Name : NICOLA/ELENA FIONA
Ticket Number : 00623295569470
Departure Day : 06/21
Additional Info : PASSENGER TICKET
From : N.Y. J F KENNEDY I
To : PARIS CHARLES DE G
Class : A
From : PARIS CHARLES DE G
To : N.Y. J F KENNEDY I
Class : A</t>
  </si>
  <si>
    <t>'320251270258520388'</t>
  </si>
  <si>
    <t>TKT NO. 00623290921061
TRAVEL DELAY 800-228-6855</t>
  </si>
  <si>
    <t>'320251270263582863'</t>
  </si>
  <si>
    <t>TKT NO. 00623290641256
TRAVEL DELAY 800-228-6855</t>
  </si>
  <si>
    <t>'320251270263582864'</t>
  </si>
  <si>
    <t>TKT NO. 00623291700850
TRAVEL DELAY 800-228-6855</t>
  </si>
  <si>
    <t>'320251270263582868'</t>
  </si>
  <si>
    <t>18002211212
PASSENGER TICKET
DELTA AIR LINES
ATLANTA
Carrier : DELTA AIR LINES
Passenger Name : DALESSANDRO/KYLIE
Ticket Number : 00623290641256
Departure Day : 07/12
Additional Info : PASSENGER TICKET
From : N.Y. J F KENNEDY I
To : BARCELONA
Class : G
From : BARCELONA
To : N.Y. J F KENNEDY I
Class : G</t>
  </si>
  <si>
    <t>'320251260231047972'</t>
  </si>
  <si>
    <t>18002211212
PASSENGER TICKET
DELTA AIR LINES
ATLANTA
Carrier : DELTA AIR LINES
Passenger Name : NICOLA/ELENA FIONA
Ticket Number : 00623291700850
Departure Day : 06/28
Additional Info : PASSENGER TICKET
From : N.Y. J F KENNEDY I
To : PARIS CHARLES DE G
Class : G
From : PARIS CHARLES DE G
To : N.Y. J F KENNEDY I
Class : G</t>
  </si>
  <si>
    <t>'320251260234195886'</t>
  </si>
  <si>
    <t>18002211212
PASSENGER TICKET
DELTA AIR LINES
ATLANTA
Carrier : DELTA AIR LINES
Passenger Name : NICOLA/CRISTIAN ALEXANDRU
Ticket Number : 00623290921061
Departure Day : 06/28
Additional Info : PASSENGER TICKET
From : N.Y. J F KENNEDY I
To : PARIS CHARLES DE G
Class : I
From : PARIS CHARLES DE G
To : BARCELONA
Class : I
From : BARCELONA
To : N.Y. J F KENNEDY I</t>
  </si>
  <si>
    <t>'320251260231049130'</t>
  </si>
  <si>
    <t>'320251260214826858'</t>
  </si>
  <si>
    <t>Delta CB_Diamond</t>
  </si>
  <si>
    <t>'320251250212590630'</t>
  </si>
  <si>
    <t>CH_3RLTMFJF +18774484820
GITHUB, INC.
SAN FRANCISCO
CA
+18774484820</t>
  </si>
  <si>
    <t>'320251250191565904'</t>
  </si>
  <si>
    <t>'320251250212651480'</t>
  </si>
  <si>
    <t>Z72X3C8JGYBZ72X3C8JGYBF     98052
MICROSOFT
MSBILL.INFO
Z72X3C8JGYBF     98052</t>
  </si>
  <si>
    <t>'320251240178872768'</t>
  </si>
  <si>
    <t>'320251240164997016'</t>
  </si>
  <si>
    <t>DUANE READE #14468 0NEW YORK            NY</t>
  </si>
  <si>
    <t>99999995124NONE             10003
PHARMACIES
DUANE READE #14468 000014468
NEW YORK
NY
PHARMACIES
NONE             10003</t>
  </si>
  <si>
    <t>1 UN SQ SOUTH</t>
  </si>
  <si>
    <t>'320251240174586688'</t>
  </si>
  <si>
    <t>Merchandise &amp; Supplies-Pharmacies</t>
  </si>
  <si>
    <t>T193979691  877-860-1258
ERACTOLL 7Y329K
877-860-1258
NY
Description : ERACTOLL 7Y329K Price : 0.00
877-860-1258</t>
  </si>
  <si>
    <t>'320251240172798339'</t>
  </si>
  <si>
    <t>Z729397DI8CZ729397DI8C1     98052
MICROSOFT
MSBILL.INFO
Z729397DI8C1     98052</t>
  </si>
  <si>
    <t>'320251230154785236'</t>
  </si>
  <si>
    <t>'320251230133749050'</t>
  </si>
  <si>
    <t>B8MEFF7Q   C5FKPTX4         10012
Uber Trip
help.uber.com
CA
C5FKPTX4         10012</t>
  </si>
  <si>
    <t>'320251230142367989'</t>
  </si>
  <si>
    <t>P215C7TS   VCUL3GYJ         10012
Uber Trip
help.uber.com
CA
VCUL3GYJ         10012</t>
  </si>
  <si>
    <t>'320251240165554382'</t>
  </si>
  <si>
    <t>CH_2RKYVRVY +18886043188
TOPTAL.COM
SAN FRANCISCO
CA
+18886043188</t>
  </si>
  <si>
    <t>'320251230149340118'</t>
  </si>
  <si>
    <t>UBER EATS           HTTPS://HELP.UBER.COCA</t>
  </si>
  <si>
    <t>6NKYX8Z0   BM2M5T7E         94103
UBER EATS
HTTPS://HELP.UBER.COM
CA
BM2M5T7E         94103</t>
  </si>
  <si>
    <t>1455 MARKET ST 4TH
FL</t>
  </si>
  <si>
    <t>UBEREATS.COM
CA</t>
  </si>
  <si>
    <t>'320251220108719842'</t>
  </si>
  <si>
    <t>UBER VESELKA        HTTPS://HELP.UBER.COCA</t>
  </si>
  <si>
    <t>555KNCHX   BM2M5T7E         94103
UBER VESELKA
HTTPS://HELP.UBER.COM
CA
BM2M5T7E         94103</t>
  </si>
  <si>
    <t>'320251230143441468'</t>
  </si>
  <si>
    <t>B7RABB09   AMJZGN63         10013
Uber Trip
help.uber.com
CA
AMJZGN63         10013</t>
  </si>
  <si>
    <t>'320251220104990848'</t>
  </si>
  <si>
    <t>30300784    COMPUTER PROGRAMMING
HUBSPOT INC.
CAMBRIDGE, MASSACHUSE
MA
COMPUTER PROGRAMMING</t>
  </si>
  <si>
    <t>'320251210077025876'</t>
  </si>
  <si>
    <t>LAW OFFICES OF VACHEHACKENSACK          NJ</t>
  </si>
  <si>
    <t>31099535121 201-9961161
LAW OFFICES OF VACHE E BA 00-080292532
HACKENSACK
NJ
201-9961161</t>
  </si>
  <si>
    <t>21 MAIN ST STE 209</t>
  </si>
  <si>
    <t>HACKENSACK
NJ</t>
  </si>
  <si>
    <t>07601</t>
  </si>
  <si>
    <t>'320251220121571621'</t>
  </si>
  <si>
    <t>Business Services-Legal Services</t>
  </si>
  <si>
    <t>J632E9V4   YZIOQKPN         10012
Uber Trip
help.uber.com
CA
YZIOQKPN         10012</t>
  </si>
  <si>
    <t>'320251210079057780'</t>
  </si>
  <si>
    <t>N0000003948VZWRLSS*APOCC
VZW APO
800-922-0204
FL
VZWRLSS*APOCC</t>
  </si>
  <si>
    <t>'320251210086660039'</t>
  </si>
  <si>
    <t>YYZXR PMS           Toronto</t>
  </si>
  <si>
    <t>387418      4163065800
LODGING
YYZXR PMS
Toronto
Foreign Spend Amount: 31.64 CANADIAN DOLLAR Commission Amount:  Currency Exchange Rate: null</t>
  </si>
  <si>
    <t>325 BAY ST</t>
  </si>
  <si>
    <t>TORONTO
ON</t>
  </si>
  <si>
    <t>M5H 4G3</t>
  </si>
  <si>
    <t>'320251210086570352'</t>
  </si>
  <si>
    <t>387418      4163065800
LODGING
YYZXR PMS
Toronto
Foreign Spend Amount: 40.00 CANADIAN DOLLAR Commission Amount:  Currency Exchange Rate: null</t>
  </si>
  <si>
    <t>'320251210087752218'</t>
  </si>
  <si>
    <t>387418      4163065800
LODGING
YYZXR PMS
Toronto
Foreign Spend Amount: 6724.70 CANADIAN DOLLAR Commission Amount:  Currency Exchange Rate: null</t>
  </si>
  <si>
    <t>'320251210087377169'</t>
  </si>
  <si>
    <t>FM2CVW54    8005928996
Uber Trip
help.uber.com
CA
8005928996</t>
  </si>
  <si>
    <t>'320251200046952575'</t>
  </si>
  <si>
    <t>7YK8ACC2    8005928996
Uber Trip
help.uber.com
CA
8005928996</t>
  </si>
  <si>
    <t>'320251190023973376'</t>
  </si>
  <si>
    <t>8SB5YYSB    8005928996
Uber Trip
help.uber.com
CA
8005928996</t>
  </si>
  <si>
    <t>'320251200050835890'</t>
  </si>
  <si>
    <t>BLACK + BLUE TORONTOTORONTO</t>
  </si>
  <si>
    <t>5890076602  6473688283
BLACK + BLUE TORONTO
TORONTO
6473688283Foreign Spend Amount: 1432.37 CANADIAN DOLLAR Commission Amount:  Currency Exchange Rate: null</t>
  </si>
  <si>
    <t>130 KING ST WEST
UNIT SW12</t>
  </si>
  <si>
    <t>M5X 2A2</t>
  </si>
  <si>
    <t>'320251200061926414'</t>
  </si>
  <si>
    <t>'320251180990224339'</t>
  </si>
  <si>
    <t>33HJ3QKV    8005928996
Uber Trip
help.uber.com
CA
8005928996</t>
  </si>
  <si>
    <t>'320251180996162488'</t>
  </si>
  <si>
    <t>NJ3RENY0    8005928996
Uber Trip
help.uber.com
CA
8005928996</t>
  </si>
  <si>
    <t>'320251180996081086'</t>
  </si>
  <si>
    <t>TST-BAR CHEF        TORONTO</t>
  </si>
  <si>
    <t>######QuEDB RESTAURANT
TST-BAR CHEF
TORONTO
RESTAURANTForeign Spend Amount: 374.97 CANADIAN DOLLAR Commission Amount:  Currency Exchange Rate: null</t>
  </si>
  <si>
    <t>472 QUEEN ST WEST</t>
  </si>
  <si>
    <t>M5V 2B2</t>
  </si>
  <si>
    <t>'320251190037664887'</t>
  </si>
  <si>
    <t>AMAZON MUSIC*UC7E23L888-802-3080        WA</t>
  </si>
  <si>
    <t>1CL2ZDVFKSL DIGITAL
AMAZON MUSIC*UC7E23LA3
888-802-3080
WA
DIGITAL</t>
  </si>
  <si>
    <t>'320251160941689250'</t>
  </si>
  <si>
    <t>FBCOMEDYPRODUCTIONS AUSTIN              TX</t>
  </si>
  <si>
    <t>CH_3RIA9EAC +18479736640
FBCOMEDYPRODUCTIONS
AUSTIN
TX
+18479736640</t>
  </si>
  <si>
    <t>5900 BALCONES DR
STE 100</t>
  </si>
  <si>
    <t>AUSTIN
TX</t>
  </si>
  <si>
    <t>'320251160938649305'</t>
  </si>
  <si>
    <t>4TZ7EEJY   L62HD25Y         11430
Uber Trip
help.uber.com
CA
L62HD25Y         11430</t>
  </si>
  <si>
    <t>'320251160944961249'</t>
  </si>
  <si>
    <t>EDNA + VITA         TORONTO</t>
  </si>
  <si>
    <t>1454156     9056812997
EDNA + VITA
TORONTO
9056812997Foreign Spend Amount: 339.53 CANADIAN DOLLAR Commission Amount:  Currency Exchange Rate: null</t>
  </si>
  <si>
    <t>1ST CDN PL
77 ADELAIDE ST W</t>
  </si>
  <si>
    <t>M5X 1B1</t>
  </si>
  <si>
    <t>'320251170979483865'</t>
  </si>
  <si>
    <t>HUDSON ST2377 2377  JAMAICA             NY</t>
  </si>
  <si>
    <t>425180919  425140919        11430
NEWS DEALERS/NEWSSTANDS
HUDSON ST2377 2377
JAMAICA
NY
NEWS DEALERS/NEWSSTANDS
425140919        11430</t>
  </si>
  <si>
    <t>ROOM 2420
TERMINAL 4</t>
  </si>
  <si>
    <t>JAMAICA
NY</t>
  </si>
  <si>
    <t>'320251160951482442'</t>
  </si>
  <si>
    <t>Merchandise &amp; Supplies-Book Stores</t>
  </si>
  <si>
    <t>'320251150908785485'</t>
  </si>
  <si>
    <t>CH_2RI0S2VY +18886043188
TOPTAL.COM
SAN FRANCISCO
CA
+18886043188</t>
  </si>
  <si>
    <t>'320251160956018143'</t>
  </si>
  <si>
    <t>5VGPQB09   EIAGFEOG         M5H
Uber Trip
help.uber.com
CA
EIAGFEOG         M5H</t>
  </si>
  <si>
    <t>'320251160945204984'</t>
  </si>
  <si>
    <t>N334N60R   WXBZ3VOB         10003
Uber Trip
help.uber.com
CA
WXBZ3VOB         10003</t>
  </si>
  <si>
    <t>'320251150917412351'</t>
  </si>
  <si>
    <t>BHW4W9KX   GC23WDVI         10018
Uber Trip
help.uber.com
CA
GC23WDVI         10018</t>
  </si>
  <si>
    <t>'320251150917032176'</t>
  </si>
  <si>
    <t>GAP8XC1G   Z2K6I6TK         10036
Uber Trip
help.uber.com
CA
Z2K6I6TK         10036</t>
  </si>
  <si>
    <t>'320251150917234148'</t>
  </si>
  <si>
    <t>JTTXRHYQ   LFB6FW4I         10014
Uber Trip
help.uber.com
CA
LFB6FW4I         10014</t>
  </si>
  <si>
    <t>'320251150916188882'</t>
  </si>
  <si>
    <t>D6ED261E    8005928996
Uber Trip
help.uber.com
CA
8005928996</t>
  </si>
  <si>
    <t>'320251160944238379'</t>
  </si>
  <si>
    <t>15ASNVRJ   ZHH2VVZR         10012
Uber Trip
help.uber.com
CA
ZHH2VVZR         10012</t>
  </si>
  <si>
    <t>'320251140885867416'</t>
  </si>
  <si>
    <t>RKKQFTD5   EJLEUKPS         10004
Uber Trip
help.uber.com
CA
EJLEUKPS         10004</t>
  </si>
  <si>
    <t>'320251140886365100'</t>
  </si>
  <si>
    <t>HA1WHQZH   PZQBV5SL         11249
Uber Trip
help.uber.com
CA
PZQBV5SL         11249</t>
  </si>
  <si>
    <t>'320251140885905870'</t>
  </si>
  <si>
    <t>DELMONICOS 068880022NEW YORK            NY</t>
  </si>
  <si>
    <t>73011005114 JLICUL@ICLOUD.COM
DELMONICOS 068880022170850
NEW YORK
NY
JLICUL@ICLOUD.COM</t>
  </si>
  <si>
    <t>56 BEAVER ST
FRNT A</t>
  </si>
  <si>
    <t>'320251140905938230'</t>
  </si>
  <si>
    <t>3vkNqXWUaEw squareup.com/receipts
THE CLEANERS IO, LLC
New York
NY
squareup.com/receipts</t>
  </si>
  <si>
    <t>'320251130862153169'</t>
  </si>
  <si>
    <t>30074529    COMPUTER PROGRAMMING
HUBSPOT INC.
CAMBRIDGE, MASSACHUSE
MA
COMPUTER PROGRAMMING</t>
  </si>
  <si>
    <t>'320251120831122898'</t>
  </si>
  <si>
    <t>CH_3RGHSKC6 +14158799686
OPENAI *CHATGPT SUBSCR
SAN FRANCISCO
CA
+14158799686</t>
  </si>
  <si>
    <t>'320251120833740747'</t>
  </si>
  <si>
    <t>WIX.COM             SAN FRANCISCO       CA</t>
  </si>
  <si>
    <t>FTKEQ1XH    14156399034
WIX.COM
SAN FRANCISCO
CA
14156399034</t>
  </si>
  <si>
    <t>500 TERRY A FRANCOIS BLVD STE 600</t>
  </si>
  <si>
    <t>'320251130860503262'</t>
  </si>
  <si>
    <t>EB *DYNAMICSCON 2025SAN FRANCISCO       CA</t>
  </si>
  <si>
    <t>HASJHNK4   12280342773      94105
EB *DYNAMICSCON 2025
SAN FRANCISCO
CA
12280342773      94105</t>
  </si>
  <si>
    <t>'320251110814395515'</t>
  </si>
  <si>
    <t>034476339   212-5332900
ENTERPRISE RENT-A-CAR
NEW YORK
NY</t>
  </si>
  <si>
    <t>'320251120845875199'</t>
  </si>
  <si>
    <t>TST* FRENCHETTE RESTNEW YORK            NY</t>
  </si>
  <si>
    <t>00143306024 RESTAURANT
TST* FRENCHETTE RESTAURAN 00143306
NEW YORK
NY
RESTAURANT</t>
  </si>
  <si>
    <t>241 WEST BROADWAY</t>
  </si>
  <si>
    <t>'320251120839186464'</t>
  </si>
  <si>
    <t>TKT NO. 00623246036895
AIRFLIGHT INSURANCE PREMIUM 800-228-6855</t>
  </si>
  <si>
    <t>'320251100802347304'</t>
  </si>
  <si>
    <t>TKT NO. 00623246036906
AIRFLIGHT INSURANCE PREMIUM 800-228-6855</t>
  </si>
  <si>
    <t>'320251100802347305'</t>
  </si>
  <si>
    <t>TKT NO. 00623246036906
BAGGAGE INSURANCE PREMIUM 800-228-6855</t>
  </si>
  <si>
    <t>'320251100802347306'</t>
  </si>
  <si>
    <t>TKT NO. 00623246036895
BAGGAGE INSURANCE PREMIUM 800-228-6855</t>
  </si>
  <si>
    <t>'320251100802347307'</t>
  </si>
  <si>
    <t>00200100729 5185811201
STEWARTS ICE CREAM
SARATOGA SPRINGS
NY
Description : AUTOMATED FUEL Price : 0.1914
5185811201</t>
  </si>
  <si>
    <t>'320251110807302624'</t>
  </si>
  <si>
    <t>TKT NO. 00623246036895
TRAVEL DELAY 800-228-6855</t>
  </si>
  <si>
    <t>'320251100802347302'</t>
  </si>
  <si>
    <t>TKT NO. 00623246036906
TRAVEL DELAY 800-228-6855</t>
  </si>
  <si>
    <t>'320251100802347303'</t>
  </si>
  <si>
    <t>1HIZ2K4VNBB MERCHANDISE
AMAZON MARKETPLACE NA PA
AMZN.COM/BILL
WA
MERCHANDISE</t>
  </si>
  <si>
    <t>'320251110810170510'</t>
  </si>
  <si>
    <t>18002211212
PASSENGER TICKET
DELTA AIR LINES
ATLANTA
Carrier : DELTA AIR LINES
Passenger Name : NICOLA/CRISTIAN ALEXANDRU
Ticket Number : 00623246036895
Departure Day : 04/25
Additional Info : PASSENGER TICKET
From : N.Y. J F KENNEDY I
To : TORONTO LESTER B P
Class : Z
From : TORONTO LESTER B P
To : N.Y. J F KENNEDY I
Class : Z</t>
  </si>
  <si>
    <t>'320251090769967148'</t>
  </si>
  <si>
    <t>18002211212
PASSENGER TICKET
DELTA AIR LINES
ATLANTA
Carrier : DELTA AIR LINES
Passenger Name : DALESSANDRO/KYLIE
Ticket Number : 00623246036906
Departure Day : 04/25
Additional Info : PASSENGER TICKET
From : N.Y. J F KENNEDY I
To : TORONTO LESTER B P
Class : Z
From : TORONTO LESTER B P
To : N.Y. J F KENNEDY I
Class : Z</t>
  </si>
  <si>
    <t>'320251090773821026'</t>
  </si>
  <si>
    <t>DOF PARKINGANDCAMERANEW YORK            NY</t>
  </si>
  <si>
    <t>CPY04389194437252753        12866
GOVERNMENT SERVICES
DOF PARKINGANDCAMERA TIX
NEW YORK
NY
GOVERNMENT SERVICES
437252753        12866</t>
  </si>
  <si>
    <t>59 MAIDEN LANE19TH
FL</t>
  </si>
  <si>
    <t>'320251090768141186'</t>
  </si>
  <si>
    <t>'320251080723490449'</t>
  </si>
  <si>
    <t>PRKNG&amp;CAMERATIX SERVNEW YORK            NY</t>
  </si>
  <si>
    <t>CPY04389194437252756        12866
GOVERNMENT SERVICES
PRKNG&amp;CAMERATIX SERVFEE
NEW YORK
NY
GOVERNMENT SERVICES
437252756        12866</t>
  </si>
  <si>
    <t>59 MAIDEN LN 18TH
FL</t>
  </si>
  <si>
    <t>'320251090766513622'</t>
  </si>
  <si>
    <t>00712415    845-753-5091
SUNOCO 0042337601 0042
SLOATSBURG
NY
Description : Unleaded (88 octane Price : 0.00
845-753-5091</t>
  </si>
  <si>
    <t>'320251090760192247'</t>
  </si>
  <si>
    <t>DQDB82WF   F3SXYWFY         10001
Uber Trip
help.uber.com
CA
F3SXYWFY         10001</t>
  </si>
  <si>
    <t>'320251070701748843'</t>
  </si>
  <si>
    <t>J82QMD2W   EWJRRWC4         10012
Uber Trip
help.uber.com
CA
EWJRRWC4         10012</t>
  </si>
  <si>
    <t>'320251070702972226'</t>
  </si>
  <si>
    <t>1527       1527             10001
Zaytinya St
New York
NY
1527             10001</t>
  </si>
  <si>
    <t>'320251070709450958'</t>
  </si>
  <si>
    <t>1502       1502             10001
Zaytinya St
New York
NY
1502             10001</t>
  </si>
  <si>
    <t>'320251070709451326'</t>
  </si>
  <si>
    <t>CH_3REIL4AV +4553503099
TABULAR EDITOR APS
COPENHAGEN V
DK
+4553503099</t>
  </si>
  <si>
    <t>'320251060681514232'</t>
  </si>
  <si>
    <t>47840530    800-331-0500
AT&amp;T MOBILITY RECURRING
800-288-2020
TX
Description : TELECOMMUNICATIONS Price : 0.00
800-331-0500</t>
  </si>
  <si>
    <t>'320251050657151667'</t>
  </si>
  <si>
    <t>HRT5FZVY   YUODQWER         89119
Uber Trip
help.uber.com
CA
YUODQWER         89119</t>
  </si>
  <si>
    <t>'320251040619867103'</t>
  </si>
  <si>
    <t>5QVZC52T   IWAEUPDC         10012
Uber Trip
help.uber.com
CA
IWAEUPDC         10012</t>
  </si>
  <si>
    <t>'320251040619488879'</t>
  </si>
  <si>
    <t>VENETIAN/PALAZZO FRTLAS VEGAS           NV</t>
  </si>
  <si>
    <t>11947364   11947364         89109
HOTEL
VENETIAN/PALAZZO FRT DES
LAS VEGAS
NV
HOTEL
11947364         89109</t>
  </si>
  <si>
    <t>3355 SOUTH LAS VEGAS BLVD</t>
  </si>
  <si>
    <t>LAS VEGAS
NV</t>
  </si>
  <si>
    <t>'320251040636338298'</t>
  </si>
  <si>
    <t>CAPRI               LAS VEGAS           NV</t>
  </si>
  <si>
    <t>3466243    3466243          89109
RESTAURANT
CAPRI
LAS VEGAS
NV
RESTAURANT
3466243          89109</t>
  </si>
  <si>
    <t>ATTN TREASURY
DEPARTMENT 3355 LAS VEGAS BLVD S</t>
  </si>
  <si>
    <t>'320251030593900173'</t>
  </si>
  <si>
    <t>A105EZHU    SELLER
GOOGLE *ISHARINGSOFT
G.CO/HELPPAY#
CA
SELLER</t>
  </si>
  <si>
    <t>'320251020578877096'</t>
  </si>
  <si>
    <t>8XFVD9DH   45URRQRX         89109
Uber Trip
help.uber.com
CA
45URRQRX         89109</t>
  </si>
  <si>
    <t>'320251020569455859'</t>
  </si>
  <si>
    <t>7DH7DZZES2Q MERCHANDISE
AMAZON MARKETPLACE NA PA
AMZN.COM/BILL
WA
MERCHANDISE</t>
  </si>
  <si>
    <t>'320251020576721586'</t>
  </si>
  <si>
    <t>CH_2RCWBTVY +18886043188
TOPTAL.COM
SAN FRANCISCO
CA
+18886043188</t>
  </si>
  <si>
    <t>'320251020580925647'</t>
  </si>
  <si>
    <t>ILLY CAFFE 000000001LAS VEGAS           NV</t>
  </si>
  <si>
    <t>999999951017028692233
ILLY CAFFE 000000001
LAS VEGAS
NV
7028692233</t>
  </si>
  <si>
    <t>3325 LAS VEGAS BLVD SOUTH</t>
  </si>
  <si>
    <t>89109-1414</t>
  </si>
  <si>
    <t>'320251010538467237'</t>
  </si>
  <si>
    <t>MOTT 32             LAS VEGAS           NV</t>
  </si>
  <si>
    <t>999857      702-414-1000
MOTT 32
LAS VEGAS
NV</t>
  </si>
  <si>
    <t>'320251010547414625'</t>
  </si>
  <si>
    <t>PKPPDAH6   6AJC2DID         89109
Uber Trip
help.uber.com
CA
6AJC2DID         89109</t>
  </si>
  <si>
    <t>'320251000509879514'</t>
  </si>
  <si>
    <t>11944819   11944819         89109
HOTEL
VENETIAN/PALAZZO FRT DES
LAS VEGAS
NV
HOTEL
11944819         89109</t>
  </si>
  <si>
    <t>'320251000527510251'</t>
  </si>
  <si>
    <t>VIRGIN HOTELS LAS VELAS VEGAS           NV</t>
  </si>
  <si>
    <t>45732257201 7026935000
LODGING
VIRGIN HOTELS LAS VEGAS
LAS VEGAS
NV</t>
  </si>
  <si>
    <t>4455 PARADISE RD</t>
  </si>
  <si>
    <t>89169-6574</t>
  </si>
  <si>
    <t>'320251000512533292'</t>
  </si>
  <si>
    <t>DESERT CAB 436845559LAS VEGAS           NV</t>
  </si>
  <si>
    <t>73011005100 GTBALABAN@AOL.COM
DESERT CAB 436845559619159
LAS VEGAS
NV
GTBALABAN@AOL.COM</t>
  </si>
  <si>
    <t>4675 WYNN RD</t>
  </si>
  <si>
    <t>'320251000527558947'</t>
  </si>
  <si>
    <t>Z7381RYV04JZ7381RYV04J7     98052
MICROSOFT
MSBILL.INFO
Z7381RYV04J7     98052</t>
  </si>
  <si>
    <t>'320250990495909825'</t>
  </si>
  <si>
    <t>'320250990500522453'</t>
  </si>
  <si>
    <t>TST* RESTAURANT ROW LAS VEGAS           NV</t>
  </si>
  <si>
    <t>00195989024 RESTAURANT
TST* RESTAURANT ROW CORNE 00195989
LAS VEGAS
NV
RESTAURANT</t>
  </si>
  <si>
    <t>3355 SOUTH LAS VEGAS BLVD ST 106</t>
  </si>
  <si>
    <t>'320250990486518553'</t>
  </si>
  <si>
    <t>The Venetian/Palazzo7024141000          NV</t>
  </si>
  <si>
    <t>11943695   11943695         89109
NONE
The Venetian/Palazzo
7024141000
NV
NONE
11943695         89109</t>
  </si>
  <si>
    <t>89109-8941</t>
  </si>
  <si>
    <t>'320251000522987769'</t>
  </si>
  <si>
    <t>11935693   11935693         89109
HOTEL
VENETIAN/PALAZZO FRT DES
LAS VEGAS
NV
HOTEL
11935693         89109</t>
  </si>
  <si>
    <t>'320251000522711974'</t>
  </si>
  <si>
    <t>YARDBIRD            LAS VEGAS           NV</t>
  </si>
  <si>
    <t>4222990    4222990          89109
RESTAURANT
YARDBIRD
LAS VEGAS
NV
RESTAURANT
4222990          89109</t>
  </si>
  <si>
    <t>'320251000512283605'</t>
  </si>
  <si>
    <t>HUDSON-DUNKIN ST1599LAS VEGAS           NV</t>
  </si>
  <si>
    <t>408150836  408110836        89169
DUTY FREE STORE
HUDSON-DUNKIN ST1599 1599
LAS VEGAS
NV
DUTY FREE STORE
408110836        89169</t>
  </si>
  <si>
    <t>4495 WEST RENO AVE</t>
  </si>
  <si>
    <t>'320250990484934865'</t>
  </si>
  <si>
    <t>408150659  408110659        89169
DUTY FREE STORE
HUDSON-DUNKIN ST1599 1599
LAS VEGAS
NV
DUTY FREE STORE
408110659        89169</t>
  </si>
  <si>
    <t>'320250990484934420'</t>
  </si>
  <si>
    <t>999999950997028692233
ILLY CAFFE 000000001
LAS VEGAS
NV
7028692233</t>
  </si>
  <si>
    <t>'320250990485748328'</t>
  </si>
  <si>
    <t>'320250990473722327'</t>
  </si>
  <si>
    <t>Z72C1MZS6BXZ72C1MZS6BXA     98052
A1010BUSD01
MSBILL.INFO
Z72C1MZS6BXA     98052</t>
  </si>
  <si>
    <t>'320250970444802730'</t>
  </si>
  <si>
    <t>215462665  215462665        12866
ARLOTECHNOLOGIES INC
408-638-3750
CA
215462665        12866</t>
  </si>
  <si>
    <t>'320250990481498487'</t>
  </si>
  <si>
    <t>Delmonico SteakhouseNew Orleans         LA</t>
  </si>
  <si>
    <t>11458      11458            70130
Bread
Martini Up
Bone-In Bacon
Caviar Deviled Eggs
Delmonico Steakhouse - 06 Dini
New Orleans
LA
Bread
Martini Up
Bone-In Bacon
Caviar Deviled Eggs
11458            70130</t>
  </si>
  <si>
    <t>3355 LAS VEGAS BLVD SOUTH</t>
  </si>
  <si>
    <t>'320250980461058232'</t>
  </si>
  <si>
    <t>T191873011  877-860-1258
ERACTOLL 7Q1N3L
877-860-1258
NY
Description : ERACTOLL 7Q1N3L Price : 0.00
877-860-1258</t>
  </si>
  <si>
    <t>'320250980464250656'</t>
  </si>
  <si>
    <t>407195344  407155344        89169
DUTY FREE STORE
HUDSON-DUNKIN ST1599 1599
LAS VEGAS
NV
DUTY FREE STORE
407155344        89169</t>
  </si>
  <si>
    <t>'320250980459108984'</t>
  </si>
  <si>
    <t>999999950987028692233
ILLY CAFFE 000000001
LAS VEGAS
NV
7028692233</t>
  </si>
  <si>
    <t>'320250980458614017'</t>
  </si>
  <si>
    <t>CVS PHARMACY        LAS VEGAS           NV</t>
  </si>
  <si>
    <t>10095567   8007467287
PHARMACIES
CVS PHARMACY
LAS VEGAS
NV
PHARMACIES
8007467287</t>
  </si>
  <si>
    <t>4490 PARADISE RD</t>
  </si>
  <si>
    <t>'320250970436947630'</t>
  </si>
  <si>
    <t>73011005096 GTBALABAN@AOL.COM
DESERT CAB 436845559619159
LAS VEGAS
NV
GTBALABAN@AOL.COM</t>
  </si>
  <si>
    <t>'320250960423006817'</t>
  </si>
  <si>
    <t>KITCHEN AT COMMONS CLAS VEGAS           NV</t>
  </si>
  <si>
    <t>1199938    1199938          89169
KITCHEN AT COMMONS CLUB
LAS VEGAS
NV
1199938          89169</t>
  </si>
  <si>
    <t>'320250970433828718'</t>
  </si>
  <si>
    <t>MILOS RESTAURANT    LAS VEGAS           NV</t>
  </si>
  <si>
    <t>1019341    1019341          89109
RESTAURANT
MILOS RESTAURANT
LAS VEGAS
NV
RESTAURANT
1019341          89109</t>
  </si>
  <si>
    <t>'320250970433215290'</t>
  </si>
  <si>
    <t>E4XW6CZ7   YCT56UQG         89169
Uber Trip
help.uber.com
CA
YCT56UQG         89169</t>
  </si>
  <si>
    <t>'320250960403286084'</t>
  </si>
  <si>
    <t>VIRGIN VALLEY CAB 43LAS VEGAS           NV</t>
  </si>
  <si>
    <t>73011005097 GTBALABAN@GMAIL.COM
VIRGIN VALLEY CAB 436845560345349
LAS VEGAS
NV
GTBALABAN@GMAIL.COM</t>
  </si>
  <si>
    <t>'320250970447487068'</t>
  </si>
  <si>
    <t>CH_3RADAPJF +18774484820
GITHUB, INC.
SAN FRANCISCO
CA
+18774484820</t>
  </si>
  <si>
    <t>'320250950373609206'</t>
  </si>
  <si>
    <t>HUDSONNEWS  ST1176 1JAMAICA             NY</t>
  </si>
  <si>
    <t>405214426  405174426        11430
NEWS DEALERS/NEWSSTANDS
HUDSONNEWS  ST1176 1176
JAMAICA
NY
NEWS DEALERS/NEWSSTANDS
405174426        11430</t>
  </si>
  <si>
    <t>'320250960411950682'</t>
  </si>
  <si>
    <t>999999950967028692233
ILLY CAFFE 000000001
LAS VEGAS
NV
7028692233</t>
  </si>
  <si>
    <t>'320250960405034779'</t>
  </si>
  <si>
    <t>LAFAYETTE           NEW YORK            NY</t>
  </si>
  <si>
    <t>05VM8URTXUT 2125333000
LAFAYETTE
NEW YORK
NY
Description : N/A Price : 0.00
2125333000</t>
  </si>
  <si>
    <t>380 LAFAYETTE ST
FRNT</t>
  </si>
  <si>
    <t>'320250950374677019'</t>
  </si>
  <si>
    <t>SUSHI SAMBA - LAS VELAS VEGAS           NV</t>
  </si>
  <si>
    <t>0000916057       89109
SUSHI SAMBA - LAS VEGA
LAS VEGAS
NV
0000916057       89109</t>
  </si>
  <si>
    <t>3327 LAS VEGAS BLVD SOUTH GRAND CANAL SHOPPES AT THE PALAZZO</t>
  </si>
  <si>
    <t>'320250960399796957'</t>
  </si>
  <si>
    <t>KW9WHMTF   2SJHK2LT         11430
Uber Trip
help.uber.com
CA
2SJHK2LT         11430</t>
  </si>
  <si>
    <t>'320250960402785876'</t>
  </si>
  <si>
    <t>Z72Y1EMTCXPZ72Y1EMTCXPV     98052
MICROSOFT
MSBILL.INFO
Z72Y1EMTCXPV     98052</t>
  </si>
  <si>
    <t>'320250940362440265'</t>
  </si>
  <si>
    <t>'320250940350400481'</t>
  </si>
  <si>
    <t>SANT AMBROEUS       NEW YORK            NY</t>
  </si>
  <si>
    <t>00024808024 RESTAURANT
SANT AMBROEUS
NEW YORK
NY
RESTAURANT</t>
  </si>
  <si>
    <t>259 WEST 4TH ST</t>
  </si>
  <si>
    <t>'320250950386082172'</t>
  </si>
  <si>
    <t>btyFM3IvNp9 squareup.com/receipts
THE CLEANERS IO, LLC
New York
NY
squareup.com/receipts</t>
  </si>
  <si>
    <t>'320250940348776869'</t>
  </si>
  <si>
    <t>K9ADRSEZ   4UCONMZZ         10012
Uber Trip
help.uber.com
CA
4UCONMZZ         10012</t>
  </si>
  <si>
    <t>'320250950378748548'</t>
  </si>
  <si>
    <t>M6N0896Y   7U7EGOAQ         10013
Uber Trip
help.uber.com
CA
7U7EGOAQ         10013</t>
  </si>
  <si>
    <t>'320250950378707772'</t>
  </si>
  <si>
    <t>IN *THE WALLENSTEIN HOUSTON             TX</t>
  </si>
  <si>
    <t>094IAAN477T24664            770791
IN *THE WALLENSTEIN LAW GROUP
HOUSTON
TX
24664            770791</t>
  </si>
  <si>
    <t>14133 MEMORIAL DR
STE 1</t>
  </si>
  <si>
    <t>'320250940348950793'</t>
  </si>
  <si>
    <t>Z7341F1SEVEZ7341F1SEVE8     98052
MICROSOFT
MSBILL.INFO
Z7341F1SEVE8     98052</t>
  </si>
  <si>
    <t>'320250930337493460'</t>
  </si>
  <si>
    <t>'320250930317938233'</t>
  </si>
  <si>
    <t>PAYPAL *GREENLIGHTC 4029357733          IS</t>
  </si>
  <si>
    <t>10176889066 4029357733
PAYPAL *GREENLIGHTC GREENLIGHTC
4029357733
IS
Description : GENERAL Price : 0.00
4029357733</t>
  </si>
  <si>
    <t>.</t>
  </si>
  <si>
    <t>San Jose
CA</t>
  </si>
  <si>
    <t>'320250950394861597'</t>
  </si>
  <si>
    <t>DPD44BTN   6LCDHEPJ         10001
Uber Trip
help.uber.com
CA
6LCDHEPJ         10001</t>
  </si>
  <si>
    <t>'320250930324221348'</t>
  </si>
  <si>
    <t>3ASVVJC9   TGB2G2TL         10012
Uber Trip
help.uber.com
CA
TGB2G2TL         10012</t>
  </si>
  <si>
    <t>'320250930324594676'</t>
  </si>
  <si>
    <t>2896       2896             10001
Bazaar
New York
NY
2896             10001</t>
  </si>
  <si>
    <t>'320250930323315653'</t>
  </si>
  <si>
    <t>3929       3929             10001
Nubeluz
New York
NY
3929             10001</t>
  </si>
  <si>
    <t>'320250930323374788'</t>
  </si>
  <si>
    <t>CH_2R9GDQVY +18886043188
TOPTAL.COM
SAN FRANCISCO
CA
+18886043188</t>
  </si>
  <si>
    <t>'320250930335692274'</t>
  </si>
  <si>
    <t>490FMCF8   I6JC5YM7         10013
Uber Trip
help.uber.com
CA
I6JC5YM7         10013</t>
  </si>
  <si>
    <t>'320250920295842654'</t>
  </si>
  <si>
    <t>BTWKMM1CLLK MERCHANDISE
AMAZON MARKETPLACE NA PA
AMZN.COM/BILL
WA
MERCHANDISE</t>
  </si>
  <si>
    <t>'320250910285598257'</t>
  </si>
  <si>
    <t>5Q40EUCL45L MERCHANDISE
AMAZON MARKETPLACE NA PA
AMZN.COM/BILL
WA
MERCHANDISE</t>
  </si>
  <si>
    <t>'320250940356773844'</t>
  </si>
  <si>
    <t>N0000003923VZWRLSS*APOCC
VZW APO
800-922-0204
FL
VZWRLSS*APOCC</t>
  </si>
  <si>
    <t>'320250910274095399'</t>
  </si>
  <si>
    <t>030468120   212-5332900
ENTERPRISE RENT-A-CAR
NEW YORK
NY</t>
  </si>
  <si>
    <t>'320250910278337529'</t>
  </si>
  <si>
    <t>IN *WORKS IN PROGRESNEW YORK            NY</t>
  </si>
  <si>
    <t>090IAAMK1PT65765            100030
IN *WORKS IN PROGRESS NYC
NEW YORK
NY
65765            100030</t>
  </si>
  <si>
    <t>59 EAST FOURTH ST</t>
  </si>
  <si>
    <t>10003-0000</t>
  </si>
  <si>
    <t>'320250900236651796'</t>
  </si>
  <si>
    <t>ERACTOLL 7MF2JY     877-860-1258        NY</t>
  </si>
  <si>
    <t>T191078028  877-860-1258
ERACTOLL 7MF2JY
877-860-1258
NY
Description : ERACTOLL 7MF2JY Price : 0.00
877-860-1258</t>
  </si>
  <si>
    <t>'320250900244764601'</t>
  </si>
  <si>
    <t>SILVERMAN LAW OFFICEHELENA              MT</t>
  </si>
  <si>
    <t>73011005089 JULIE@MTTAXLAW.COM
SILVERMAN LAW OFFICE PLLC 899000003849
HELENA
MT
JULIE@MTTAXLAW.COM</t>
  </si>
  <si>
    <t>600 LOLA ST</t>
  </si>
  <si>
    <t>HELENA
MT</t>
  </si>
  <si>
    <t>'320250900256258924'</t>
  </si>
  <si>
    <t>00637542    845-753-5091
SUNOCO 0042337601 0042
SLOATSBURG
NY
Description : Unleaded (88 octane Price : 0.00
845-753-5091</t>
  </si>
  <si>
    <t>'320250880192391983'</t>
  </si>
  <si>
    <t>CH_2R7RWGVY +18886043188
TOPTAL.COM
SAN FRANCISCO
CA
+18886043188</t>
  </si>
  <si>
    <t>'320250880201737196'</t>
  </si>
  <si>
    <t>00041760023 RESTAURANT
TST* IL BUCO - BOND ST 00041760
NEW YORK
NY
RESTAURANT</t>
  </si>
  <si>
    <t>'320250880195783857'</t>
  </si>
  <si>
    <t>xidOlMd9Jaz squareup.com/receipts
THE CLEANERS IO, LLC
New York
NY
squareup.com/receipts</t>
  </si>
  <si>
    <t>'320250860134341505'</t>
  </si>
  <si>
    <t>67G4T7T8   SQL4PWFY         10011
Uber Trip
help.uber.com
CA
SQL4PWFY         10011</t>
  </si>
  <si>
    <t>'320250860134655585'</t>
  </si>
  <si>
    <t>66B5PFNV   HGYTC3GE         10018
Uber Trip
help.uber.com
CA
HGYTC3GE         10018</t>
  </si>
  <si>
    <t>'320250860134637428'</t>
  </si>
  <si>
    <t>AMAZON MUSIC*4D8FJ30888-802-3080        WA</t>
  </si>
  <si>
    <t>5AOJYNF2EMF DIGITAL
AMAZON MUSIC*4D8FJ3003
888-802-3080
WA
DIGITAL</t>
  </si>
  <si>
    <t>'320250850102565319'</t>
  </si>
  <si>
    <t>PREM CAR RENTAL PROTECTION 800-326-2078</t>
  </si>
  <si>
    <t>CRA029082935 03/24/2025 NEW YORK
PREM CAR RENTAL PROTECTION 800-326-2078</t>
  </si>
  <si>
    <t>'320250850121743045'</t>
  </si>
  <si>
    <t>BFPS8FRR   PWNH6TO7         10004
Uber Trip
help.uber.com
CA
PWNH6TO7         10004</t>
  </si>
  <si>
    <t>'320250840081626600'</t>
  </si>
  <si>
    <t>73011005084 JLICUL@ICLOUD.COM
DELMONICOS 068880022170850
NEW YORK
NY
JLICUL@ICLOUD.COM</t>
  </si>
  <si>
    <t>'320250840076241303'</t>
  </si>
  <si>
    <t>029082935   212-5332900
ENTERPRISE RENT-A-CAR
NEW YORK
NY</t>
  </si>
  <si>
    <t>'320250840095495254'</t>
  </si>
  <si>
    <t>Z72B0SNM2CDZ72B0SNM2CD1     98052
MICROSOFT
MSBILL.INFO
Z72B0SNM2CD1     98052</t>
  </si>
  <si>
    <t>'320250830064290865'</t>
  </si>
  <si>
    <t>ERACTOLL 7JPY3D     877-860-1258        NY</t>
  </si>
  <si>
    <t>T190356504  877-860-1258
ERACTOLL 7JPY3D
877-860-1258
NY
Description : ERACTOLL 7JPY3D Price : 0.00
877-860-1258</t>
  </si>
  <si>
    <t>'320250830063300817'</t>
  </si>
  <si>
    <t>CH_3R5T6AC6 +14158799686
OPENAI *CHATGPT SUBSCR
SAN FRANCISCO
CA
+14158799686</t>
  </si>
  <si>
    <t>'320250810003803403'</t>
  </si>
  <si>
    <t>9RVE4N5A   IL3FO54B         14604
Uber Trip
help.uber.com
CA
IL3FO54B         14604</t>
  </si>
  <si>
    <t>'320250810002548913'</t>
  </si>
  <si>
    <t>TST* CHORTKE 0014909ROCHESTER           NY</t>
  </si>
  <si>
    <t>21105175081 RESTAURANT
TST* CHORTKE 00149099
ROCHESTER
NY
RESTAURANT</t>
  </si>
  <si>
    <t>352 NORTH GOODMAN ST</t>
  </si>
  <si>
    <t>ROCHESTER
NY</t>
  </si>
  <si>
    <t>'320250810008026490'</t>
  </si>
  <si>
    <t>QM0T2GXF   TE4NMDBI         10013
Uber Trip
help.uber.com
CA
TE4NMDBI         10013</t>
  </si>
  <si>
    <t>'320250800975155946'</t>
  </si>
  <si>
    <t>0E505VZ0   RRBFCDV6         11103
Uber Trip
help.uber.com
CA
RRBFCDV6         11103</t>
  </si>
  <si>
    <t>'320250800975523108'</t>
  </si>
  <si>
    <t>ERACTOLL 7DLXN0     877-860-1258        NY</t>
  </si>
  <si>
    <t>T190104871  877-860-1258
ERACTOLL 7DLXN0
877-860-1258
NY
Description : ERACTOLL 7DLXN0 Price : 0.00
877-860-1258</t>
  </si>
  <si>
    <t>'320250800982458181'</t>
  </si>
  <si>
    <t>'320250790940963129'</t>
  </si>
  <si>
    <t>'320250790940972751'</t>
  </si>
  <si>
    <t>TST* SUSHI ICHIMURA NEW YORK            NY</t>
  </si>
  <si>
    <t>21105175080 RESTAURANT
TST* SUSHI ICHIMURA 00136264
NEW YORK
NY
RESTAURANT</t>
  </si>
  <si>
    <t>456 WASHINGTON ST
4D</t>
  </si>
  <si>
    <t>'320250800986747356'</t>
  </si>
  <si>
    <t>TST* LEONS 00203871 NEW YORK            NY</t>
  </si>
  <si>
    <t>21105175079 RESTAURANT
TST* LEONS 00203871
NEW YORK
NY
RESTAURANT</t>
  </si>
  <si>
    <t>510 EAST 14TH ST
APT 408</t>
  </si>
  <si>
    <t>'320250790951275793'</t>
  </si>
  <si>
    <t>'320250790951165932'</t>
  </si>
  <si>
    <t>CRA027458726 03/16/2025 NEW YORK
PREM CAR RENTAL PROTECTION 800-326-2078</t>
  </si>
  <si>
    <t>'320250770912574530'</t>
  </si>
  <si>
    <t>T189728319  877-860-1258
ERACTOLL 7DLXN0
877-860-1258
NY
Description : ERACTOLL 7DLXN0 Price : 0.00
877-860-1258</t>
  </si>
  <si>
    <t>'320250770903044864'</t>
  </si>
  <si>
    <t>ERACTOLL 7GYNN1     877-860-1258        NY</t>
  </si>
  <si>
    <t>T189853796  877-860-1258
ERACTOLL 7GYNN1
877-860-1258
NY
Description : ERACTOLL 7GYNN1 Price : 0.00
877-860-1258</t>
  </si>
  <si>
    <t>'320250770903501958'</t>
  </si>
  <si>
    <t>OLIYO 38 0000       NEW YORK            NY</t>
  </si>
  <si>
    <t>26000109    646-998-3255
OLIYO 38 0000
NEW YORK
NY
Description : GROCERIES/SUNDRIES Price : 0.00
646-998-3255</t>
  </si>
  <si>
    <t>575 8TH AVE</t>
  </si>
  <si>
    <t>'320250770904274137'</t>
  </si>
  <si>
    <t>UBER SANTAMBROEUS   HTTPS://HELP.UBER.COCA</t>
  </si>
  <si>
    <t>01YNWF5Z   B3VQJVES         94103
UBER SANTAMBROEUS
HTTPS://HELP.UBER.COM
CA
B3VQJVES         94103</t>
  </si>
  <si>
    <t>'320250760866165592'</t>
  </si>
  <si>
    <t>VZ272L35MJR TAXICAB &amp; LIMOUSINE
Uber Trip
help.uber.com
CA
TAXICAB &amp; LIMOUSINE</t>
  </si>
  <si>
    <t>'320250770910627277'</t>
  </si>
  <si>
    <t>027458726   212-5332900
ENTERPRISE RENT-A-CAR
NEW YORK
NY</t>
  </si>
  <si>
    <t>'320250760877334887'</t>
  </si>
  <si>
    <t>CH_3R34YEAV +4553503099
TABULAR EDITOR APS
COPENHAGEN V
DK
+4553503099</t>
  </si>
  <si>
    <t>'320250750853208845'</t>
  </si>
  <si>
    <t>42040148    800-331-0500
AT&amp;T MOBILITY RECURRING
800-288-2020
TX
Description : TELECOMMUNICATIONS Price : 0.00
800-331-0500</t>
  </si>
  <si>
    <t>'320250740824168484'</t>
  </si>
  <si>
    <t>SUSHI ICHIMURA      NEW YORK            NY</t>
  </si>
  <si>
    <t>CH_3R2CKCEB +12125423898
SUSHI ICHIMURA
NEW YORK
NY
+12125423898</t>
  </si>
  <si>
    <t>'320250720756989129'</t>
  </si>
  <si>
    <t>D0D6MQGQ   37IDRW7I         10012
Uber Trip
help.uber.com
CA
37IDRW7I         10012</t>
  </si>
  <si>
    <t>'320250720760683537'</t>
  </si>
  <si>
    <t>A0ZQDEZ9    SELLER
GOOGLE *ISHARINGSOFT
G.CO/HELPPAY#
CA
SELLER</t>
  </si>
  <si>
    <t>'320250710742637272'</t>
  </si>
  <si>
    <t>CRA026381359 03/10/2025 NEW YORK
PREM CAR RENTAL PROTECTION 800-326-2078</t>
  </si>
  <si>
    <t>'320250710750768625'</t>
  </si>
  <si>
    <t>026381359   212-5332900
ENTERPRISE RENT-A-CAR
NEW YORK
NY</t>
  </si>
  <si>
    <t>'320250700720491808'</t>
  </si>
  <si>
    <t>T189296961  877-860-1258
ERACTOLL 7DLXN0
877-860-1258
NY
Description : ERACTOLL 7DLXN0 Price : 0.00
877-860-1258</t>
  </si>
  <si>
    <t>'320250700714524828'</t>
  </si>
  <si>
    <t>PRS TAX ADVISORS    AUSTIN              TX</t>
  </si>
  <si>
    <t>CH_3R196EEU +14154607722
PRS TAX ADVISORS
AUSTIN
TX
+14154607722</t>
  </si>
  <si>
    <t>6500 RIV PLACE BLVD
BLDG 7 STE 250</t>
  </si>
  <si>
    <t>'320250690680082637'</t>
  </si>
  <si>
    <t>Business Services-Banking Services</t>
  </si>
  <si>
    <t>'320250700713618066'</t>
  </si>
  <si>
    <t>Z630ZUM1Z9IZ630ZUM1Z9IT     98052
MICROSOFT
MSBILL.INFO
Z630ZUM1Z9IT     98052</t>
  </si>
  <si>
    <t>'320250680660674983'</t>
  </si>
  <si>
    <t>00251500029 5185811201
STEWARTS ICE CREAM
SARATOGA SPRINGS
NY
Description : AUTOMATED FUEL Price : 0.3065
5185811201</t>
  </si>
  <si>
    <t>'320250690688590045'</t>
  </si>
  <si>
    <t>BRASSERIE BENELUX 65SARATOGA SPRI       NY</t>
  </si>
  <si>
    <t>10156320250 6319888885
BRASSERIE BENELUX 650000011663716
SARATOGA SPRI
NY</t>
  </si>
  <si>
    <t>390 BROADWAY
STE 1</t>
  </si>
  <si>
    <t>'320250690697131156'</t>
  </si>
  <si>
    <t>ERACTOLL 75W9NM     877-860-1258        NY</t>
  </si>
  <si>
    <t>T189125931  877-860-1258
ERACTOLL 75W9NM
877-860-1258
NY
Description : ERACTOLL 75W9NM Price : 0.00
877-860-1258</t>
  </si>
  <si>
    <t>'320250680662809009'</t>
  </si>
  <si>
    <t>MORRISSEYS LOUNGE ATSARATOGA SPRI       NY</t>
  </si>
  <si>
    <t>73011005068392806           12866
MORRISSEYS LOUNGE AT THE 0688800216764
SARATOGA SPRI
NY
392806           12866</t>
  </si>
  <si>
    <t>365 BROADWAY</t>
  </si>
  <si>
    <t>'320250690693918936'</t>
  </si>
  <si>
    <t>'320250670624958601'</t>
  </si>
  <si>
    <t>Z63AZQU2LCOZ63AZQU2LCO6     98052
A1010BUSD01
MSBILL.INFO
Z63AZQU2LCO6     98052</t>
  </si>
  <si>
    <t>'320250650595547325'</t>
  </si>
  <si>
    <t>213960831  213960831        12866
ARLOTECHNOLOGIES INC
408-638-3750
CA
213960831        12866</t>
  </si>
  <si>
    <t>'320250680652372500'</t>
  </si>
  <si>
    <t>DNH*GODADDY#36318872Tempe               AZ</t>
  </si>
  <si>
    <t>3631887223 4805058855
INFO Domain Name Renewal - 1 Year recu
CO Domain Name Renewal - 1 Year recurr
SHOP Tier 1 Domain Name Registration -
DNH*GODADDY#3631887223
Tempe
AZ
INFO Domain Name Renewal - 1 Year recu
CO Domain Name Renewal - 1 Year recurr
SHOP Tier 1 Domain Name Registration -
4805058855</t>
  </si>
  <si>
    <t>2155 EAST GODADDY WAY</t>
  </si>
  <si>
    <t>TEMPE
AZ</t>
  </si>
  <si>
    <t>'320250670636056156'</t>
  </si>
  <si>
    <t>00567218    845-753-5091
SUNOCO 0042337601 0042
SLOATSBURG
NY
Description : Unleaded (88 octane Price : 0.00
845-753-5091</t>
  </si>
  <si>
    <t>'320250670632326489'</t>
  </si>
  <si>
    <t>DNH*GODADDY#36293852Tempe               AZ</t>
  </si>
  <si>
    <t>3629385225 4805058855
NET Domain Name Renewal - 1 Year recur
DNH*GODADDY#3629385225
Tempe
AZ
NET Domain Name Renewal - 1 Year recur
4805058855</t>
  </si>
  <si>
    <t>'320250660608512403'</t>
  </si>
  <si>
    <t>CRA025299161 03/04/2025 NEW YORK
PREM CAR RENTAL PROTECTION 800-326-2078</t>
  </si>
  <si>
    <t>'320250650594558067'</t>
  </si>
  <si>
    <t>2FANJ8SF   F2NQZR6K         94103
UBER EATS
help.uber.com
CA
F2NQZR6K         94103</t>
  </si>
  <si>
    <t>'320250650578677335'</t>
  </si>
  <si>
    <t>Z62YZL96L5GZ62YZL96L5GG     98052
A1010BUSD01
MSBILL.INFO
Z62YZL96L5GG     98052</t>
  </si>
  <si>
    <t>'320250630545249819'</t>
  </si>
  <si>
    <t>TKT NO. 0060908225419
AIRFLIGHT INSURANCE PREMIUM 800-228-6855</t>
  </si>
  <si>
    <t>'320250640569619806'</t>
  </si>
  <si>
    <t>TKT NO. 0060908797628
AIRFLIGHT INSURANCE PREMIUM 800-228-6855</t>
  </si>
  <si>
    <t>'320250640569619807'</t>
  </si>
  <si>
    <t>TKT NO. 0060908225419
BAGGAGE INSURANCE PREMIUM 800-228-6855</t>
  </si>
  <si>
    <t>'320250640569619804'</t>
  </si>
  <si>
    <t>TKT NO. 0060908797628
BAGGAGE INSURANCE PREMIUM 800-228-6855</t>
  </si>
  <si>
    <t>'320250640569619805'</t>
  </si>
  <si>
    <t>CALENDLY            AVONDALE ESTATES    GA</t>
  </si>
  <si>
    <t>CH_3QZQOK4Y +18009799850
CALENDLY
AVONDALE ESTATES
GA
+18009799850</t>
  </si>
  <si>
    <t>"140 NEW MONTGOMERY, FLOOR 2"</t>
  </si>
  <si>
    <t>'320250640571097933'</t>
  </si>
  <si>
    <t>NT_RT8SN7O7 +18774484820
GITHUB, INC.
SAN FRANCISCO
CA
+18774484820</t>
  </si>
  <si>
    <t>'320250640552640533'</t>
  </si>
  <si>
    <t>TKT NO. 0060908225419
TRAVEL DELAY 800-228-6855</t>
  </si>
  <si>
    <t>'320250640569619802'</t>
  </si>
  <si>
    <t>TKT NO. 0060908797628
TRAVEL DELAY 800-228-6855</t>
  </si>
  <si>
    <t>'320250640569619803'</t>
  </si>
  <si>
    <t>KWDV2BCK   3RHMAKVJ         10013
Uber Trip
help.uber.com
CA
3RHMAKVJ         10013</t>
  </si>
  <si>
    <t>'320250640554791018'</t>
  </si>
  <si>
    <t>Z62HZIMFQWDZ62HZIMFQWD7     98052
A1010BUSD01
MSBILL.INFO
Z62HZIMFQWD7     98052</t>
  </si>
  <si>
    <t>'320250630542724254'</t>
  </si>
  <si>
    <t>18002211212
ADDITIONAL COLLECTION
DELTA AIR LINES
ATLANTA
Carrier : DELTA AIR LINES
Passenger Name : NICOLA/CRISTIAN
Ticket Number : 0060908797628
Departure Day : 04/05
Additional Info : ADDITIONAL COLLECTION
From : N.Y. J F KENNEDY I
To : LAS VEGAS MCCARRAN
From : LAS VEGAS MCCARRAN
To : N.Y. J F KENNEDY I</t>
  </si>
  <si>
    <t>'320250630536509337'</t>
  </si>
  <si>
    <t>18002211212
ADDITIONAL COLLECTION
DELTA AIR LINES
ATLANTA
Carrier : DELTA AIR LINES
Passenger Name : DALESSANDRO/KYLIE
Ticket Number : 0060908225419
Departure Day : 04/09
Additional Info : ADDITIONAL COLLECTION
From : N.Y. J F KENNEDY I
To : LAS VEGAS MCCARRAN
From : LAS VEGAS MCCARRAN
To : N.Y. J F KENNEDY I</t>
  </si>
  <si>
    <t>'320250630536509763'</t>
  </si>
  <si>
    <t>025299161   212-5332900
ENTERPRISE RENT-A-CAR
NEW YORK
NY</t>
  </si>
  <si>
    <t>'320250640562212310'</t>
  </si>
  <si>
    <t>'320250630525612280'</t>
  </si>
  <si>
    <t>00143306023 RESTAURANT
TST* FRENCHETTE RESTAURAN 00143306
NEW YORK
NY
RESTAURANT</t>
  </si>
  <si>
    <t>'320250640563831317'</t>
  </si>
  <si>
    <t>11797925   11797925         89109
NONE
The Venetian/Palazzo
7024141000
NV
NONE
11797925         89109</t>
  </si>
  <si>
    <t>'320250630545444341'</t>
  </si>
  <si>
    <t>CRONUS USA INC.     PUYALLUP            WA</t>
  </si>
  <si>
    <t>CH_3QYMJULG +12532418032
CRONUS USA INC.
PUYALLUP
WA
+12532418032</t>
  </si>
  <si>
    <t>4227 MERIDIAN AVE EAST
C446</t>
  </si>
  <si>
    <t>PUYALLUP
WA</t>
  </si>
  <si>
    <t>'320250630539899960'</t>
  </si>
  <si>
    <t>T188640362  877-860-1258
ERACTOLL 75W9NM
877-860-1258
NY
Description : ERACTOLL 75W9NM Price : 0.00
877-860-1258</t>
  </si>
  <si>
    <t>'320250630534244353'</t>
  </si>
  <si>
    <t>00200100112 5185811201
STEWARTS ICE CREAM
SARATOGA SPRINGS
NY
Description : AUTOMATED FUEL Price : 0.6704
5185811201</t>
  </si>
  <si>
    <t>'320250620506004816'</t>
  </si>
  <si>
    <t>NT_RSCFYEPI +18886043188
TOPTAL.COM
SAN FRANCISCO
CA
+18886043188</t>
  </si>
  <si>
    <t>'320250620513925731'</t>
  </si>
  <si>
    <t>N0000003897VZWRLSS*APOCC
VZW APO
800-922-0204
FL
VZWRLSS*APOCC</t>
  </si>
  <si>
    <t>'320250600449247377'</t>
  </si>
  <si>
    <t>PAYPAL *QUEFAMILYTR 4029357733          AU</t>
  </si>
  <si>
    <t>10173998201 4029357733
PAYPAL *QUEFAMILYTR
4029357733
AU
Description : CONSULTING SERVICES Price : 0.00
4029357733</t>
  </si>
  <si>
    <t>'320250600453679816'</t>
  </si>
  <si>
    <t>606AFVSB   SA4VRHC7         10004
Uber Trip
help.uber.com
CA
SA4VRHC7         10004</t>
  </si>
  <si>
    <t>'320250590414947467'</t>
  </si>
  <si>
    <t>73011005059 JLICUL@ICLOUD.COM
DELMONICOS 068880022170850
NEW YORK
NY
JLICUL@ICLOUD.COM</t>
  </si>
  <si>
    <t>'320250590432004721'</t>
  </si>
  <si>
    <t>ERACTOLL 71MMFD     877-860-1258        NY</t>
  </si>
  <si>
    <t>T188228939  877-860-1258
ERACTOLL 71MMFD
877-860-1258
NY
Description : ERACTOLL 71MMFD Price : 0.00
877-860-1258</t>
  </si>
  <si>
    <t>'320250590422322582'</t>
  </si>
  <si>
    <t>4T86560V    14156399034
WIX.COM
SAN FRANCISCO
CA
14156399034</t>
  </si>
  <si>
    <t>'320250580385543518'</t>
  </si>
  <si>
    <t>AMAZON MUSIC*CX6QP8C888-802-3080        WA</t>
  </si>
  <si>
    <t>2B5F855IBUF DIGITAL
AMAZON MUSIC*CX6QP8C03
888-802-3080
WA
DIGITAL</t>
  </si>
  <si>
    <t>'320250570356307359'</t>
  </si>
  <si>
    <t>T188166180  877-860-1258
ERACTOLL 75W9NM
877-860-1258
NY
Description : ERACTOLL 75W9NM Price : 0.00
877-860-1258</t>
  </si>
  <si>
    <t>'320250580390368830'</t>
  </si>
  <si>
    <t>K4RXT9RV   ZOXTY4EH         10001
Uber Trip
help.uber.com
CA
ZOXTY4EH         10001</t>
  </si>
  <si>
    <t>'320250570358554807'</t>
  </si>
  <si>
    <t>DNH*GODADDY#36045492480-505-8855        AZ</t>
  </si>
  <si>
    <t>3604549220 0000000000000003685281
BUSINESS SERVICES
DNH*GODADDY#3604549220 0000
480-505-8855
AZ
BUSINESS SERVICES
0000000000000003685281</t>
  </si>
  <si>
    <t>'320250550319101748'</t>
  </si>
  <si>
    <t>DNH*GODADDY#36046239Tempe               AZ</t>
  </si>
  <si>
    <t>3604623941 4805058855
COM Domain Name Registration - 1 Year
IO Domain Name Registration - 1  Year
ORG Domain Name Registration - 1 Year
Full Domain Protection
DNH*GODADDY#3604623941
Tempe
AZ
COM Domain Name Registration - 1 Year
IO Domain Name Registration - 1  Year
ORG Domain Name Registration - 1 Year
Full Domain Protection
4805058855</t>
  </si>
  <si>
    <t>'320250550323519103'</t>
  </si>
  <si>
    <t>73011005054 JULIE@MTTAXLAW.COM
SILVERMAN LAW OFFICE PLLC 899000003849
HELENA
MT
JULIE@MTTAXLAW.COM</t>
  </si>
  <si>
    <t>'320250550306884431'</t>
  </si>
  <si>
    <t>24Y6B7CA   GMSCE7WJ         10001
Uber Trip
help.uber.com
CA
GMSCE7WJ         10001</t>
  </si>
  <si>
    <t>'320250540284170918'</t>
  </si>
  <si>
    <t>2437       2437             10001
Bazaar
New York
NY
2437             10001</t>
  </si>
  <si>
    <t>'320250540291537604'</t>
  </si>
  <si>
    <t>2310       2310             10001
Bazaar
New York
NY
2310             10001</t>
  </si>
  <si>
    <t>'320250540291481004'</t>
  </si>
  <si>
    <t>NT_ROXGZTB6 +14158799686
OPENAI *CHATGPT SUBSCR
SAN FRANCISCO
CA
+14158799686</t>
  </si>
  <si>
    <t>'320250530258236369'</t>
  </si>
  <si>
    <t>5HWF2AK4   4NTAZUBN         10018
Uber Trip
help.uber.com
CA
4NTAZUBN         10018</t>
  </si>
  <si>
    <t>'320250520233617186'</t>
  </si>
  <si>
    <t>8QSRY0CP   M6JKU5HS         10012
Uber Trip
help.uber.com
CA
M6JKU5HS         10012</t>
  </si>
  <si>
    <t>'320250520233003747'</t>
  </si>
  <si>
    <t>'320250520241191679'</t>
  </si>
  <si>
    <t>T187504627  877-860-1258
ERACTOLL 75W9NM
877-860-1258
NY
Description : ERACTOLL 75W9NM Price : 0.00
877-860-1258</t>
  </si>
  <si>
    <t>'320250490165416577'</t>
  </si>
  <si>
    <t>TST* NOORTWYCK 00080NEW YORK            NY</t>
  </si>
  <si>
    <t>21105175048 RESTAURANT
TST* NOORTWYCK 00080920
NEW YORK
NY
RESTAURANT</t>
  </si>
  <si>
    <t>289 BLEECKER ST</t>
  </si>
  <si>
    <t>'320250480138935984'</t>
  </si>
  <si>
    <t>7JVMDVNB   YSGJKFLU         11104
Uber Trip
help.uber.com
CA
YSGJKFLU         11104</t>
  </si>
  <si>
    <t>'320250470103895975'</t>
  </si>
  <si>
    <t>Q7DDJK16   JNPXCPKG         10012
Uber Trip
help.uber.com
CA
JNPXCPKG         10012</t>
  </si>
  <si>
    <t>'320250470103908127'</t>
  </si>
  <si>
    <t>M5K3WMBS   S5IYOMFT         11104
Uber Trip
help.uber.com
CA
S5IYOMFT         11104</t>
  </si>
  <si>
    <t>'320250470104541274'</t>
  </si>
  <si>
    <t>NT_RMUZYBNR +4553503099
TABULAR EDITOR APS
COPENHAGEN V
DK
+4553503099</t>
  </si>
  <si>
    <t>'320250470116342187'</t>
  </si>
  <si>
    <t>JXMNQ70D   7SQSIZRT         10036
Uber Trip
help.uber.com
CA
7SQSIZRT         10036</t>
  </si>
  <si>
    <t>'320250460080683147'</t>
  </si>
  <si>
    <t>44074120    800-331-0500
AT&amp;T MOBILITY RECURRING
800-288-2020
TX
Description : TELECOMMUNICATIONS Price : 0.00
800-331-0500</t>
  </si>
  <si>
    <t>'320250460092484907'</t>
  </si>
  <si>
    <t>T187288659  877-860-1258
ERACTOLL 71MMFD
877-860-1258
NY
Description : ERACTOLL 71MMFD Price : 0.00
877-860-1258</t>
  </si>
  <si>
    <t>'320250460088918761'</t>
  </si>
  <si>
    <t>KREUTHER RESTAURANT NEW YORK            NY</t>
  </si>
  <si>
    <t>00000013291 917-913-9141
KREUTHER RESTAURANT 0000
NEW YORK
NY
Description : FOOD/BEVERAGE Price : 0.00
917-913-9141</t>
  </si>
  <si>
    <t>41 WEST 42ND ST</t>
  </si>
  <si>
    <t>'320250460090236160'</t>
  </si>
  <si>
    <t>7VEEWZYB   VMGMKPJL         10018
Uber Trip
help.uber.com
CA
VMGMKPJL         10018</t>
  </si>
  <si>
    <t>'320250450052409460'</t>
  </si>
  <si>
    <t>26800113    646-998-3255
OLIYO 38 0000
NEW YORK
NY
Description : GROCERIES/SUNDRIES Price : 0.00
646-998-3255</t>
  </si>
  <si>
    <t>'320250450063571445'</t>
  </si>
  <si>
    <t>NSY5WFGP   BC2TXZUX         94103
UBER EATS
HTTPS://HELP.UBER.COM
CA
BC2TXZUX         94103</t>
  </si>
  <si>
    <t>'320250440028231133'</t>
  </si>
  <si>
    <t>Amazon Prime        Amazon.com          WA</t>
  </si>
  <si>
    <t>16CF113T45Q SUBSCRIPTION
Amazon Prime
Amazon.com
WA
SUBSCRIPTION</t>
  </si>
  <si>
    <t>440 TERRY AVE NORTH</t>
  </si>
  <si>
    <t>'320250440038698266'</t>
  </si>
  <si>
    <t>Merchandise &amp; Supplies-Mail Order</t>
  </si>
  <si>
    <t>CRA021209525 02/10/2025 NEW YORK
PREM CAR RENTAL PROTECTION 800-326-2078</t>
  </si>
  <si>
    <t>'320250430014210160'</t>
  </si>
  <si>
    <t>H1DJ4QCS   35Z2MCPU         10012
Uber Trip
help.uber.com
CA
35Z2MCPU         10012</t>
  </si>
  <si>
    <t>'320250430002472821'</t>
  </si>
  <si>
    <t>A0ZBHK0D    LARGE DIGITAL GOODS M
LARGE DIGITAL GOODS MERCH
GOOGLE *ISHARINGSOFT
G.CO/HELPPAY#
CA
LARGE DIGITAL GOODS MERCH</t>
  </si>
  <si>
    <t>'320250430008384040'</t>
  </si>
  <si>
    <t>'320250420969869685'</t>
  </si>
  <si>
    <t>021209525   212-5332900
ENTERPRISE RENT-A-CAR
NEW YORK
NY</t>
  </si>
  <si>
    <t>'320250420985858182'</t>
  </si>
  <si>
    <t>T186974606  877-860-1258
ERACTOLL 71MMFD
877-860-1258
NY
Description : ERACTOLL 71MMFD Price : 0.00
877-860-1258</t>
  </si>
  <si>
    <t>'320250410957526079'</t>
  </si>
  <si>
    <t>Z62GY5RQFFKZ62GY5RQFFKY     98052
MICROSOFT
MSBILL.INFO
Z62GY5RQFFKY     98052</t>
  </si>
  <si>
    <t>'320250400929552448'</t>
  </si>
  <si>
    <t>7D3W7MJJ   57XCT73X         10012
Uber Trip
help.uber.com
CA
57XCT73X         10012</t>
  </si>
  <si>
    <t>'320250390903817673'</t>
  </si>
  <si>
    <t>H1CJZK2Z   HLBABTQW         10018
Uber Trip
help.uber.com
CA
HLBABTQW         10018</t>
  </si>
  <si>
    <t>'320250390904615043'</t>
  </si>
  <si>
    <t>Z62XY0SB8EMZ62XY0SB8EMU     98052
A1010BUSD01
MSBILL.INFO
Z62XY0SB8EMU     98052</t>
  </si>
  <si>
    <t>'320250380886750817'</t>
  </si>
  <si>
    <t>212431566  212431566        12866
ARLOTECHNOLOGIES INC
408-638-3750
CA
212431566        12866</t>
  </si>
  <si>
    <t>'320250400923969776'</t>
  </si>
  <si>
    <t>26200325    646-998-3255
OLIYO 38 0000
NEW YORK
NY
Description : GROCERIES/SUNDRIES Price : 0.00
646-998-3255</t>
  </si>
  <si>
    <t>'320250390910773447'</t>
  </si>
  <si>
    <t>00471459    845-753-5091
SUNOCO 0042337601 0042
SLOATSBURG
NY
Description : Unleaded Plus (89 - Price : 0.00
845-753-5091</t>
  </si>
  <si>
    <t>'320250390902145896'</t>
  </si>
  <si>
    <t>CSJYX1FE   2P6ZZLAX         10012
Uber Trip
help.uber.com
CA
2P6ZZLAX         10012</t>
  </si>
  <si>
    <t>'320250380875131365'</t>
  </si>
  <si>
    <t>NXT13P6Q   U2QY7BL3         10018
Uber Trip
help.uber.com
CA
U2QY7BL3         10018</t>
  </si>
  <si>
    <t>'320250380874117466'</t>
  </si>
  <si>
    <t>SUSHI SAIKOU        New York            NY</t>
  </si>
  <si>
    <t>96mepOl8Sa3 squareup.com/receipts
SUSHI SAIKOU
New York
NY</t>
  </si>
  <si>
    <t>301 ELIZABETH ST</t>
  </si>
  <si>
    <t>'320250360817890403'</t>
  </si>
  <si>
    <t>BS0NEC5C   5F2B3NVN         10018
Uber Trip
help.uber.com
CA
5F2B3NVN         10018</t>
  </si>
  <si>
    <t>'320250370848056798'</t>
  </si>
  <si>
    <t>6WXB99Y9   YZF2K2OZ         10003
Uber Trip
help.uber.com
CA
YZF2K2OZ         10003</t>
  </si>
  <si>
    <t>'320250370849411469'</t>
  </si>
  <si>
    <t>Z62WXVZPPP7Z62WXVZPPP7N     98052
A1010BUSD01
MSBILL.INFO
Z62WXVZPPP7N     98052</t>
  </si>
  <si>
    <t>'320250350813179900'</t>
  </si>
  <si>
    <t>NT_RIDPOG3P +18774484820
GITHUB, INC.
SAN FRANCISCO
CA
+18774484820</t>
  </si>
  <si>
    <t>'320250360821201714'</t>
  </si>
  <si>
    <t>17600314    646-998-3255
OLIYO 38 0000
NEW YORK
NY
Description : GROCERIES/SUNDRIES Price : 0.00
646-998-3255</t>
  </si>
  <si>
    <t>'320250370856254678'</t>
  </si>
  <si>
    <t>EMGCY768   LMRYXXNE         10012
Uber Trip
help.uber.com
CA
LMRYXXNE         10012</t>
  </si>
  <si>
    <t>'320250360823654905'</t>
  </si>
  <si>
    <t>4SHS9W6H   YNQCSRS3         10004
Uber Trip
help.uber.com
CA
YNQCSRS3         10004</t>
  </si>
  <si>
    <t>'320250360824873967'</t>
  </si>
  <si>
    <t>Z62EXSQRC7QZ62EXSQRC7QP     98052
A1010BUSD01
MSBILL.INFO
Z62EXSQRC7QP     98052</t>
  </si>
  <si>
    <t>'320250350811232773'</t>
  </si>
  <si>
    <t>73011005036 JLICUL@ICLOUD.COM
DELMONICOS 068880022170850
NEW YORK
NY
JLICUL@ICLOUD.COM</t>
  </si>
  <si>
    <t>'320250360837993371'</t>
  </si>
  <si>
    <t>'320250350796145377'</t>
  </si>
  <si>
    <t>NKS60560   UIE7GEDQ         10018
Uber Trip
help.uber.com
CA
UIE7GEDQ         10018</t>
  </si>
  <si>
    <t>'320250350794490919'</t>
  </si>
  <si>
    <t>NT_RHZIIYWZ +18886043188
TOPTAL.COM
SAN FRANCISCO
CA
+18886043188</t>
  </si>
  <si>
    <t>'320250350811109214'</t>
  </si>
  <si>
    <t>CTQJZV62   GVSUYXOH         10012
Uber Trip
help.uber.com
CA
GVSUYXOH         10012</t>
  </si>
  <si>
    <t>'320250340770771156'</t>
  </si>
  <si>
    <t>T186468032  877-860-1258
ERACTOLL 71MMFD
877-860-1258
NY
Description : ERACTOLL 71MMFD Price : 0.00
877-860-1258</t>
  </si>
  <si>
    <t>'320250340774825564'</t>
  </si>
  <si>
    <t>9Y9ZD05G   EUJW3MYR         10028
Uber Trip
help.uber.com
CA
EUJW3MYR         10028</t>
  </si>
  <si>
    <t>'320250330745180767'</t>
  </si>
  <si>
    <t>GW8A7WFK   WJMIFRYD         10012
Uber Trip
help.uber.com
CA
WJMIFRYD         10012</t>
  </si>
  <si>
    <t>'320250330744556782'</t>
  </si>
  <si>
    <t>M031X7BB   VMSBAG74         10013
Uber Trip
help.uber.com
CA
VMSBAG74         10013</t>
  </si>
  <si>
    <t>'320250320718728174'</t>
  </si>
  <si>
    <t>N0000003872VZWRLSS*APOCC
VZW APO
800-922-0204
FL
VZWRLSS*APOCC</t>
  </si>
  <si>
    <t>'320250320725416327'</t>
  </si>
  <si>
    <t>00143306022 RESTAURANT
TST* FRENCHETTE RESTAURAN 00143306
NEW YORK
NY
RESTAURANT</t>
  </si>
  <si>
    <t>'320250320729532597'</t>
  </si>
  <si>
    <t>UPWORK              SAN FRANCISCO</t>
  </si>
  <si>
    <t>T775355857 11376536         12866
INVOICE CHARGE
UPWORK
SAN FRANCISCO
INVOICE CHARGE
11376536         12866</t>
  </si>
  <si>
    <t>475 BRANNAN ST SUITE 430</t>
  </si>
  <si>
    <t>'320250300664569912'</t>
  </si>
  <si>
    <t>3HBPPC49   4N5HBCBH         10004
Uber Trip
help.uber.com
CA
4N5HBCBH         10004</t>
  </si>
  <si>
    <t>'320250300668533536'</t>
  </si>
  <si>
    <t>96Z0RAHG   O6NIT7BG         10001
Uber Trip
help.uber.com
CA
O6NIT7BG         10001</t>
  </si>
  <si>
    <t>'320250290642540993'</t>
  </si>
  <si>
    <t>CRA018653145 01/25/2025 SARATOGA SPRINGS
PREM CAR RENTAL PROTECTION 800-326-2078</t>
  </si>
  <si>
    <t>'320250280631442372'</t>
  </si>
  <si>
    <t>TST* HUDSON YARDS - NEW YORK            NY</t>
  </si>
  <si>
    <t>99999995028 3472848291
TST* HUDSON YARDS - ANA'S 300579326
NEW YORK
NY
Description : RESTAURANTS Price : 0.223
3472848291</t>
  </si>
  <si>
    <t>40 752861 74 000838
2ND FL</t>
  </si>
  <si>
    <t>'320250290654632618'</t>
  </si>
  <si>
    <t>AMAZON MUSIC*ZG0OJ35888-802-3080        WA</t>
  </si>
  <si>
    <t>3HYAPU9BQF9 DIGITAL
AMAZON MUSIC*ZG0OJ3561
888-802-3080
WA
DIGITAL</t>
  </si>
  <si>
    <t>'320250260566406754'</t>
  </si>
  <si>
    <t>ENTERPRISE    023893SARATOGA SPRI       NY</t>
  </si>
  <si>
    <t>018653145   518-5870687
ENTERPRISE    023893 01810023893
SARATOGA SPRI
NY</t>
  </si>
  <si>
    <t>182 SOUTH BROADWAY</t>
  </si>
  <si>
    <t>'320250270602570267'</t>
  </si>
  <si>
    <t>00251700027 5185811201
STEWARTS ICE CREAM
SARATOGA SPRINGS
NY
Description : AUTOMATED FUEL Price : 0.3562
5185811201</t>
  </si>
  <si>
    <t>'320250260574579021'</t>
  </si>
  <si>
    <t>GABRIEL KRREUTHER   NEW YORK            NY</t>
  </si>
  <si>
    <t>NT_REAKIWYY +12122575826
GABRIEL KRREUTHER
NEW YORK
NY
+12122575826</t>
  </si>
  <si>
    <t>1114 6TH AVE</t>
  </si>
  <si>
    <t>'320250240532351565'</t>
  </si>
  <si>
    <t>SUNOCO 0528522600 05SARATOGA SPRI       NY</t>
  </si>
  <si>
    <t>00122285    518-584-5380
SUNOCO 0528522600 0528
SARATOGA SPRI
NY
Description : Unleaded Plus (89 - Price : 0.00
518-584-5380</t>
  </si>
  <si>
    <t>'320250250550225576'</t>
  </si>
  <si>
    <t>SPO*PANZA'SRESTAURANSARATOGA SPRI       NY</t>
  </si>
  <si>
    <t>99999995023 5185846882
SPO*PANZA'SRESTAURANT 000001432
SARATOGA SPRI
NY
5185846882</t>
  </si>
  <si>
    <t>129 SOUTH BROADWAY</t>
  </si>
  <si>
    <t>12866-4532</t>
  </si>
  <si>
    <t>'320250230494615493'</t>
  </si>
  <si>
    <t>NT_RDLGEZO3 +14158799686
OPENAI *CHATGPT SUBSCR
SAN FRANCISCO
CA
+14158799686</t>
  </si>
  <si>
    <t>'320250220480226117'</t>
  </si>
  <si>
    <t>ROVEN LAW GROUP PC  NEW YORK CITY       NY</t>
  </si>
  <si>
    <t>######NB63Z PROFESSIONAL SERVICE
ROVEN LAW GROUP PC
NEW YORK CITY
NY
PROFESSIONAL SERVICE</t>
  </si>
  <si>
    <t>3 PARK AVE</t>
  </si>
  <si>
    <t>'320250220480065707'</t>
  </si>
  <si>
    <t>9J0EPAKN   YD5EE3PO         12866
Uber Trip
help.uber.com
CA
YD5EE3PO         12866</t>
  </si>
  <si>
    <t>'320250220480875757'</t>
  </si>
  <si>
    <t>EXXONMOBIL 9736     MALDEN ON HUD       NY</t>
  </si>
  <si>
    <t>00704358    845-246-3510
EXXONMOBIL 9736
MALDEN ON HUD
NY
Description : 001 Price : 0.00
845-246-3510</t>
  </si>
  <si>
    <t>'320250210453229075'</t>
  </si>
  <si>
    <t>JGV2DHJ2   TLT27AVX         10022
Uber Trip
help.uber.com
CA
TLT27AVX         10022</t>
  </si>
  <si>
    <t>'320250200421938841'</t>
  </si>
  <si>
    <t>HNKFEPZ5   WPCCSLXW         10012
Uber Trip
help.uber.com
CA
WPCCSLXW         10012</t>
  </si>
  <si>
    <t>'320250200421677863'</t>
  </si>
  <si>
    <t>SKYPE               LUXEMBOURG</t>
  </si>
  <si>
    <t>80640000067 TELECOM SERVICE
SKYPE
LUXEMBOURG
TELECOM SERVICE</t>
  </si>
  <si>
    <t>USA
000</t>
  </si>
  <si>
    <t>'320250210446082211'</t>
  </si>
  <si>
    <t>Communications-Telephone Comm</t>
  </si>
  <si>
    <t>EXXONMOBIL 9736     HANNACROIX          NY</t>
  </si>
  <si>
    <t>00203155    518-756-9700
EXXONMOBIL 9736
HANNACROIX
NY
Description : 001 Price : 0.00
518-756-9700</t>
  </si>
  <si>
    <t>'320250190405707295'</t>
  </si>
  <si>
    <t>9V9NGXPX   5Z7BARTO         94103
UBER EATS
help.uber.com
CA
5Z7BARTO         94103</t>
  </si>
  <si>
    <t>'320250160316131282'</t>
  </si>
  <si>
    <t>T771017188 11376536         12866
INVOICE CHARGE
UPWORK
SAN FRANCISCO
INVOICE CHARGE
11376536         12866</t>
  </si>
  <si>
    <t>'320250160329171458'</t>
  </si>
  <si>
    <t>NT_RASZWGMX +4553503099
TABULAR EDITOR APS
COPENHAGEN V
DK
+4553503099</t>
  </si>
  <si>
    <t>'320250160323251142'</t>
  </si>
  <si>
    <t>48255058    800-331-0500
AT&amp;T MOBILITY RECURRING
800-288-2020
TX
Description : TELECOMMUNICATIONS Price : 0.00
800-331-0500</t>
  </si>
  <si>
    <t>'320250150296821107'</t>
  </si>
  <si>
    <t>FG9QDJ8X   LM5CYPCR         10013
Uber Trip
help.uber.com
CA
LM5CYPCR         10013</t>
  </si>
  <si>
    <t>'320250120213109403'</t>
  </si>
  <si>
    <t>A0YWKMVS    DIGITAL GOODS: APPS
GOOGLE *ISHARINGSOFT
G.CO/HELPPAY#
CA
DIGITAL GOODS: APPS</t>
  </si>
  <si>
    <t>'320250120218752716'</t>
  </si>
  <si>
    <t>'320250110186972138'</t>
  </si>
  <si>
    <t>CC Name</t>
  </si>
  <si>
    <t>DELTARESERVE</t>
  </si>
  <si>
    <t>B06AG1DiLaO squareup.com/receipts
THE CLEANERS IO, LLC
NEW YORK
NY
squareup.com/receipts</t>
  </si>
  <si>
    <t>'320252980031620365'</t>
  </si>
  <si>
    <t>GTXRES8M   VJAZVJUU         94103
UBER EATS
help.uber.com
CA
VJAZVJUU         94103</t>
  </si>
  <si>
    <t>'320252980032411278'</t>
  </si>
  <si>
    <t>PA7ERJ41   SILSDR6I         10012
Uber Trip
help.uber.com
CA
SILSDR6I         10012</t>
  </si>
  <si>
    <t>'320252980032626229'</t>
  </si>
  <si>
    <t>K970M5F8   WAVCPRJB         10012
Uber Trip
help.uber.com
CA
WAVCPRJB         10012</t>
  </si>
  <si>
    <t>'320252970997935456'</t>
  </si>
  <si>
    <t>GPGFDTNQMPS TAXICAB &amp; LIMOUSINE
Uber Trip
help.uber.com
CA
TAXICAB &amp; LIMOUSINE</t>
  </si>
  <si>
    <t>'320252970018730329'</t>
  </si>
  <si>
    <t>HQFQN3GD   WAVCPRJB         10012
Uber Trip
help.uber.com
CA
WAVCPRJB         10012</t>
  </si>
  <si>
    <t>'320252970000876454'</t>
  </si>
  <si>
    <t>GJSVKM3H   X2BZNFZ3         10018
Uber Trip
help.uber.com
CA
X2BZNFZ3         10018</t>
  </si>
  <si>
    <t>'320252970997142413'</t>
  </si>
  <si>
    <t>VAGARO_*LOUNGE STUDINEW YORK            NY</t>
  </si>
  <si>
    <t>######Tteaf MISC PERSONAL SERVICE
VAGARO_*LOUNGE STUDIOS
NEW YORK
NY
MISC PERSONAL SERVICE</t>
  </si>
  <si>
    <t>315 WEST 39TH STREET MANHATTAN</t>
  </si>
  <si>
    <t>'320252970996268454'</t>
  </si>
  <si>
    <t>23IKW8SM3KZ MERCHANDISE
AMAZON.COM
AMZN.COM/BILL
WA
MERCHANDISE</t>
  </si>
  <si>
    <t>'320252960969132547'</t>
  </si>
  <si>
    <t>53QHSHQ1   3FQPHPYR         11205
Uber Trip
help.uber.com
CA
3FQPHPYR         11205</t>
  </si>
  <si>
    <t>'320252970001584493'</t>
  </si>
  <si>
    <t>99999995296 8002892273
DUANE READE #14468 000014468
NEW YORK
NY
Description : PHARMACIES Price : 0.1823
8002892273</t>
  </si>
  <si>
    <t>'320252960979763555'</t>
  </si>
  <si>
    <t>REPLIT, INC.        FOSTER CITY         CA</t>
  </si>
  <si>
    <t>CH_3SL2QDJA +16282002281
REPLIT, INC.
FOSTER CITY
CA
+16282002281</t>
  </si>
  <si>
    <t>1001 EAST HILLSDALE BLVD
SUITE 400W</t>
  </si>
  <si>
    <t>FOSTER CITY
CA</t>
  </si>
  <si>
    <t>'320252950940697457'</t>
  </si>
  <si>
    <t>STARBUCKS           800-782-7282        WA</t>
  </si>
  <si>
    <t>MATEZHVZZRX GIFT CARD
STARBUCKS
800-782-7282
WA
GIFT CARD</t>
  </si>
  <si>
    <t>2401 UTAH AVE SOUTH STE 800</t>
  </si>
  <si>
    <t>'320252960983460931'</t>
  </si>
  <si>
    <t>KA7ZMQ31   GFDCFP7C         94103
UBER EATS
help.uber.com
CA
GFDCFP7C         94103</t>
  </si>
  <si>
    <t>'320252950947058533'</t>
  </si>
  <si>
    <t>RC0KVR2Q   2GVVYHSJ         10012
Uber Trip
help.uber.com
CA
2GVVYHSJ         10012</t>
  </si>
  <si>
    <t>'320252950945784809'</t>
  </si>
  <si>
    <t>WHOLEFDS USQ 10162 0NEW YORK            NY</t>
  </si>
  <si>
    <t>01K65F8WKZE 2126735388
WHOLEFDS USQ 10162 000010162
NEW YORK
NY
Description : GROCERY STORES Price : 0.9547
2126735388</t>
  </si>
  <si>
    <t>250 7TH AVE STE 511</t>
  </si>
  <si>
    <t>'320252960981084975'</t>
  </si>
  <si>
    <t>CANVA* I04676-584226CAMDEN              DE</t>
  </si>
  <si>
    <t>CH_2SKN9HK8 +17372853388
CANVA* I04676-58422608
CAMDEN
DE
+17372853388</t>
  </si>
  <si>
    <t>2140 SOUTH DUPONT HWY</t>
  </si>
  <si>
    <t>CAMDEN
DE</t>
  </si>
  <si>
    <t>'320252940913118061'</t>
  </si>
  <si>
    <t>LGA CIBO EXPRESS C70EAST ELMHURST       NY</t>
  </si>
  <si>
    <t>99999995295 8665083558
LGA CIBO EXPRESS C70 000000005
EAST ELMHURST
NY
Description : TIP Price :0.00
8665083558</t>
  </si>
  <si>
    <t>94 00 GRAND CENTRAL PKWY</t>
  </si>
  <si>
    <t>EAST ELMHURST
NY</t>
  </si>
  <si>
    <t>'320252950948513294'</t>
  </si>
  <si>
    <t>CH_3SKLKFJA +16282002281
REPLIT, INC.
FOSTER CITY
CA
+16282002281</t>
  </si>
  <si>
    <t>'320252940934366500'</t>
  </si>
  <si>
    <t>CH_3SKF3XJA +16282002281
REPLIT, INC.
FOSTER CITY
CA
+16282002281</t>
  </si>
  <si>
    <t>'320252940914561414'</t>
  </si>
  <si>
    <t>TULSA AIRPORT       TULSA               OK</t>
  </si>
  <si>
    <t>18         18               74115
CAGEFREEEGGSWITHTURKEYSAUSSAUSAGE
TULSA AIRPORT
TULSA
OK
CAGEFREEEGGSWITHTURKEYSAUSSAUSAGE
18               74115</t>
  </si>
  <si>
    <t>7777 EAST APACHE ST STE A217</t>
  </si>
  <si>
    <t>TULSA
OK</t>
  </si>
  <si>
    <t>'320252950959796483'</t>
  </si>
  <si>
    <t>KDSMHAP5   YSRIGGWU         11371
Uber Trip
help.uber.com
CA
YSRIGGWU         11371</t>
  </si>
  <si>
    <t>'320252940914681544'</t>
  </si>
  <si>
    <t>ALTAR'D STATE 140 WDTULSA               OK</t>
  </si>
  <si>
    <t>57700009    800-284-7348
ALTAR'D STATE 140 WDHL
TULSA
OK
Description : APPAREL/ACCESSORIES Price : 0.00
800-284-7348</t>
  </si>
  <si>
    <t>7021 SOUTH MEMORIAL DR 126</t>
  </si>
  <si>
    <t>'320252940925676931'</t>
  </si>
  <si>
    <t>Merchandise &amp; Supplies-Clothing Stores</t>
  </si>
  <si>
    <t>6QIQIHN768R MERCHANDISE
AMAZON MARKETPLACE NA PA
AMZN.COM/BILL
WA
MERCHANDISE</t>
  </si>
  <si>
    <t>'320252940922046717'</t>
  </si>
  <si>
    <t>FRANCESCA'S COLLECTITULSA               OK</t>
  </si>
  <si>
    <t>6009-600907 WOMEN'S CLOTHING
FRANCESCA'S COLLECTIONS
TULSA
OK
WOMEN'S CLOTHING</t>
  </si>
  <si>
    <t>7021 SOUTH MEMORIAL DR 184A</t>
  </si>
  <si>
    <t>'320252940925637364'</t>
  </si>
  <si>
    <t>NATIVELY            AUSTIN              TX</t>
  </si>
  <si>
    <t>CH_3SKNAVBX +13072191144
NATIVELY
AUSTIN
TX
+13072191144</t>
  </si>
  <si>
    <t>9900 SPECTRUM DR</t>
  </si>
  <si>
    <t>'320252930885232863'</t>
  </si>
  <si>
    <t>SPLICE.COM          NEW YORK            NY</t>
  </si>
  <si>
    <t>CH_3SKKGLCF 3235775423
SPLICE.COM
NEW YORK
NY
3235775423</t>
  </si>
  <si>
    <t>817 BROADWAY FLOOR 4</t>
  </si>
  <si>
    <t>'320252930891364838'</t>
  </si>
  <si>
    <t>VENMO *HEIDI KLING  8558124430          NY</t>
  </si>
  <si>
    <t>10193320667 8558124430
VENMO *HEIDI KLING
8558124430
NY
"Description : BUSINESS SERVICES, Price : 0.00"
8558124430</t>
  </si>
  <si>
    <t>2211 NORTH FIRST ST</t>
  </si>
  <si>
    <t>SAN JOSE
CA</t>
  </si>
  <si>
    <t>'320252960988424406'</t>
  </si>
  <si>
    <t>4KDYOB5LB4Q MERCHANDISE
AMAZON MARKETPLACE NA PA
AMZN.COM/BILL
WA
MERCHANDISE</t>
  </si>
  <si>
    <t>'320252940926609558'</t>
  </si>
  <si>
    <t>TARGET              TULSA               OK</t>
  </si>
  <si>
    <t>001745933   612-3044357
TARGET
TULSA
OK
Description : SEE INVOICE Price : 0.7161
612-3044357</t>
  </si>
  <si>
    <t>1701 SOUTH YALE AVE</t>
  </si>
  <si>
    <t>'320252930906057400'</t>
  </si>
  <si>
    <t>PN7Q4VJQ   YSRIGGWU         11371
Uber Trip
help.uber.com
CA
YSRIGGWU         11371</t>
  </si>
  <si>
    <t>'320252910835305100'</t>
  </si>
  <si>
    <t>CVS PHARMACY        NEW YORK            NY</t>
  </si>
  <si>
    <t>10186271   8007467287
PHARMACIES
CVS PHARMACY
NEW YORK
NY
PHARMACIES
8007467287</t>
  </si>
  <si>
    <t>158 BLEECKER ST</t>
  </si>
  <si>
    <t>'320252910842332921'</t>
  </si>
  <si>
    <t>D J*WSJ             800-568-7625        NJ</t>
  </si>
  <si>
    <t>P-042908443 SUBSRIPTION
D J*WSJ
800-568-7625
NJ
SUBSRIPTION</t>
  </si>
  <si>
    <t>4300 RTE 1 NORTH</t>
  </si>
  <si>
    <t>SOUTH BRUNSWICK
NJ</t>
  </si>
  <si>
    <t>08852</t>
  </si>
  <si>
    <t>'320252910845409315'</t>
  </si>
  <si>
    <t>99999995291 8002892273
DUANE READE #14468 000014468
NEW YORK
NY
Description : PHARMACIES Price : 0.0427
8002892273</t>
  </si>
  <si>
    <t>'320252910842274395'</t>
  </si>
  <si>
    <t>HASHI MARKET        NEW YORK            NY</t>
  </si>
  <si>
    <t>00051252    646-558-9666
HASHI MARKET
NEW YORK
NY
Description : GROCERIES/SUNDRIES Price : 0.00
646-558-9666</t>
  </si>
  <si>
    <t>93 UNIVERSITY PLACE</t>
  </si>
  <si>
    <t>'320252910847237855'</t>
  </si>
  <si>
    <t>KIMBERLY MEEHAN, NP NEW YORK            NY</t>
  </si>
  <si>
    <t>1390174     KIMBERLY@KIMBERLYMEEH
KIMBERLY@KIMBERLYMEEHANNP
KIMBERLY MEEHAN, NP IN PS KIMBERLY MEE
NEW YORK
NY
Description : AD6097A2407044EC90D Price : 0.00
KIMBERLY@KIMBERLYMEEHANNP</t>
  </si>
  <si>
    <t>18 EAST 41ST ST</t>
  </si>
  <si>
    <t>'320252920879248815'</t>
  </si>
  <si>
    <t>LGA BUBBYS DINER - EEAST ELMHURST       NY</t>
  </si>
  <si>
    <t>99999995291 8665083558
LGA BUBBYS DINER - ECOM 000000059
EAST ELMHURST
NY
Description : RETAIL Price : 0.00
8665083558</t>
  </si>
  <si>
    <t>'320252910840883305'</t>
  </si>
  <si>
    <t>LGA C CIBO EXPRESS CEAST ELMHURST       NY</t>
  </si>
  <si>
    <t>99999995291 8665083558
LGA C CIBO EXPRESS CENTER 000000009
EAST ELMHURST
NY
Description : TIP Price :0.00
8665083558</t>
  </si>
  <si>
    <t>'320252910840945238'</t>
  </si>
  <si>
    <t>LGA C COTTO MARKET 0EAST ELMHURST       NY</t>
  </si>
  <si>
    <t>99999995291 8665083558
LGA C COTTO MARKET 000000008
EAST ELMHURST
NY
Description : TIP Price :0.00
8665083558</t>
  </si>
  <si>
    <t>'320252910839741876'</t>
  </si>
  <si>
    <t>TST* MARYS 00154055 NEW YORK            NY</t>
  </si>
  <si>
    <t>21105175290 BAR/NIGHTCLUB
TST* MARYS 00154055
NEW YORK
NY
BAR/NIGHTCLUB</t>
  </si>
  <si>
    <t>146 ORCH ST</t>
  </si>
  <si>
    <t>'320252900808754345'</t>
  </si>
  <si>
    <t>D3TGR594   6LSGETFS         94103
UBER EATS
help.uber.com
CA
6LSGETFS         94103</t>
  </si>
  <si>
    <t>'320252910836508478'</t>
  </si>
  <si>
    <t>9SWPW2D4   EMYKPTUE         10002
Uber Trip
help.uber.com
CA
EMYKPTUE         10002</t>
  </si>
  <si>
    <t>'320252900804363451'</t>
  </si>
  <si>
    <t>######GamWD MISC PERSONAL SERVICE
VAGARO_*LOUNGE STUDIOS
NEW YORK
NY
MISC PERSONAL SERVICE</t>
  </si>
  <si>
    <t>'320252900798236588'</t>
  </si>
  <si>
    <t>APPLE.COM/BILL      INTERNET CHARGE     CA</t>
  </si>
  <si>
    <t>MTK84YY18MA RECORD STORE
APPLE.COM/BILL
INTERNET CHARGE
CA
RECORD STORE</t>
  </si>
  <si>
    <t>MS-3RA
12545 RIATA VISTA CIRCLE</t>
  </si>
  <si>
    <t>78727-5205</t>
  </si>
  <si>
    <t>'320252900817561351'</t>
  </si>
  <si>
    <t>DIRTY FRENCH        NEW YORK            NY</t>
  </si>
  <si>
    <t>0000255449       10002
DIRTY FRENCH
NEW YORK
NY
0000255449       10002</t>
  </si>
  <si>
    <t>180 LUDLOW ST</t>
  </si>
  <si>
    <t>'320252910846731782'</t>
  </si>
  <si>
    <t>LE CAFE COFFEE      New York            NY</t>
  </si>
  <si>
    <t>pICwC0f0WK8 squareup.com/receipts
LE CAFE COFFEE
New York
NY
squareup.com/receipts</t>
  </si>
  <si>
    <t>7 EAST 14TH ST FRNT 7</t>
  </si>
  <si>
    <t>'320252890773577902'</t>
  </si>
  <si>
    <t>CH_3SIUGYCF 3235775423
SPLICE.COM
NEW YORK
NY
3235775423</t>
  </si>
  <si>
    <t>'320252890772331540'</t>
  </si>
  <si>
    <t>RC2QFQGG   UEC3UIAC         94103
UBER EATS
help.uber.com
CA
UEC3UIAC         94103</t>
  </si>
  <si>
    <t>'320252890774927399'</t>
  </si>
  <si>
    <t>0ULLSDTGXUQ 2126735388
WHOLEFDS USQ 10162 000010162
NEW YORK
NY
Description : GROCERY STORES Price : 0.3207
2126735388</t>
  </si>
  <si>
    <t>'320252900810298702'</t>
  </si>
  <si>
    <t>317HH1BL0Z7 MERCHANDISE
AMAZON MARKETPLACE NA PA
AMZN.COM/BILL
WA
MERCHANDISE</t>
  </si>
  <si>
    <t>'320252890778648478'</t>
  </si>
  <si>
    <t>MTK855VXBTA RECORD STORE
APPLE.COM/BILL
INTERNET CHARGE
CA
RECORD STORE</t>
  </si>
  <si>
    <t>'320252880741944962'</t>
  </si>
  <si>
    <t>GRUBHUB*19CLEVELAND NEW YORK            NY</t>
  </si>
  <si>
    <t>GZB9Q7B5    8775851085
GRUBHUB*19CLEVELAND
NEW YORK
NY
8775851085</t>
  </si>
  <si>
    <t>SUITE 2100
111 W WASHINGTON</t>
  </si>
  <si>
    <t>'320252880741027235'</t>
  </si>
  <si>
    <t>USPS PO BOXES ONLINE800-344-7779        DC</t>
  </si>
  <si>
    <t>129525779898007826724
USPS PO BOXES ONLINE 660247000
800-344-7779
DC
8007826724</t>
  </si>
  <si>
    <t>475 LENFANT PLZ SOUTH WEST RM 5540</t>
  </si>
  <si>
    <t>WASHINGTON
DC</t>
  </si>
  <si>
    <t>'320252880762960371'</t>
  </si>
  <si>
    <t>6WA56BZ01SW MERCHANDISE
AMAZON MARKETPLACE NA PA
AMZN.COM/BILL
WA
MERCHANDISE</t>
  </si>
  <si>
    <t>'320252880748328905'</t>
  </si>
  <si>
    <t>X7ylossmU0l squareup.com/receipts
LE CAFE COFFEE
New York
NY
squareup.com/receipts</t>
  </si>
  <si>
    <t>'320252870717425544'</t>
  </si>
  <si>
    <t>LEMONADE INSURANCE 5INTERNET            NY</t>
  </si>
  <si>
    <t>NQFLFN00103 HELP@LEMONADE.COM
LEMONADE INSURANCE 529657
INTERNET
NY
HELP@LEMONADE.COM</t>
  </si>
  <si>
    <t>5 CROSBY ST FL 3</t>
  </si>
  <si>
    <t>'320252870713334912'</t>
  </si>
  <si>
    <t>'320252870710946654'</t>
  </si>
  <si>
    <t>PATREON* MEMBERSHIP SAN FRANCISCO       CA</t>
  </si>
  <si>
    <t>8GPJEJ00103 SUPPORT@PATREON.COM
PATREON* MEMBERSHIP 523885
SAN FRANCISCO
CA
SUPPORT@PATREON.COM</t>
  </si>
  <si>
    <t>600 TOWNSEND
5TH FLOOR</t>
  </si>
  <si>
    <t>'320252870713322525'</t>
  </si>
  <si>
    <t>VENMO *PETER D'ALESS8558124430          NY</t>
  </si>
  <si>
    <t>10192845436 8558124430
VENMO *PETER D'ALESSANDR
8558124430
NY
"Description : BUSINESS SERVICES, Price : 0.00"
8558124430</t>
  </si>
  <si>
    <t>'320252880760792916'</t>
  </si>
  <si>
    <t>10177366    8007467287
CVS PHARMACY
NEW YORK
NY
Description : PHARMACIES Price : 0.1549
8007467287</t>
  </si>
  <si>
    <t>'320252870722233675'</t>
  </si>
  <si>
    <t>LINKEDIN SN P8689996MOUNTAIN VIEW</t>
  </si>
  <si>
    <t>P868999624  SUBSCRIPTIONS
LINKEDIN SN P868999624
MOUNTAIN VIEW
SUBSCRIPTIONS</t>
  </si>
  <si>
    <t>2029 STIERLIN CT
STE 200</t>
  </si>
  <si>
    <t>94043-4655</t>
  </si>
  <si>
    <t>'320252860688157696'</t>
  </si>
  <si>
    <t>1WQX1EC6   NSFHBG57         10012
Uber Trip
help.uber.com
CA
NSFHBG57         10012</t>
  </si>
  <si>
    <t>'320252860693258090'</t>
  </si>
  <si>
    <t>2F28HWHB   BRAELUFX         10018
Uber Trip
help.uber.com
CA
BRAELUFX         10018</t>
  </si>
  <si>
    <t>'320252860693142969'</t>
  </si>
  <si>
    <t>WEGMANS ASTOR PLACE NEW YORK            NY</t>
  </si>
  <si>
    <t>W15608800595854293656
WEGMANS ASTOR PLACE 156 000000156
NEW YORK
NY
5854293656</t>
  </si>
  <si>
    <t>770 BROADWAY</t>
  </si>
  <si>
    <t>'320252870722143491'</t>
  </si>
  <si>
    <t>MTK84V91H6A RECORD STORE
APPLE.COM/BILL
INTERNET CHARGE
CA
RECORD STORE</t>
  </si>
  <si>
    <t>'320252850658893344'</t>
  </si>
  <si>
    <t>FACEBK *META VERIFIEFB.ME/CC            CA</t>
  </si>
  <si>
    <t>25040423512 DGTL CONTENT
FACEBK *META VERIFIED
FB.ME/CC
CA
DGTL CONTENT</t>
  </si>
  <si>
    <t>1 HACKER WAY</t>
  </si>
  <si>
    <t>MENLO PARK
CA</t>
  </si>
  <si>
    <t>'320252860705220326'</t>
  </si>
  <si>
    <t>HCEAZ7GR   3F7UC664         94103
UBER EATS
help.uber.com
CA
3F7UC664         94103</t>
  </si>
  <si>
    <t>'320252850659856617'</t>
  </si>
  <si>
    <t>EH3XNFRP   UFO2SE53         10013
Uber Trip
help.uber.com
CA
UFO2SE53         10013</t>
  </si>
  <si>
    <t>'320252850660225681'</t>
  </si>
  <si>
    <t>QNQ257B8   FJRJVJTG         10012
Uber Trip
help.uber.com
CA
FJRJVJTG         10012</t>
  </si>
  <si>
    <t>'320252850660879658'</t>
  </si>
  <si>
    <t>PH1HBD6D   DTF6TTBE         10010
Uber Trip
help.uber.com
CA
DTF6TTBE         10010</t>
  </si>
  <si>
    <t>'320252860692077222'</t>
  </si>
  <si>
    <t>ADOBE SYSTEMS Adobe SAN JOSE            CA</t>
  </si>
  <si>
    <t>523788332   www.adobe.com
ADOBE SYSTEMS Adobe Systems
SAN JOSE
CA
Description : DEFAULT Price : 0.1999
www.adobe.com</t>
  </si>
  <si>
    <t>801 N 34TH ST</t>
  </si>
  <si>
    <t>'320252850665257425'</t>
  </si>
  <si>
    <t>MTK84WJQ4QA RECORD STORE
APPLE.COM/BILL
INTERNET CHARGE
CA
RECORD STORE</t>
  </si>
  <si>
    <t>'320252840634019258'</t>
  </si>
  <si>
    <t>ILLUSTRATOR Adobe SySAN JOSE            CA</t>
  </si>
  <si>
    <t>523788448   ADOBE.LY/ENUS
ILLUSTRATOR Adobe Systems
SAN JOSE
CA
Description : DEFAULT Price : 0.3449
ADOBE.LY/ENUS</t>
  </si>
  <si>
    <t>'320252850665257519'</t>
  </si>
  <si>
    <t>HNA6QXES   MG72EWVQ         94103
UBER EATS
help.uber.com
CA
MG72EWVQ         94103</t>
  </si>
  <si>
    <t>'320252840637856581'</t>
  </si>
  <si>
    <t>MTK84Q19BWA RECORD STORE
APPLE.COM/BILL
INTERNET CHARGE
CA
RECORD STORE</t>
  </si>
  <si>
    <t>'320252840632578020'</t>
  </si>
  <si>
    <t>Con Edison Bill Paym800-752-6633        NY</t>
  </si>
  <si>
    <t>47309808143 UTILITIES
Con Edison Bill Payment
800-752-6633
NY
UTILITIES</t>
  </si>
  <si>
    <t>4 IRVING PLACE 2ND
FLOOR</t>
  </si>
  <si>
    <t>'320252840641165736'</t>
  </si>
  <si>
    <t>Other-Utilities</t>
  </si>
  <si>
    <t>2EM2LMTNL6H GIFT CARD
STARBUCKS
800-782-7282
WA
GIFT CARD</t>
  </si>
  <si>
    <t>'320252840648261668'</t>
  </si>
  <si>
    <t>BREADS BAKERY UNION New York            NY</t>
  </si>
  <si>
    <t>pC9r06Hw60N squareup.com/receipts
BREADS BAKERY UNION SQUARE
New York
NY
squareup.com/receipts</t>
  </si>
  <si>
    <t>18 EAST 16TH ST</t>
  </si>
  <si>
    <t>'320252820574639379'</t>
  </si>
  <si>
    <t>10183018   8007467287
PHARMACIES
CVS PHARMACY
NEW YORK
NY
PHARMACIES
8007467287</t>
  </si>
  <si>
    <t>'320252830613768773'</t>
  </si>
  <si>
    <t>DISTROKID EXTRAS    NEW YORK            NY</t>
  </si>
  <si>
    <t>CH_2SGP7BJS +14153666101
DISTROKID EXTRAS
NEW YORK
NY
+14153666101</t>
  </si>
  <si>
    <t>228 PARK AVE SOUTH</t>
  </si>
  <si>
    <t>'320252820572172300'</t>
  </si>
  <si>
    <t>99999995283 8002892273
DUANE READE #14468 000014468
NEW YORK
NY
Description : PHARMACIES Price : 0.2874
8002892273</t>
  </si>
  <si>
    <t>'320252830613714212'</t>
  </si>
  <si>
    <t>GRUBHUB*JACKSWIFEFRENEW YORK            NY</t>
  </si>
  <si>
    <t>3H9BY6PF    8775851085
GRUBHUB*JACKSWIFEFREDA
NEW YORK
NY
8775851085</t>
  </si>
  <si>
    <t>'320252820571907581'</t>
  </si>
  <si>
    <t>zzRmmYyv3CR squareup.com/receipts
LE CAFE COFFEE
New York
NY
squareup.com/receipts</t>
  </si>
  <si>
    <t>'320252820575642756'</t>
  </si>
  <si>
    <t>LEVI.COM            SAN FRANCISCO       CA</t>
  </si>
  <si>
    <t>70218528KG6 800-923-6245
LEVI.COM
SAN FRANCISCO
CA
Description : APPAREL/ACC Price : 0.00
800-923-6245</t>
  </si>
  <si>
    <t>1155 BATTERY ST</t>
  </si>
  <si>
    <t>94111-1203</t>
  </si>
  <si>
    <t>'320252820577330523'</t>
  </si>
  <si>
    <t>CH_3SG1DJAC +12102014187
COVERGIRL.MAXIM.COM
SAN ANTONIO
TX
+12102014187</t>
  </si>
  <si>
    <t>'320252810540470673'</t>
  </si>
  <si>
    <t>Interest Charge on Pay Over Time Purchases</t>
  </si>
  <si>
    <t>'151009060000511106'</t>
  </si>
  <si>
    <t>GB6366F6   5P6AWELG         10012
Uber Trip
help.uber.com
CA
5P6AWELG         10012</t>
  </si>
  <si>
    <t>'320252810542550007'</t>
  </si>
  <si>
    <t>6V3JE2KS    8005928996
Uber Trip
help.uber.com
CA
8005928996</t>
  </si>
  <si>
    <t>'320252810542545672'</t>
  </si>
  <si>
    <t>W15639900105854293656
WEGMANS ASTOR PLACE 156 000000156
NEW YORK
NY
5854293656</t>
  </si>
  <si>
    <t>'320252820582219145'</t>
  </si>
  <si>
    <t>IONOS               www.ionos.com       PA</t>
  </si>
  <si>
    <t>00582723119 877-461-2631
IONOS
www.ionos.com
PA
877-461-2631</t>
  </si>
  <si>
    <t>ATTN LOU LOMBARDO
701 LEE RD 300</t>
  </si>
  <si>
    <t>CHESTERBROOK
PA</t>
  </si>
  <si>
    <t>19087-5612</t>
  </si>
  <si>
    <t>'320252810557088383'</t>
  </si>
  <si>
    <t>1310136     KIMBERLY@KIMBERLYMEEH
KIMBERLY@KIMBERLYMEEHANNP
KIMBERLY MEEHAN, NP IN PS KIMBERLY MEE
NEW YORK
NY
Description : FB68DBADA3704B949DC Price : 0.00
KIMBERLY@KIMBERLYMEEHANNP</t>
  </si>
  <si>
    <t>'320252820590959891'</t>
  </si>
  <si>
    <t>vTWqBxDr1jf squareup.com/receipts
LE CAFE COFFEE
New York
NY
squareup.com/receipts</t>
  </si>
  <si>
    <t>'320252800519361754'</t>
  </si>
  <si>
    <t>AIRTABLE.COM/BILL   SAN FRANCISCO       CA</t>
  </si>
  <si>
    <t>CH_3SFUSEAC +14152002040
AIRTABLE.COM/BILL
SAN FRANCISCO
CA
+14152002040</t>
  </si>
  <si>
    <t>1 FRONT ST
FLOOR 28</t>
  </si>
  <si>
    <t>'320252800517519618'</t>
  </si>
  <si>
    <t>MTK83J054QA RECORD STORE
APPLE.COM/BILL
INTERNET CHARGE
CA
RECORD STORE</t>
  </si>
  <si>
    <t>'320252790489458329'</t>
  </si>
  <si>
    <t>BASE44.COM          NEWARK              DE</t>
  </si>
  <si>
    <t>CH_3SFHNQD5 +972549794698
BASE44.COM
NEWARK
DE
+972549794698</t>
  </si>
  <si>
    <t>131 CONTINENTAL DR SUITE 305</t>
  </si>
  <si>
    <t>NEWARK
DE</t>
  </si>
  <si>
    <t>'320252790485358796'</t>
  </si>
  <si>
    <t>FACEBK *MLDNQ75SF2  MENLO PARK</t>
  </si>
  <si>
    <t>25238278272 ADVERTISING SERVICE
FACEBK *MLDNQ75SF2
MENLO PARK
ADVERTISING SERVICE</t>
  </si>
  <si>
    <t>'320252790494238236'</t>
  </si>
  <si>
    <t>Business Services-Advertising Services</t>
  </si>
  <si>
    <t>FIGMA               SAN FRANCISCO       CA</t>
  </si>
  <si>
    <t>CH_3SFILXIV +14158905404
FIGMA
SAN FRANCISCO
CA
+14158905404</t>
  </si>
  <si>
    <t>760 MARKET ST
FLOOR 10</t>
  </si>
  <si>
    <t>'320252790488172217'</t>
  </si>
  <si>
    <t>KALL8 00089590000642SEATTLE             WA</t>
  </si>
  <si>
    <t>73011005279 ANDY@KALL8.COM
KALL8 000895900006429
SEATTLE
WA
ANDY@KALL8.COM</t>
  </si>
  <si>
    <t>200 WEST MERCER ST
SUITE E202</t>
  </si>
  <si>
    <t>'320252800531961035'</t>
  </si>
  <si>
    <t>LEMONADE INSURANCE CNEW YORK            NY</t>
  </si>
  <si>
    <t>######GGfgd INSURANCE SALES
LEMONADE INSURANCE COMPANY
NEW YORK
NY
INSURANCE SALES</t>
  </si>
  <si>
    <t>'320252790485201184'</t>
  </si>
  <si>
    <t>NYU LANGONE HEALTH  NEW YORK            NY</t>
  </si>
  <si>
    <t>036-0275351 HEALTHCARE P
NYU LANGONE HEALTH
NEW YORK
NY
HEALTHCARE P</t>
  </si>
  <si>
    <t>550 1ST AVE</t>
  </si>
  <si>
    <t>10016-6402</t>
  </si>
  <si>
    <t>'320252800522235016'</t>
  </si>
  <si>
    <t>CH_3SFNJ1JA +16282002281
REPLIT, INC.
FOSTER CITY
CA
+16282002281</t>
  </si>
  <si>
    <t>'320252800535077539'</t>
  </si>
  <si>
    <t>SPECTRUM            855-707-7328        MO</t>
  </si>
  <si>
    <t>RC126727549CABLE SVC
SPECTRUM
855-707-7328
MO
CABLE SVC</t>
  </si>
  <si>
    <t>12405 POWERSCOURT DR</t>
  </si>
  <si>
    <t>SAINT LOUIS
MO</t>
  </si>
  <si>
    <t>'320252790486979298'</t>
  </si>
  <si>
    <t>30WFKENV1FS FOOD&amp;BEV
STARBUCKS
800-782-7282
WA
FOOD&amp;BEV</t>
  </si>
  <si>
    <t>'320252800534238563'</t>
  </si>
  <si>
    <t>J9GT8NYH   SOWWYIXE         94103
UBER EATS
help.uber.com
CA
SOWWYIXE         94103</t>
  </si>
  <si>
    <t>'320252790493481805'</t>
  </si>
  <si>
    <t>W15608501065854293656
WEGMANS ASTOR PLACE 156 000000156
NEW YORK
NY
5854293656</t>
  </si>
  <si>
    <t>'320252800525025395'</t>
  </si>
  <si>
    <t>GITHUB              SAN FRANCISCO       CA</t>
  </si>
  <si>
    <t>CH_3SEVFYEQ +18774484820
GITHUB
SAN FRANCISCO
CA
+18774484820</t>
  </si>
  <si>
    <t>'320252780461392466'</t>
  </si>
  <si>
    <t>CH_3SEVFXJF +18774484820
GITHUB, INC.
SAN FRANCISCO
CA
+18774484820</t>
  </si>
  <si>
    <t>'320252780460443936'</t>
  </si>
  <si>
    <t>1MQGKN13U3J FOOD&amp;BEV
STARBUCKS
800-782-7282
WA
FOOD&amp;BEV</t>
  </si>
  <si>
    <t>'320252790500382274'</t>
  </si>
  <si>
    <t>831XW482   CPFPM3SR         94103
UBER EATS
help.uber.com
CA
CPFPM3SR         94103</t>
  </si>
  <si>
    <t>'320252780465296680'</t>
  </si>
  <si>
    <t>BSWVB7Z5   GERFTUH3         10012
Uber Trip
help.uber.com
CA
GERFTUH3         10012</t>
  </si>
  <si>
    <t>'320252780462364788'</t>
  </si>
  <si>
    <t>2ES8QAR8   ESHCZJEG         10022
Uber Trip
help.uber.com
CA
ESHCZJEG         10022</t>
  </si>
  <si>
    <t>'320252780462861052'</t>
  </si>
  <si>
    <t>W15640200445854293656
WEGMANS ASTOR PLACE 156 000000156
NEW YORK
NY
5854293656</t>
  </si>
  <si>
    <t>'320252790500187600'</t>
  </si>
  <si>
    <t>Z72VCQJI7J5Z72VCQJI7J5M     98052
A1010BUSD01
MSBILL.INFO
Z72VCQJI7J5M     98052</t>
  </si>
  <si>
    <t>'320252760425287179'</t>
  </si>
  <si>
    <t>Z72YCQIE6SRZ72YCQIE6SRN     98052
A1010BUSD01
MSBILL.INFO
Z72YCQIE6SRN     98052</t>
  </si>
  <si>
    <t>'320252760425286124'</t>
  </si>
  <si>
    <t>Z72SCQV5UMEZ72SCQV5UMEV     98052
A1010BUSD01
MSBILL.INFO
Z72SCQV5UMEV     98052</t>
  </si>
  <si>
    <t>'320252760425274863'</t>
  </si>
  <si>
    <t>Z731CREKZ8YZ731CREKZ8YO     98052
A1010BUSD01
MSBILL.INFO
Z731CREKZ8YO     98052</t>
  </si>
  <si>
    <t>'320252760425287061'</t>
  </si>
  <si>
    <t>Z738CR28DWTZ738CR28DWT9     98052
A1010BUSD01
MSBILL.INFO
Z738CR28DWT9     98052</t>
  </si>
  <si>
    <t>'320252760425293244'</t>
  </si>
  <si>
    <t>A1010BUSD01         REDMOND</t>
  </si>
  <si>
    <t>Z72UCPM7F3IZ72UCPM7F3IV     98052
A1010BUSD01
REDMOND
Z72UCPM7F3IV     98052</t>
  </si>
  <si>
    <t>'320252760425289150'</t>
  </si>
  <si>
    <t>BT*CLV*VECTORMAGIC  EXCELSIOR           CA</t>
  </si>
  <si>
    <t>56NMZQNH    4152302377
BT*CLV*VECTORMAGIC
EXCELSIOR
CA
4152302377</t>
  </si>
  <si>
    <t>2500 SHADYWOOD RD
STE 510</t>
  </si>
  <si>
    <t>EXCELSIOR
CA</t>
  </si>
  <si>
    <t>'320252770438009431'</t>
  </si>
  <si>
    <t>4G4HHPXGNFZ MERCHANDISE
AMAZON MARKETPLACE NA PA
AMZN.COM/BILL
WA
MERCHANDISE</t>
  </si>
  <si>
    <t>'320252770450172472'</t>
  </si>
  <si>
    <t>CREDITSECURE        CostaMesa           CA</t>
  </si>
  <si>
    <t>103649195   1-866-617-1893
CREDITSECURE
CostaMesa
CA
Description : $19.99+$1.40 NY TAX Price : 0.00
1-866-617-1893</t>
  </si>
  <si>
    <t>200 VESEY ST FL 7</t>
  </si>
  <si>
    <t>'320252770442091982'</t>
  </si>
  <si>
    <t>DVHTF1PA   TRZGYXIB         94103
UBER EATS
help.uber.com
CA
TRZGYXIB         94103</t>
  </si>
  <si>
    <t>'320252770438327264'</t>
  </si>
  <si>
    <t>8RJ7ENVT   AFOAKSNU         94103
UBER EATS
help.uber.com
CA
AFOAKSNU         94103</t>
  </si>
  <si>
    <t>'320252760408073651'</t>
  </si>
  <si>
    <t>BT*SUBMITHUB HOLDINGWILMINGTON          DE</t>
  </si>
  <si>
    <t>31JJK3WA    2183964074
BT*SUBMITHUB HOLDINGS LLC
WILMINGTON
DE
2183964074</t>
  </si>
  <si>
    <t>1007 NORTH ORANGE ST
4TH FLOOR 3</t>
  </si>
  <si>
    <t>WILMINGTON
DE</t>
  </si>
  <si>
    <t>'320252760407419673'</t>
  </si>
  <si>
    <t>CH_3SDQKIAC +12102014187
COVERGIRL.MAXIM.COM
SAN ANTONIO
TX
+12102014187</t>
  </si>
  <si>
    <t>'320252750368686946'</t>
  </si>
  <si>
    <t>FACEBK *Q6TUN39RF2  MENLO PARK</t>
  </si>
  <si>
    <t>24784597047 ADVERTISING SERVICE
FACEBK *Q6TUN39RF2
MENLO PARK
ADVERTISING SERVICE</t>
  </si>
  <si>
    <t>'320252750372622502'</t>
  </si>
  <si>
    <t>PAYPAL *LUCKINCOFFE 4029357733          DE</t>
  </si>
  <si>
    <t>10191852648 4029357733
PAYPAL *LUCKINCOFFE
4029357733
DE
Description : FAST FOOD RESTAURAN Price : 0.00
4029357733</t>
  </si>
  <si>
    <t>DELAWARE AVENUE</t>
  </si>
  <si>
    <t>4029357733
DE</t>
  </si>
  <si>
    <t>'320252760422700615'</t>
  </si>
  <si>
    <t>9AZRNHMD   3P7AT4DJ         94103
UBER EATS
help.uber.com
CA
3P7AT4DJ         94103</t>
  </si>
  <si>
    <t>'320252750374791842'</t>
  </si>
  <si>
    <t>ANTHROPOLOGIE  01464NEW YORK            NY</t>
  </si>
  <si>
    <t>CH_3SDWE7JY +18002822200
ANTHROPOLOGIE  01464
NEW YORK
NY
+18002822200</t>
  </si>
  <si>
    <t>BLDG 3M
420 W BROADWAY</t>
  </si>
  <si>
    <t>'320252740338822146'</t>
  </si>
  <si>
    <t>Amazon Web Services AWS.Amazon.com      WA</t>
  </si>
  <si>
    <t>1XUHDBT95L9 WEB SERVICES
Amazon Web Services
AWS.Amazon.com
WA
WEB SERVICES</t>
  </si>
  <si>
    <t>'320252740337632256'</t>
  </si>
  <si>
    <t>ETD0T0NZ   IWLJKD5F         94103
UBER EATS
help.uber.com
CA
IWLJKD5F         94103</t>
  </si>
  <si>
    <t>'320252740345115468'</t>
  </si>
  <si>
    <t>7XFSbwyDhFf squareup.com/receipts
LE CAFE COFFEE
New York
NY
squareup.com/receipts</t>
  </si>
  <si>
    <t>'320252730316364140'</t>
  </si>
  <si>
    <t>THFTm5Uh3CF squareup.com/receipts
THE CLEANERS IO, LLC
NEW YORK
NY
squareup.com/receipts</t>
  </si>
  <si>
    <t>'320252730312314686'</t>
  </si>
  <si>
    <t>W15639301305854293656
WEGMANS ASTOR PLACE 156 000000156
NEW YORK
NY
5854293656</t>
  </si>
  <si>
    <t>'320252740352757330'</t>
  </si>
  <si>
    <t>GJF8GCTM    2183964074
BT*SUBMITHUB HOLDINGS LLC
WILMINGTON
DE
2183964074</t>
  </si>
  <si>
    <t>'320252720285292612'</t>
  </si>
  <si>
    <t>SP FUNCTION OF BEAUTNEW YORK            NY</t>
  </si>
  <si>
    <t>CH_3SCIZ7QT +19172072232
SP FUNCTION OF BEAUTY
NEW YORK
NY
+19172072232</t>
  </si>
  <si>
    <t>166 CROSSBY ST</t>
  </si>
  <si>
    <t>'320252720282827104'</t>
  </si>
  <si>
    <t>W15639700105854293656
WEGMANS ASTOR PLACE 156 000000156
NEW YORK
NY
5854293656</t>
  </si>
  <si>
    <t>'320252730322791127'</t>
  </si>
  <si>
    <t>NESPRESSO USA, INC. NEW YORK CITY       NY</t>
  </si>
  <si>
    <t>CH_3SCR8EJI +18005621465
NESPRESSO USA, INC.
NEW YORK CITY
NY
+18005621465</t>
  </si>
  <si>
    <t>111 WEST 33RD ST
5TH FLOOR</t>
  </si>
  <si>
    <t>'320252710256654828'</t>
  </si>
  <si>
    <t>PAYPAL *GROOVER     0607652260          FR</t>
  </si>
  <si>
    <t>10191472666 0607652260
PAYPAL *GROOVER
0607652260
FR
"Description : DIGITAL MEDIA,BOOKS Price : 0.00"
0607652260Foreign Spend Amount: 115.50 EURO Commission Amount:  Currency Exchange Rate: null</t>
  </si>
  <si>
    <t>RD 20 LA FORGE
VAUVILLE</t>
  </si>
  <si>
    <t>'320252710260826954'</t>
  </si>
  <si>
    <t>NB3MF04T   DBBXQVVL         94103
UBER EATS
help.uber.com
CA
DBBXQVVL         94103</t>
  </si>
  <si>
    <t>'320252710262346108'</t>
  </si>
  <si>
    <t>NYCT PAYGO          NEW YORK            NY</t>
  </si>
  <si>
    <t>00856364293 LOCAL TRANSPORTATION
NYCT PAYGO
NEW YORK
NY
LOCAL TRANSPORTATION</t>
  </si>
  <si>
    <t>ATTN NYCT CONTROLLER
2 BROADWAY 15TH FLOOR</t>
  </si>
  <si>
    <t>'320252710266309968'</t>
  </si>
  <si>
    <t>Transportation-Rail Services</t>
  </si>
  <si>
    <t>00856271087 LOCAL TRANSPORTATION
NYCT PAYGO
NEW YORK
NY
LOCAL TRANSPORTATION</t>
  </si>
  <si>
    <t>'320252710267181662'</t>
  </si>
  <si>
    <t>XVNe1eMcIdf squareup.com/receipts
THE CLEANERS IO, LLC
NEW YORK
NY
squareup.com/receipts</t>
  </si>
  <si>
    <t>'320252700234457231'</t>
  </si>
  <si>
    <t>CH_3SBLSD4Y +18009799850
CALENDLY
AVONDALE ESTATES
GA
+18009799850</t>
  </si>
  <si>
    <t>'320252700249609166'</t>
  </si>
  <si>
    <t>W15639101225854293656
WEGMANS ASTOR PLACE 156 000000156
NEW YORK
NY
5854293656</t>
  </si>
  <si>
    <t>'320252700239791365'</t>
  </si>
  <si>
    <t>CHICK-FIL-A #04161 0NEW YORK            NY</t>
  </si>
  <si>
    <t>000547146   9999999999
CHICK-FIL-A #04161 000000000486725
NEW YORK
NY
9999999999</t>
  </si>
  <si>
    <t>700 AVE OF THE AMERICAS</t>
  </si>
  <si>
    <t>'320252690217217337'</t>
  </si>
  <si>
    <t>10172446   8007467287
PHARMACIES
CVS PHARMACY
NEW YORK
NY
PHARMACIES
8007467287</t>
  </si>
  <si>
    <t>'320252690209505084'</t>
  </si>
  <si>
    <t>bv3PGwBr3lX squareup.com/receipts
LE CAFE COFFEE
New York
NY
squareup.com/receipts</t>
  </si>
  <si>
    <t>'320252680174933462'</t>
  </si>
  <si>
    <t>'320252680166073051'</t>
  </si>
  <si>
    <t>PAYPAL *EB COLLABORA4029357733          CA</t>
  </si>
  <si>
    <t>10191229150 4029357733
PAYPAL *EB COLLABORATIVE SONG
4029357733
CA
Description : GENERAL Price : 0.00
4029357733</t>
  </si>
  <si>
    <t>155 5TH ST 7TH FLOOR</t>
  </si>
  <si>
    <t>'320252710275622248'</t>
  </si>
  <si>
    <t>10191230710 4029357733
PAYPAL *EB COLLABORATIVE SONG
4029357733
CA
Description : GENERAL Price : 0.00
4029357733</t>
  </si>
  <si>
    <t>'320252710275622330'</t>
  </si>
  <si>
    <t>W15608202205854293656
WEGMANS ASTOR PLACE 156 000000156
NEW YORK
NY
5854293656</t>
  </si>
  <si>
    <t>'320252690209465128'</t>
  </si>
  <si>
    <t>10191146508 4029357733
PAYPAL *LUCKINCOFFE
4029357733
DE
Description : FAST FOOD RESTAURAN Price : 0.00
4029357733</t>
  </si>
  <si>
    <t>'320252680188181477'</t>
  </si>
  <si>
    <t>TST* IRVING FARM COFNEW YORK            NY</t>
  </si>
  <si>
    <t>21105175267 RESTAURANT
TST* IRVING FARM COFFEE R 00020709
NEW YORK
NY
RESTAURANT</t>
  </si>
  <si>
    <t>44 MAIN ST</t>
  </si>
  <si>
    <t>MILLERTON
NY</t>
  </si>
  <si>
    <t>'320252680189772670'</t>
  </si>
  <si>
    <t>NYA5DTQ3   NBK6IQIQ         94103
UBER EATS
help.uber.com
CA
NBK6IQIQ         94103</t>
  </si>
  <si>
    <t>'320252670147125448'</t>
  </si>
  <si>
    <t>W15640500445854293656
WEGMANS ASTOR PLACE 156 000000156
NEW YORK
NY
5854293656</t>
  </si>
  <si>
    <t>'320252680185371608'</t>
  </si>
  <si>
    <t>CH_3SAFHHAC +12102014187
COVERGIRL.MAXIM.COM
SAN ANTONIO
TX
+12102014187</t>
  </si>
  <si>
    <t>'320252670161351124'</t>
  </si>
  <si>
    <t>'320252670161350003'</t>
  </si>
  <si>
    <t>PRv7V7avqgF squareup.com/receipts
LE CAFE COFFEE
New York
NY
squareup.com/receipts</t>
  </si>
  <si>
    <t>'320252660119025321'</t>
  </si>
  <si>
    <t>0BGT2TN9ENR 2126735388
WHOLEFDS USQ 10162 000010162
NEW YORK
NY
Description : GROCERY STORES Price : 0.4039
2126735388</t>
  </si>
  <si>
    <t>'320252670154652324'</t>
  </si>
  <si>
    <t>WIX.COM 1200227483  SAN FRANCISCO       CA</t>
  </si>
  <si>
    <t>CH_3SAJVGAA +14154494724
WIX.COM 1200227483
SAN FRANCISCO
CA
+14154494724</t>
  </si>
  <si>
    <t>BLVD FL 6
500 TERRY A FRANCOIS</t>
  </si>
  <si>
    <t>'320252670157823228'</t>
  </si>
  <si>
    <t>CH_2SAHBLJS +14153666101
DISTROKID EXTRAS
NEW YORK
NY
+14153666101</t>
  </si>
  <si>
    <t>'320252650086610655'</t>
  </si>
  <si>
    <t>OPENAI              SAN FRANCISCO       CA</t>
  </si>
  <si>
    <t>CH_3SAHOLC6 +14158799686
OPENAI
SAN FRANCISCO
CA
+14158799686</t>
  </si>
  <si>
    <t>'320252650086588608'</t>
  </si>
  <si>
    <t>CH_3SAHJOJA +16282002281
REPLIT, INC.
FOSTER CITY
CA
+16282002281</t>
  </si>
  <si>
    <t>'320252660134083790'</t>
  </si>
  <si>
    <t>3PZXCR91   T4BZV7QF         94103
UBER EATS
help.uber.com
CA
T4BZV7QF         94103</t>
  </si>
  <si>
    <t>'320252650092566544'</t>
  </si>
  <si>
    <t>CANVA* I04646-413243CAMDEN              DE</t>
  </si>
  <si>
    <t>CH_2S9UQRK8 +17372853388
CANVA* I04646-41324370
CAMDEN
DE
+17372853388</t>
  </si>
  <si>
    <t>'320252640082009438'</t>
  </si>
  <si>
    <t>CH_3S9SU5JA +16282002281
REPLIT, INC.
FOSTER CITY
CA
+16282002281</t>
  </si>
  <si>
    <t>'320252640081930394'</t>
  </si>
  <si>
    <t>RGRSY0WX   A5XXJWT6         94103
UBER EATS
help.uber.com
CA
A5XXJWT6         94103</t>
  </si>
  <si>
    <t>'320252640065045796'</t>
  </si>
  <si>
    <t>17GT1EOZ6XV MERCHANDISE
AMAZON MARKETPLACE NA PA
AMZN.COM/BILL
WA
MERCHANDISE</t>
  </si>
  <si>
    <t>'320252640071242570'</t>
  </si>
  <si>
    <t>NATIVELY* TRIAL OVERAUSTIN              TX</t>
  </si>
  <si>
    <t>CH_3S9VHHBX +13072191144
NATIVELY* TRIAL OVER
AUSTIN
TX
+13072191144</t>
  </si>
  <si>
    <t>'320252630030358516'</t>
  </si>
  <si>
    <t>CH_3S9RXUCF 3235775423
SPLICE.COM
NEW YORK
NY
3235775423</t>
  </si>
  <si>
    <t>'320252630036607247'</t>
  </si>
  <si>
    <t>STAPLES 01106       MANHATTAN           NY</t>
  </si>
  <si>
    <t>000540782  01106000540782   10003
SCOTCH SUPERHOLD 2PK CADDY
STAPLES 01106
MANHATTAN
NY
SCOTCH SUPERHOLD 2PK CADDY
01106000540782   10003</t>
  </si>
  <si>
    <t>769 BROADWAY</t>
  </si>
  <si>
    <t>10003-6803</t>
  </si>
  <si>
    <t>'320252640071927431'</t>
  </si>
  <si>
    <t>000540781  01106000540781   10003
CUSTOM UNBOUND DOCUMENT
STAPLES 01106
MANHATTAN
NY
CUSTOM UNBOUND DOCUMENT
01106000540781   10003</t>
  </si>
  <si>
    <t>'320252640071926491'</t>
  </si>
  <si>
    <t>AX2X1GDE   3PXHQIS4         10012
Uber Trip
help.uber.com
CA
3PXHQIS4         10012</t>
  </si>
  <si>
    <t>'320252630036145456'</t>
  </si>
  <si>
    <t>P-041750471 SUBSRIPTION
D J*WSJ
800-568-7625
NJ
SUBSRIPTION</t>
  </si>
  <si>
    <t>'320252630043610828'</t>
  </si>
  <si>
    <t>72330187JFK 800-923-6245
LEVI.COM
SAN FRANCISCO
CA
Description : APPAREL/ACC Price : 0.00
800-923-6245</t>
  </si>
  <si>
    <t>'320252620009034226'</t>
  </si>
  <si>
    <t>28WDXM6S   TREDXZUS         94103
UBER EATS
help.uber.com
CA
TREDXZUS         94103</t>
  </si>
  <si>
    <t>'320252630038923495'</t>
  </si>
  <si>
    <t>4M8GFQE0   ZVMWNXKW         10013
Uber Trip
help.uber.com
CA
ZVMWNXKW         10013</t>
  </si>
  <si>
    <t>'320252620003739978'</t>
  </si>
  <si>
    <t>1MTH8P15   LZR2IIYC         10014
Uber Trip
help.uber.com
CA
LZR2IIYC         10014</t>
  </si>
  <si>
    <t>'320252620007611151'</t>
  </si>
  <si>
    <t>0673M2Z0   HRVLSWFC         11205
Uber Trip
help.uber.com
CA
HRVLSWFC         11205</t>
  </si>
  <si>
    <t>'320252620003014937'</t>
  </si>
  <si>
    <t>GRISTEDES           NEW YORK            NY</t>
  </si>
  <si>
    <t>00542200020 2123531330
GRISTEDES
NEW YORK
NY
Description : GROCERY STORES Price : 0.1798
2123531330</t>
  </si>
  <si>
    <t>25 UNIVERSITY PL</t>
  </si>
  <si>
    <t>'320252620015675934'</t>
  </si>
  <si>
    <t>FIXmy24z15S squareup.com/receipts
LE CAFE COFFEE
New York
NY
squareup.com/receipts</t>
  </si>
  <si>
    <t>'320252610978939726'</t>
  </si>
  <si>
    <t>CR4EGWAQ   JHEOCC6C         94103
UBER EATS
help.uber.com
CA
JHEOCC6C         94103</t>
  </si>
  <si>
    <t>'320252610980068709'</t>
  </si>
  <si>
    <t>N8CFTDF979F TAXICAB &amp; LIMOUSINE
Uber Trip
help.uber.com
CA
TAXICAB &amp; LIMOUSINE</t>
  </si>
  <si>
    <t>'320252620010309135'</t>
  </si>
  <si>
    <t>10190662585 8558124430
VENMO *HEIDI KLING
8558124430
NY
"Description : BUSINESS SERVICES, Price : 0.00"
8558124430</t>
  </si>
  <si>
    <t>'320252620021238578'</t>
  </si>
  <si>
    <t>VENMO *TENNESSEE LIE8558124430          NY</t>
  </si>
  <si>
    <t>10190662560 8558124430
VENMO *TENNESSEE LIEBERM
8558124430
NY
"Description : BUSINESS SERVICES, Price : 0.00"
8558124430</t>
  </si>
  <si>
    <t>'320252620023253731'</t>
  </si>
  <si>
    <t>0EQEIGXPVR6 2126735388
WHOLEFDS USQ 10162 000010162
NEW YORK
NY
Description : GROCERY STORES Price : 0.2666
2126735388</t>
  </si>
  <si>
    <t>'320252620015662374'</t>
  </si>
  <si>
    <t>FACEBK *XCCMQZLRF2  MENLO PARK</t>
  </si>
  <si>
    <t>24567076239 ADVERTISING SERVICE
FACEBK *XCCMQZLRF2
MENLO PARK
ADVERTISING SERVICE</t>
  </si>
  <si>
    <t>'320252610994506311'</t>
  </si>
  <si>
    <t>FREMK1NZ   R7WU7H53         10022
Uber Trip
help.uber.com
CA
R7WU7H53         10022</t>
  </si>
  <si>
    <t>'320252600953153887'</t>
  </si>
  <si>
    <t>NM1JFAFZ   WTC5OCJD         10019
Uber Trip
help.uber.com
CA
WTC5OCJD         10019</t>
  </si>
  <si>
    <t>'320252600950941849'</t>
  </si>
  <si>
    <t>CP5RHVJM   AHK4LVUY         10012
Uber Trip
help.uber.com
CA
AHK4LVUY         10012</t>
  </si>
  <si>
    <t>'320252600951767709'</t>
  </si>
  <si>
    <t>2LHWJOGWFVR MERCHANDISE
AMAZON MARKETPLACE NA PA
AMZN.COM/BILL
WA
MERCHANDISE</t>
  </si>
  <si>
    <t>'320252600958536448'</t>
  </si>
  <si>
    <t>BARNES NOBLE        NEW YORK            NY</t>
  </si>
  <si>
    <t>00026750917 8662387323
BARNES NOBLE
NEW YORK
NY
Description : REFER TO RECEIPT Price : 0.00
8662387323</t>
  </si>
  <si>
    <t>33 EAST 17TH ST SUITE 1</t>
  </si>
  <si>
    <t>'320252600953099168'</t>
  </si>
  <si>
    <t>LDLO8iqxRFG squareup.com/receipts
LE CAFE COFFEE
New York
NY
squareup.com/receipts</t>
  </si>
  <si>
    <t>'320252590923106254'</t>
  </si>
  <si>
    <t>CH_3S82O5CF 3235775423
SPLICE.COM
NEW YORK
NY
3235775423</t>
  </si>
  <si>
    <t>'320252590922465916'</t>
  </si>
  <si>
    <t>5GztzeGUsQq squareup.com/receipts
THE CLEANERS IO, LLC
NEW YORK
NY
squareup.com/receipts</t>
  </si>
  <si>
    <t>'320252590922691980'</t>
  </si>
  <si>
    <t>TST* JOE COFFEE - LANEW YORK            NY</t>
  </si>
  <si>
    <t>7NivUtarH00 2129247400
TST* JOE COFFEE - LAGUARD 300633109
NEW YORK
NY
Description : RESTAURANTS Price : 0.1593
2129247400</t>
  </si>
  <si>
    <t>550 LAGUARDIA PLACE</t>
  </si>
  <si>
    <t>'320252590928410623'</t>
  </si>
  <si>
    <t>MTK82JWH6FA RECORD STORE
APPLE.COM/BILL
INTERNET CHARGE
CA
RECORD STORE</t>
  </si>
  <si>
    <t>'320252580894839711'</t>
  </si>
  <si>
    <t>000475331   9999999999
CHICK-FIL-A #04161 000000000486725
NEW YORK
NY
9999999999</t>
  </si>
  <si>
    <t>'320252590939600609'</t>
  </si>
  <si>
    <t>10088257   8007467287
PHARMACIES
CVS PHARMACY
NEW YORK
NY
PHARMACIES
8007467287</t>
  </si>
  <si>
    <t>'320252590932834644'</t>
  </si>
  <si>
    <t>RHCAJD60   YES2VM7S         94103
UBER EATS
help.uber.com
CA
YES2VM7S         94103</t>
  </si>
  <si>
    <t>'320252580897090082'</t>
  </si>
  <si>
    <t>######FghZX INSURANCE SALES
LEMONADE INSURANCE COMPANY
NEW YORK
NY
INSURANCE SALES</t>
  </si>
  <si>
    <t>'320252570863653203'</t>
  </si>
  <si>
    <t>SK0M4S01350 SUPPORT@PATREON.COM
PATREON* MEMBERSHIP 523885
SAN FRANCISCO
CA
SUPPORT@PATREON.COM</t>
  </si>
  <si>
    <t>'320252570864269982'</t>
  </si>
  <si>
    <t>BXMNKKQ3   SIOW445R         94103
UBER EATS
help.uber.com
CA
SIOW445R         94103</t>
  </si>
  <si>
    <t>'320252570870836207'</t>
  </si>
  <si>
    <t>0VJSGR7E   3YTNJXWL         94103
UBER EATS
help.uber.com
CA
3YTNJXWL         94103</t>
  </si>
  <si>
    <t>'320252570870537093'</t>
  </si>
  <si>
    <t>HHGEP7CT   UNYNTRUN         10012
Uber Trip
help.uber.com
CA
UNYNTRUN         10012</t>
  </si>
  <si>
    <t>'320252570867959219'</t>
  </si>
  <si>
    <t>HZ6EB7HW   ZVMWNXKW         10013
Uber Trip
help.uber.com
CA
ZVMWNXKW         10013</t>
  </si>
  <si>
    <t>'320252570868944649'</t>
  </si>
  <si>
    <t>LINKEDIN SN P8110994MOUNTAIN VIEW</t>
  </si>
  <si>
    <t>P811099484  SUBSCRIPTIONS
LINKEDIN SN P811099484
MOUNTAIN VIEW
SUBSCRIPTIONS</t>
  </si>
  <si>
    <t>'320252560840322273'</t>
  </si>
  <si>
    <t>83QN2HDD   G7YDBSED         94103
UBER EATS
help.uber.com
CA
G7YDBSED         94103</t>
  </si>
  <si>
    <t>'320252560843693962'</t>
  </si>
  <si>
    <t>W15640300335854293656
WEGMANS ASTOR PLACE 156 000000156
NEW YORK
NY
5854293656</t>
  </si>
  <si>
    <t>'320252570878065851'</t>
  </si>
  <si>
    <t>CH_3S6EW1AC +12102014187
COVERGIRL.MAXIM.COM
SAN ANTONIO
TX
+12102014187</t>
  </si>
  <si>
    <t>'320252550806205944'</t>
  </si>
  <si>
    <t>CH_3S6EWWAC +12102014187
COVERGIRL.MAXIM.COM
SAN ANTONIO
TX
+12102014187</t>
  </si>
  <si>
    <t>'320252560857656940'</t>
  </si>
  <si>
    <t>24554897640 DGTL CONTENT
FACEBK *META VERIFIED
FB.ME/CC
CA
DGTL CONTENT</t>
  </si>
  <si>
    <t>'320252560857810236'</t>
  </si>
  <si>
    <t>H0KBP7RZ   TX3LLOQD         10010
Uber Trip
help.uber.com
CA
TX3LLOQD         10010</t>
  </si>
  <si>
    <t>'320252550812546225'</t>
  </si>
  <si>
    <t>517402872   www.adobe.com
ADOBE SYSTEMS Adobe Systems
SAN JOSE
CA
Description : DEFAULT Price : 0.1999
www.adobe.com</t>
  </si>
  <si>
    <t>'320252550815977694'</t>
  </si>
  <si>
    <t>4E9SWG98Y66 MERCHANDISE
AMAZON MARKETPLACE NA PA
AMZN.COM/BILL
WA
MERCHANDISE</t>
  </si>
  <si>
    <t>'320252540781496344'</t>
  </si>
  <si>
    <t>MTK825KN5KA RECORD STORE
APPLE.COM/BILL
INTERNET CHARGE
CA
RECORD STORE</t>
  </si>
  <si>
    <t>'320252540781981744'</t>
  </si>
  <si>
    <t>517403042   ADOBE.LY/ENUS
ILLUSTRATOR Adobe Systems
SAN JOSE
CA
Description : DEFAULT Price : 0.3449
ADOBE.LY/ENUS</t>
  </si>
  <si>
    <t>'320252550815977609'</t>
  </si>
  <si>
    <t>LLFFQnbJ52h squareup.com/receipts
LE CAFE COFFEE
New York
NY
squareup.com/receipts</t>
  </si>
  <si>
    <t>'320252540784208993'</t>
  </si>
  <si>
    <t>21105175255 RESTAURANT
TST* AQUA NYC 00210304
NEW YORK
NY
RESTAURANT</t>
  </si>
  <si>
    <t>'320252550816643902'</t>
  </si>
  <si>
    <t>B8JDG51B   VYKUCMGJ         94103
UBER EATS
help.uber.com
CA
VYKUCMGJ         94103</t>
  </si>
  <si>
    <t>'320252540786033917'</t>
  </si>
  <si>
    <t>2YGD2A5P   X67RGPCN         10012
Uber Trip
help.uber.com
CA
X67RGPCN         10012</t>
  </si>
  <si>
    <t>'320252530768509466'</t>
  </si>
  <si>
    <t>99999995253NONE             10003
PHARMACIES
DUANE READE #14468 000014468
NEW YORK
NY
PHARMACIES
NONE             10003</t>
  </si>
  <si>
    <t>'320252530755592950'</t>
  </si>
  <si>
    <t>00851226702 LOCAL TRANSPORTATION
NYCT PAYGO
NEW YORK
NY
LOCAL TRANSPORTATION</t>
  </si>
  <si>
    <t>'320252530753366007'</t>
  </si>
  <si>
    <t>KHMPAD1C    8005928996
UBER EATS
help.uber.com
CA
8005928996</t>
  </si>
  <si>
    <t>'320252530750731288'</t>
  </si>
  <si>
    <t>FTHE3KC8   XN2B56JH         94103
UBER EATS
help.uber.com
CA
XN2B56JH         94103</t>
  </si>
  <si>
    <t>'320252520730752609'</t>
  </si>
  <si>
    <t>MHZNYWJB   RKOKSYNH         10018
Uber Trip
help.uber.com
CA
RKOKSYNH         10018</t>
  </si>
  <si>
    <t>'320252520726098954'</t>
  </si>
  <si>
    <t>EK5YK436   UNYNTRUN         10012
Uber Trip
help.uber.com
CA
UNYNTRUN         10012</t>
  </si>
  <si>
    <t>'320252520730735225'</t>
  </si>
  <si>
    <t>GTD0428Z   BXXSOFT7         11215
Uber Trip
help.uber.com
CA
BXXSOFT7         11215</t>
  </si>
  <si>
    <t>'320252520730743063'</t>
  </si>
  <si>
    <t>00591653203 877-461-2631
IONOS
www.ionos.com
PA
877-461-2631</t>
  </si>
  <si>
    <t>'320252510713299617'</t>
  </si>
  <si>
    <t>'150908060000508461'</t>
  </si>
  <si>
    <t>CH_3S4OZ4JI +18005621465
NESPRESSO USA, INC.
NEW YORK CITY
NY
+18005621465</t>
  </si>
  <si>
    <t>'320252500670733685'</t>
  </si>
  <si>
    <t>6CQE97YY   SEQ57PF5         94103
UBER EATS
help.uber.com
CA
SEQ57PF5         94103</t>
  </si>
  <si>
    <t>'320252510703862811'</t>
  </si>
  <si>
    <t>CH_3S4OY2D5 +972549794698
BASE44.COM
NEWARK
DE
+972549794698</t>
  </si>
  <si>
    <t>'320252490641792081'</t>
  </si>
  <si>
    <t>BLVD   *ART AUTONOMYNEW YORK            NY</t>
  </si>
  <si>
    <t>999999952502123434274
BEAUTY &amp; BARBER
BLVD   *ART AUTONOMY SALO 000000317
NEW YORK
NY
BEAUTY &amp; BARBER
2123434274</t>
  </si>
  <si>
    <t>497 BROOME ST
FL 2 FLOOR 2</t>
  </si>
  <si>
    <t>10013-2214</t>
  </si>
  <si>
    <t>'320252500684344416'</t>
  </si>
  <si>
    <t>10181476   8007467287
PHARMACIES
CVS PHARMACY
NEW YORK
NY
PHARMACIES
8007467287</t>
  </si>
  <si>
    <t>'320252500684372275'</t>
  </si>
  <si>
    <t>DRIP DROP CAFE      New York            NY</t>
  </si>
  <si>
    <t>vBp2MhqXYU8 squareup.com/receipts
DRIP DROP CAFE
New York
NY
squareup.com/receipts</t>
  </si>
  <si>
    <t>98 THOMPSON ST</t>
  </si>
  <si>
    <t>10012-3745</t>
  </si>
  <si>
    <t>'320252490648625861'</t>
  </si>
  <si>
    <t>FACEBK *78DNVYLRF2  MENLO PARK</t>
  </si>
  <si>
    <t>24472816542 ADVERTISING SERVICE
FACEBK *78DNVYLRF2
MENLO PARK
ADVERTISING SERVICE</t>
  </si>
  <si>
    <t>'320252490646521162'</t>
  </si>
  <si>
    <t>FACEBK *S8Q5KZ8RF2  MENLO PARK</t>
  </si>
  <si>
    <t>24547892864 ADVERTISING SERVICE
FACEBK *S8Q5KZ8RF2
MENLO PARK
ADVERTISING SERVICE</t>
  </si>
  <si>
    <t>'320252490651549413'</t>
  </si>
  <si>
    <t>OHS0RJ00144 HELP@LEMONADE.COM
LEMONADE INSURANCE 529657
INTERNET
NY
HELP@LEMONADE.COM</t>
  </si>
  <si>
    <t>'320252490644955127'</t>
  </si>
  <si>
    <t>NYU HOSP CTR-MYCHARTNEW YORK            NY</t>
  </si>
  <si>
    <t>036-0270900 HEALTHCARE P
NYU HOSP CTR-MYCHART
NEW YORK
NY
HEALTHCARE P</t>
  </si>
  <si>
    <t>'320252500677972725'</t>
  </si>
  <si>
    <t>PAYPAL *APPMYWEB    4029357733          IS</t>
  </si>
  <si>
    <t>10189664714 4029357733
PAYPAL *APPMYWEB
4029357733
IS
Description : DIGITAL APPLICATION Price : 0.00
4029357733</t>
  </si>
  <si>
    <t>'320252520740888881'</t>
  </si>
  <si>
    <t>RC156373055CABLE SVC
SPECTRUM
855-707-7328
MO
CABLE SVC</t>
  </si>
  <si>
    <t>'320252490648817126'</t>
  </si>
  <si>
    <t>12mCzMqEmTU squareup.com/receipts
THE CLEANERS IO, LLC
NEW YORK
NY
squareup.com/receipts</t>
  </si>
  <si>
    <t>'320252490644810907'</t>
  </si>
  <si>
    <t>5RRPG5AS   5SWC5M4I         94103
UBER EATS
help.uber.com
CA
5SWC5M4I         94103</t>
  </si>
  <si>
    <t>'320252490650172174'</t>
  </si>
  <si>
    <t>CH_3S43SYEQ +18774484820
GITHUB
SAN FRANCISCO
CA
+18774484820</t>
  </si>
  <si>
    <t>'320252480616240805'</t>
  </si>
  <si>
    <t>CH_3S43SZJF +18774484820
GITHUB, INC.
SAN FRANCISCO
CA
+18774484820</t>
  </si>
  <si>
    <t>'320252480617264209'</t>
  </si>
  <si>
    <t>PIRATE.COM          WILMINGTON          DE</t>
  </si>
  <si>
    <t>CH_3S446RDR +12122222222
PIRATE.COM
WILMINGTON
DE
+12122222222</t>
  </si>
  <si>
    <t>1013 CTR RD
SUITE 403 B</t>
  </si>
  <si>
    <t>'320252480637116344'</t>
  </si>
  <si>
    <t>Entertainment-Theatrical Events</t>
  </si>
  <si>
    <t>73SHGYKE   BJA4X5R3         94103
UBER EATS
help.uber.com
CA
BJA4X5R3         94103</t>
  </si>
  <si>
    <t>'320252490650131142'</t>
  </si>
  <si>
    <t>N3HDKPF4   BJA4X5R3         94103
UBER EATS
help.uber.com
CA
BJA4X5R3         94103</t>
  </si>
  <si>
    <t>'320252480620326109'</t>
  </si>
  <si>
    <t>585F1VM2   2WERZDKK         10012
Uber Trip
help.uber.com
CA
2WERZDKK         10012</t>
  </si>
  <si>
    <t>'320252480615143103'</t>
  </si>
  <si>
    <t>111F2F30   RLAKFBIV         10012
Uber Trip
help.uber.com
CA
RLAKFBIV         10012</t>
  </si>
  <si>
    <t>'320252490647294068'</t>
  </si>
  <si>
    <t>0QYVEJ6D   AKXYUT52         10018
Uber Trip
help.uber.com
CA
AKXYUT52         10018</t>
  </si>
  <si>
    <t>'320252480615171714'</t>
  </si>
  <si>
    <t>Z72GAVGYHPQZ72GAVGYHPQ0     98052
A1010BUSD01
MSBILL.INFO
Z72GAVGYHPQ0     98052</t>
  </si>
  <si>
    <t>'320252470607793086'</t>
  </si>
  <si>
    <t>Z72GAUWF9YHZ72GAUWF9YH7     98052
A1010BUSD01
MSBILL.INFO
Z72GAUWF9YH7     98052</t>
  </si>
  <si>
    <t>'320252470607779405'</t>
  </si>
  <si>
    <t>Z72FAWU8I09Z72FAWU8I09N     98052
A1010BUSD01
MSBILL.INFO
Z72FAWU8I09N     98052</t>
  </si>
  <si>
    <t>'320252470607847929'</t>
  </si>
  <si>
    <t>Z72DAW4TET8Z72DAW4TET8X     98052
A1010BUSD01
REDMOND
Z72DAW4TET8X     98052</t>
  </si>
  <si>
    <t>'320252470607839964'</t>
  </si>
  <si>
    <t>XUBZRGINXWO MERCHANDISE
AMAZON MARKETPLACE NA PA
AMZN.COM/BILL
WA
MERCHANDISE</t>
  </si>
  <si>
    <t>'320252480624130705'</t>
  </si>
  <si>
    <t>04146D0A    4152302377
BT*CLV*VECTORMAGIC
EXCELSIOR
CA
4152302377</t>
  </si>
  <si>
    <t>'320252470592111097'</t>
  </si>
  <si>
    <t>ELECTRONIC PAYMENT RECEIVED-THANK</t>
  </si>
  <si>
    <t>'320252470608386688'</t>
  </si>
  <si>
    <t>248I1A70GT867993            19003
IN *ERP BLOG LLC
ARDMORE
PA
67993            19003</t>
  </si>
  <si>
    <t>'320252480614753742'</t>
  </si>
  <si>
    <t>73011005247 ANDY@KALL8.COM
KALL8 000895900006429
SEATTLE
WA
ANDY@KALL8.COM</t>
  </si>
  <si>
    <t>'320252480631433082'</t>
  </si>
  <si>
    <t>7zzabc9cZ8Q squareup.com/receipts
LE CAFE COFFEE
New York
NY
squareup.com/receipts</t>
  </si>
  <si>
    <t>'320252470591589467'</t>
  </si>
  <si>
    <t>PETCO 3741 3741     NEW YORK            NY</t>
  </si>
  <si>
    <t>37400030    858-453-7845
PETCO 3741 3741
NEW YORK
NY
Description : PETS/SUPPLIES/ACC Price : 0.00
858-453-7845</t>
  </si>
  <si>
    <t>44 UN SQ EAST</t>
  </si>
  <si>
    <t>'320252480626561058'</t>
  </si>
  <si>
    <t>MJDFSP01   42BPRC2X         94103
UBER EATS
help.uber.com
CA
42BPRC2X         94103</t>
  </si>
  <si>
    <t>'320252480619433889'</t>
  </si>
  <si>
    <t>P92N9E06   42BPRC2X         94103
UBER EATS
help.uber.com
CA
42BPRC2X         94103</t>
  </si>
  <si>
    <t>'320252470591957429'</t>
  </si>
  <si>
    <t>092BDXQPU6B 2126735388
WHOLEFDS USQ 10162 000010162
NEW YORK
NY
Description : GROCERY STORES Price : 0.3418
2126735388</t>
  </si>
  <si>
    <t>'320252480629164481'</t>
  </si>
  <si>
    <t>'320252470595462171'</t>
  </si>
  <si>
    <t>MSFT * E0500XC4CW BLMSBILL.INFO         WA</t>
  </si>
  <si>
    <t>Z72GAVGYHPQZ72GAVGYHPQ1     12866
COMPUTER DATA PROCESSIN
MSFT * E0500XC4CW BLEG
MSBILL.INFO
WA
COMPUTER DATA PROCESSIN
Z72GAVGYHPQ1     12866</t>
  </si>
  <si>
    <t>'320252470607790661'</t>
  </si>
  <si>
    <t>MSFT * E0500XC54P BLMSBILL.INFO         WA</t>
  </si>
  <si>
    <t>Z73AAW17NTFZ73AAW17NTFT     12866
COMPUTER DATA PROCESSIN
MSFT * E0500XC54P BLEG
MSBILL.INFO
WA
COMPUTER DATA PROCESSIN
Z73AAW17NTFT     12866</t>
  </si>
  <si>
    <t>'320252470607834583'</t>
  </si>
  <si>
    <t>GQBNX3A1   2WERZDKK         10012
Uber Trip
help.uber.com
CA
2WERZDKK         10012</t>
  </si>
  <si>
    <t>'320252460563634409'</t>
  </si>
  <si>
    <t>W15639200915854293656
WEGMANS ASTOR PLACE 156 000000156
NEW YORK
NY
5854293656</t>
  </si>
  <si>
    <t>'320252470598428466'</t>
  </si>
  <si>
    <t>MTK80Z4MTNA RECORD STORE
APPLE.COM/BILL
INTERNET CHARGE
CA
RECORD STORE</t>
  </si>
  <si>
    <t>'320252450527170407'</t>
  </si>
  <si>
    <t>ARISTON CAFE 0000   NEW YORK            NY</t>
  </si>
  <si>
    <t>40900199    212-929-4226
ARISTON CAFE 0000
NEW YORK
NY
Description : FAST FOOD RESTAURAN Price : 0.00
212-929-4226</t>
  </si>
  <si>
    <t>78 5TH AVE</t>
  </si>
  <si>
    <t>'320252460572462483'</t>
  </si>
  <si>
    <t>AT&amp;T COR DF         ATLANTA             GA</t>
  </si>
  <si>
    <t>42970960   839864578NBI     75202
CELLULAR PHONES/BEEPERS
AT&amp;T COR DF
ATLANTA
GA
CELLULAR PHONES/BEEPERS
839864578NBI     75202</t>
  </si>
  <si>
    <t>675 WEST PEACHTREE STE ST NORTH WEST</t>
  </si>
  <si>
    <t>30375-0001</t>
  </si>
  <si>
    <t>'320252460572106198'</t>
  </si>
  <si>
    <t>lMjLuPDqAjF squareup.com/receipts
LE CAFE COFFEE
New York
NY
squareup.com/receipts</t>
  </si>
  <si>
    <t>'320252450530447885'</t>
  </si>
  <si>
    <t>37BQ4J6B   EXO5QA55         11225
Uber Trip
help.uber.com
CA
EXO5QA55         11225</t>
  </si>
  <si>
    <t>'320252450525622965'</t>
  </si>
  <si>
    <t>2LVXM214ZA4 MERCHANDISE
AMAZON MARKETPLACE NA PA
AMZN.COM/BILL
WA
MERCHANDISE</t>
  </si>
  <si>
    <t>'320252450532120830'</t>
  </si>
  <si>
    <t>46318TNE09Y WEB SERVICES
Amazon Web Services
AWS.Amazon.com
WA
WEB SERVICES</t>
  </si>
  <si>
    <t>'320252440502116363'</t>
  </si>
  <si>
    <t>BXPZA1RH   NMZBVOBB         94103
UBER EATS
help.uber.com
CA
NMZBVOBB         94103</t>
  </si>
  <si>
    <t>'320252440507032963'</t>
  </si>
  <si>
    <t>CVS/PHARMACY #10612 NEW YORK            NY</t>
  </si>
  <si>
    <t>10083894    8007467287
CVS/PHARMACY #10612 000010612
NEW YORK
NY
Description : PHARMACIES Price : 0.40
8007467287</t>
  </si>
  <si>
    <t>5TH AVE 14TH ST
SEC</t>
  </si>
  <si>
    <t>MANHATTAN
NY</t>
  </si>
  <si>
    <t>'320252440515543473'</t>
  </si>
  <si>
    <t>FACEBK *ELYBAZCRF2  MENLO PARK</t>
  </si>
  <si>
    <t>24517119494 ADVERTISING SERVICE
FACEBK *ELYBAZCRF2
MENLO PARK
ADVERTISING SERVICE</t>
  </si>
  <si>
    <t>'320252430490436753'</t>
  </si>
  <si>
    <t>CH_3S2IYVDR +12122222222
PIRATE.COM
WILMINGTON
DE
+12122222222</t>
  </si>
  <si>
    <t>'320252440512736476'</t>
  </si>
  <si>
    <t>6R9T5QWA   DLDXKY6O         94103
UBER EATS
help.uber.com
CA
DLDXKY6O         94103</t>
  </si>
  <si>
    <t>'320252430479580084'</t>
  </si>
  <si>
    <t>4EKCIP89U6S MERCHANDISE
AMAZON MARKETPLACE NA PA
AMZN.COM/BILL
WA
MERCHANDISE</t>
  </si>
  <si>
    <t>'320252430491736811'</t>
  </si>
  <si>
    <t>CH_3S1URVAC +12102014187
COVERGIRL.MAXIM.COM
SAN ANTONIO
TX
+12102014187</t>
  </si>
  <si>
    <t>'320252430493571902'</t>
  </si>
  <si>
    <t>TST* LE CHENE 300734NEW YORK            NY</t>
  </si>
  <si>
    <t>99999995242 3477158155
TST* LE CHENE 300734976
NEW YORK
NY
Description : RESTAURANTS Price : 15.20
3477158155</t>
  </si>
  <si>
    <t>76 CARMINE ST</t>
  </si>
  <si>
    <t>10014-4371</t>
  </si>
  <si>
    <t>'320252420457903351'</t>
  </si>
  <si>
    <t>06MBW9DD   EXO5QA55         11225
Uber Trip
help.uber.com
CA
EXO5QA55         11225</t>
  </si>
  <si>
    <t>'320252420452376997'</t>
  </si>
  <si>
    <t>1C8TWNJZ   QA2B7VLG         11104
Uber Trip
help.uber.com
CA
QA2B7VLG         11104</t>
  </si>
  <si>
    <t>'320252420451846433'</t>
  </si>
  <si>
    <t>3STA7JM5   7ZFQFUOC         10012
Uber Trip
help.uber.com
CA
7ZFQFUOC         10012</t>
  </si>
  <si>
    <t>'320252420451948075'</t>
  </si>
  <si>
    <t>00848498573 LOCAL TRANSPORTATION
NYCT PAYGO
NEW YORK
NY
LOCAL TRANSPORTATION</t>
  </si>
  <si>
    <t>'320252420459044277'</t>
  </si>
  <si>
    <t>CM5P0PTR    8005928996
Uber Trip
help.uber.com
CA
8005928996</t>
  </si>
  <si>
    <t>'320252410419679589'</t>
  </si>
  <si>
    <t>MEFV4V70   MG4H4WFU         10010
Uber Trip
help.uber.com
CA
MG4H4WFU         10010</t>
  </si>
  <si>
    <t>'320252410423382834'</t>
  </si>
  <si>
    <t>5BBV0B99   SJWRBBXX         11225
Uber Trip
help.uber.com
CA
SJWRBBXX         11225</t>
  </si>
  <si>
    <t>'320252410418382071'</t>
  </si>
  <si>
    <t>WWW.BBG.OR* BROOKLYNBROOKLYN            NY</t>
  </si>
  <si>
    <t>CH_3S1SRFG1 +18887184253
WWW.BBG.OR* BROOKLYN B
BROOKLYN
NY
+18887184253</t>
  </si>
  <si>
    <t>1000 WASHINGTON AVE</t>
  </si>
  <si>
    <t>11225-1099</t>
  </si>
  <si>
    <t>'320252410426961526'</t>
  </si>
  <si>
    <t>CH_3S191KAC +12102014187
COVERGIRL.MAXIM.COM
SAN ANTONIO
TX
+12102014187</t>
  </si>
  <si>
    <t>'320252400387884569'</t>
  </si>
  <si>
    <t>CH_3S198DAC +12102014187
COVERGIRL.MAXIM.COM
SAN ANTONIO
TX
+12102014187</t>
  </si>
  <si>
    <t>'320252400387889978'</t>
  </si>
  <si>
    <t>000539864  01106000539864   10003
CUSTOM UNBOUND DOCUMENT
STAPLES 01106
MANHATTAN
NY
CUSTOM UNBOUND DOCUMENT
01106000539864   10003</t>
  </si>
  <si>
    <t>'320252410430729571'</t>
  </si>
  <si>
    <t>STUMPTOWN COFFEE ROANew York            NY</t>
  </si>
  <si>
    <t>lWSMMhcUrUW squareup.com/receipts
STUMPTOWN COFFEE ROASTERS
New York
NY
squareup.com/receipts</t>
  </si>
  <si>
    <t>30 WEST 8TH ST</t>
  </si>
  <si>
    <t>'320252400394414732'</t>
  </si>
  <si>
    <t>HFj7b5qyi0Y squareup.com/receipts
THE CLEANERS IO, LLC
NEW YORK
NY
squareup.com/receipts</t>
  </si>
  <si>
    <t>'320252400395876915'</t>
  </si>
  <si>
    <t>TST* SAINT URBAN NYCNEW YORK            NY</t>
  </si>
  <si>
    <t>21105175241 RESTAURANT
TST* SAINT URBAN NYC 00226850
NEW YORK
NY
RESTAURANT</t>
  </si>
  <si>
    <t>43 EAST 20TH ST</t>
  </si>
  <si>
    <t>'320252410426650666'</t>
  </si>
  <si>
    <t>0HIZ5FWNKL6 2126735388
WHOLEFDS USQ 10162 000010162
NEW YORK
NY
Description : GROCERY STORES Price : 0.3524
2126735388</t>
  </si>
  <si>
    <t>'320252410431150696'</t>
  </si>
  <si>
    <t>MTL88XM36TA RECORD STORE
APPLE.COM/BILL
INTERNET CHARGE
CA
RECORD STORE</t>
  </si>
  <si>
    <t>'320252400391793494'</t>
  </si>
  <si>
    <t>40700182    212-929-4226
ARISTON CAFE 0000
NEW YORK
NY
Description : FAST FOOD RESTAURAN Price : 0.00
212-929-4226</t>
  </si>
  <si>
    <t>'320252390371870134'</t>
  </si>
  <si>
    <t>CH_3S0X6E4Y +18009799850
CALENDLY
AVONDALE ESTATES
GA
+18009799850</t>
  </si>
  <si>
    <t>'320252390380449811'</t>
  </si>
  <si>
    <t>CH_3S0S2GAC +12102014187
COVERGIRL.MAXIM.COM
SAN ANTONIO
TX
+12102014187</t>
  </si>
  <si>
    <t>'320252390377110044'</t>
  </si>
  <si>
    <t>10174091    8007467287
CVS PHARMACY
NEW YORK
NY
Description : PHARMACIES Price : 0.05
8007467287</t>
  </si>
  <si>
    <t>'320252390371836492'</t>
  </si>
  <si>
    <t>PAPERSOURCE -4643 00NEW YORK            NY</t>
  </si>
  <si>
    <t>00046430827 5163388000
PAPERSOURCE -4643 000004643
NEW YORK
NY
Description : REFER TO RECEIPT Price : 0.00
5163388000</t>
  </si>
  <si>
    <t>75 FIFTH AVE</t>
  </si>
  <si>
    <t>'320252400410087895'</t>
  </si>
  <si>
    <t>TST* KABAWA 00076343NEW YORK            NY</t>
  </si>
  <si>
    <t>00076343027 RESTAURANT
TST* KABAWA 00076343
NEW YORK
NY
RESTAURANT</t>
  </si>
  <si>
    <t>8 EXTRA PLACE</t>
  </si>
  <si>
    <t>'320252390370687017'</t>
  </si>
  <si>
    <t>081TANHJLJE 2126735388
WHOLEFDS USQ 10162 000010162
NEW YORK
NY
Description : GROCERY STORES Price : 0.4314
2126735388</t>
  </si>
  <si>
    <t>'320252390373906225'</t>
  </si>
  <si>
    <t>10173838    8007467287
CVS PHARMACY
NEW YORK
NY
Description : PHARMACIES Price : 0.0499
8007467287</t>
  </si>
  <si>
    <t>'320252380344202124'</t>
  </si>
  <si>
    <t>PAYPAL *FOTOREVYMQE 2885145711          CH</t>
  </si>
  <si>
    <t>10188618900 2885145711
PAYPAL *FOTOREVYMQE
2885145711
CH
Description : COMPUTER AND DATA P Price : 0.00
2885145711</t>
  </si>
  <si>
    <t>'320252390375638947'</t>
  </si>
  <si>
    <t>HAMPTON INN AND SUITSARATOGA SPRINGS    NY</t>
  </si>
  <si>
    <t>80578871    518-584-2100
LODGING
HAMPTON INN AND SUITES SARATOG HAMPTON
SARATOGA SPRINGS
NY</t>
  </si>
  <si>
    <t>25 LK AVE</t>
  </si>
  <si>
    <t>12866-2313</t>
  </si>
  <si>
    <t>'320252370316827194'</t>
  </si>
  <si>
    <t>IC* INSTACART       SAN FRANCISCO       CA</t>
  </si>
  <si>
    <t>HF0247SQ    8882467822
IC* INSTACART
SAN FRANCISCO
CA
8882467822</t>
  </si>
  <si>
    <t>50 BEALE ST
6TH FLOOR</t>
  </si>
  <si>
    <t>'320252370311594430'</t>
  </si>
  <si>
    <t>PZ8HV7XE    8882467822
IC* INSTACART
SAN FRANCISCO
CA
8882467822</t>
  </si>
  <si>
    <t>'320252370311493992'</t>
  </si>
  <si>
    <t>00844871806 LOCAL TRANSPORTATION
NYCT PAYGO
NEW YORK
NY
LOCAL TRANSPORTATION</t>
  </si>
  <si>
    <t>'320252370315239672'</t>
  </si>
  <si>
    <t>9FD2C25253B FAST FOOD RESTAURANT
SIREN47906
NEW YORK
NY
FAST FOOD RESTAURANT</t>
  </si>
  <si>
    <t>'320252370313169569'</t>
  </si>
  <si>
    <t>163UKAC11KF MERCHANDISE
AMAZON.COM
AMZN.COM/BILL
WA
MERCHANDISE</t>
  </si>
  <si>
    <t>'320252360293771222'</t>
  </si>
  <si>
    <t>BS4J45G0   6AW7GAHI         94103
UBER EATS
help.uber.com
CA
6AW7GAHI         94103</t>
  </si>
  <si>
    <t>'320252350259432898'</t>
  </si>
  <si>
    <t>HC5E59NH   CB4NI3XS         94103
UBER EATS
help.uber.com
CA
CB4NI3XS         94103</t>
  </si>
  <si>
    <t>'320252350259447656'</t>
  </si>
  <si>
    <t>ART OF SALES ACADEMYBROOKLYN            NY</t>
  </si>
  <si>
    <t>CH_3RYUBVCG +19179396282
ART OF SALES ACADEMY
BROOKLYN
NY
+19179396282</t>
  </si>
  <si>
    <t>10 MAUJER ST
APT 1</t>
  </si>
  <si>
    <t>'320252340245266658'</t>
  </si>
  <si>
    <t>10172783   8007467287
PHARMACIES
CVS PHARMACY
NEW YORK
NY
PHARMACIES
8007467287</t>
  </si>
  <si>
    <t>'320252350264634872'</t>
  </si>
  <si>
    <t>P-040591098 SUBSRIPTION
D J*WSJ
800-568-7625
NJ
SUBSRIPTION</t>
  </si>
  <si>
    <t>'320252350268074774'</t>
  </si>
  <si>
    <t>CH_3RYZWXEQ +18774484820
GITHUB
SAN FRANCISCO
CA
+18774484820</t>
  </si>
  <si>
    <t>'320252340222060254'</t>
  </si>
  <si>
    <t>MVZ8Y2MR   OTZWDNI7         94103
UBER EATS
help.uber.com
CA
OTZWDNI7         94103</t>
  </si>
  <si>
    <t>'320252340228463939'</t>
  </si>
  <si>
    <t>40700181    212-929-4226
ARISTON CAFE 0000
NEW YORK
NY
Description : FAST FOOD RESTAURAN Price : 0.00
212-929-4226</t>
  </si>
  <si>
    <t>'320252340236210252'</t>
  </si>
  <si>
    <t>CANVA* I04615-724725CAMDEN              DE</t>
  </si>
  <si>
    <t>CH_2RYG4KK8 +17372853388
CANVA* I04615-72472531
CAMDEN
DE
+17372853388</t>
  </si>
  <si>
    <t>'320252330216489733'</t>
  </si>
  <si>
    <t>CH_3RYGQEAC +12102014187
COVERGIRL.MAXIM.COM
SAN ANTONIO
TX
+12102014187</t>
  </si>
  <si>
    <t>'320252340241197273'</t>
  </si>
  <si>
    <t>CH_3RYGR4AC +12102014187
COVERGIRL.MAXIM.COM
SAN ANTONIO
TX
+12102014187</t>
  </si>
  <si>
    <t>'320252340242667809'</t>
  </si>
  <si>
    <t>32800013    858-453-7845
PETCO 3741 3741
NEW YORK
NY
Description : PETS/SUPPLIES/ACC Price : 0.00
858-453-7845</t>
  </si>
  <si>
    <t>'320252340232750976'</t>
  </si>
  <si>
    <t>RM362AAS   SK3DKVOV         94103
UBER EATS
help.uber.com
CA
SK3DKVOV         94103</t>
  </si>
  <si>
    <t>'320252330199572640'</t>
  </si>
  <si>
    <t>10172324    8007467287
CVS PHARMACY
NEW YORK
NY
Description : PHARMACIES Price : 0.0629
8007467287</t>
  </si>
  <si>
    <t>'320252330203814060'</t>
  </si>
  <si>
    <t>FACEBK *CAD89Y8RF2  MENLO PARK</t>
  </si>
  <si>
    <t>24401382539 ADVERTISING SERVICE
FACEBK *CAD89Y8RF2
MENLO PARK
ADVERTISING SERVICE</t>
  </si>
  <si>
    <t>'320252320168425226'</t>
  </si>
  <si>
    <t>CH_3RYGVGJI +18005621465
NESPRESSO USA, INC.
NEW YORK CITY
NY
+18005621465</t>
  </si>
  <si>
    <t>'320252320167425298'</t>
  </si>
  <si>
    <t>CH_3RYDBVCF 3235775423
SPLICE.COM
NEW YORK
NY
3235775423</t>
  </si>
  <si>
    <t>'320252320169432534'</t>
  </si>
  <si>
    <t>NER31JVOYWJ squareup.com/receipts
THE CLEANERS IO, LLC
NEW YORK
NY
squareup.com/receipts</t>
  </si>
  <si>
    <t>'320252320169527429'</t>
  </si>
  <si>
    <t>CH_2RY1D9JS +14153666101
DISTROKID EXTRAS
NEW YORK
NY
+14153666101</t>
  </si>
  <si>
    <t>'320252320179925217'</t>
  </si>
  <si>
    <t>DISTROKID.COM       NEW YORK            NY</t>
  </si>
  <si>
    <t>CH_2RY1DEJS +14153666101
DISTROKID.COM
NEW YORK
NY
+14153666101</t>
  </si>
  <si>
    <t>'320252320182739987'</t>
  </si>
  <si>
    <t>DISTROKID: DISTROVIDNEW YORK            NY</t>
  </si>
  <si>
    <t>CH_2RXWSRJS +14153666101
DISTROKID: DISTROVID
NEW YORK
NY
+14153666101</t>
  </si>
  <si>
    <t>'320252310138125319'</t>
  </si>
  <si>
    <t>GRUBHUB*BLUERIBBONSUNEW YORK            NY</t>
  </si>
  <si>
    <t>K6P783YJ    8775851085
GRUBHUB*BLUERIBBONSUSH
NEW YORK
NY
8775851085</t>
  </si>
  <si>
    <t>'320252320180453826'</t>
  </si>
  <si>
    <t>JUICE GENERATION 19 NEW YORK            NY</t>
  </si>
  <si>
    <t>31099535231 FAST FOOD RESTAURANT
JUICE GENERATION 19 00-08044345810
NEW YORK
NY
FAST FOOD RESTAURANT</t>
  </si>
  <si>
    <t>4 ASTOR PLACE</t>
  </si>
  <si>
    <t>'320252320175378331'</t>
  </si>
  <si>
    <t>0M9113LITFF 2126735388
WHOLEFDS USQ 10162 000010162
NEW YORK
NY
Description : GROCERY STORES Price : 1.1102
2126735388</t>
  </si>
  <si>
    <t>'320252320181771423'</t>
  </si>
  <si>
    <t>CH_3RXX21AC +12102014187
COVERGIRL.MAXIM.COM
SAN ANTONIO
TX
+12102014187</t>
  </si>
  <si>
    <t>'320252300132113727'</t>
  </si>
  <si>
    <t>QDNDH3WT    8775851085
GRUBHUB*JACKSWIFEFREDA
NEW YORK
NY
8775851085</t>
  </si>
  <si>
    <t>'320252300110456457'</t>
  </si>
  <si>
    <t>JyLEVqNHdRx squareup.com/receipts
THE CLEANERS IO, LLC
NEW YORK
NY
squareup.com/receipts</t>
  </si>
  <si>
    <t>'320252300111365355'</t>
  </si>
  <si>
    <t>31099535229 FAST FOOD RESTAURANT
JUICE GENERATION 19 00-08044345810
NEW YORK
NY
FAST FOOD RESTAURANT</t>
  </si>
  <si>
    <t>'320252300119296527'</t>
  </si>
  <si>
    <t>WMEOsAWhx00 2129247400
TST* JOE COFFEE - LAGUARD 300633109
NEW YORK
NY
Description : RESTAURANTS Price : 0.1725
2129247400</t>
  </si>
  <si>
    <t>'320252290090168626'</t>
  </si>
  <si>
    <t>1KPM7YT6   IELULBKR         10012
Uber Trip
help.uber.com
CA
IELULBKR         10012</t>
  </si>
  <si>
    <t>'320252290085309466'</t>
  </si>
  <si>
    <t>W15640600445854293656
WEGMANS ASTOR PLACE 156 000000156
NEW YORK
NY
5854293656</t>
  </si>
  <si>
    <t>'320252300124835234'</t>
  </si>
  <si>
    <t>NY PARASOLS         Ballston Spa        NY</t>
  </si>
  <si>
    <t>D9wHHE5vZMv squareup.com/receipts
NY PARASOLS
Ballston Spa
NY
squareup.com/receipts</t>
  </si>
  <si>
    <t>226 HALCYON WAY NORTH EAST</t>
  </si>
  <si>
    <t>FLOYD
VA</t>
  </si>
  <si>
    <t>24091-2394</t>
  </si>
  <si>
    <t>'320252280060639774'</t>
  </si>
  <si>
    <t>SAN MARCOS          Monroe              NY</t>
  </si>
  <si>
    <t>jt0xPkVqoBx squareup.com/receipts
SAN MARCOS
Monroe
NY
squareup.com/receipts</t>
  </si>
  <si>
    <t>1790 LA COSTA MDWS DR
STE 104</t>
  </si>
  <si>
    <t>SAN MARCOS
CA</t>
  </si>
  <si>
    <t>92078-5177</t>
  </si>
  <si>
    <t>'320252280063165238'</t>
  </si>
  <si>
    <t>Merchandise &amp; Supplies-Arts &amp; Jewelry</t>
  </si>
  <si>
    <t>CH_3RWNC5CF 3235775423
SPLICE.COM
NEW YORK
NY
3235775423</t>
  </si>
  <si>
    <t>'320252280062111243'</t>
  </si>
  <si>
    <t>BFNF2C70   QTA5LGMK         10021
Uber Trip
help.uber.com
CA
QTA5LGMK         10021</t>
  </si>
  <si>
    <t>'320252280058029843'</t>
  </si>
  <si>
    <t>KPGE0660   53YDUSFA         10002
Uber Trip
help.uber.com
CA
53YDUSFA         10002</t>
  </si>
  <si>
    <t>'320252280062792779'</t>
  </si>
  <si>
    <t>QKH04TZB   KBI3B3FO         10013
Uber Trip
help.uber.com
CA
KBI3B3FO         10013</t>
  </si>
  <si>
    <t>'320252280058668178'</t>
  </si>
  <si>
    <t>4VWG461E   DV2GEGA2         11249
Uber Trip
help.uber.com
CA
DV2GEGA2         11249</t>
  </si>
  <si>
    <t>'320252280063355944'</t>
  </si>
  <si>
    <t>2BWZ15BS   34UREG63         10012
Uber Trip
help.uber.com
CA
34UREG63         10012</t>
  </si>
  <si>
    <t>'320252280057869284'</t>
  </si>
  <si>
    <t>FTCXHJHB   CPP2B5OY         10019
Uber Trip
help.uber.com
CA
CPP2B5OY         10019</t>
  </si>
  <si>
    <t>'320252280062567077'</t>
  </si>
  <si>
    <t>CH_3RWTD1JY +18002822200
ANTHROPOLOGIE  01464
NEW YORK
NY
+18002822200</t>
  </si>
  <si>
    <t>'320252270025856010'</t>
  </si>
  <si>
    <t>MTK8023XQ2A RECORD STORE
APPLE.COM/BILL
INTERNET CHARGE
CA
RECORD STORE</t>
  </si>
  <si>
    <t>'320252270028601699'</t>
  </si>
  <si>
    <t>COTTON ON MEGA 512 BNEW YORK            NY</t>
  </si>
  <si>
    <t>21746       626-856-3679
COTTON ON MEGA 512 BROAD 1344
NEW YORK
NY
Description : APPAREL/ACCESSORIES Price : 0.00
626-856-3679</t>
  </si>
  <si>
    <t>512 BROADWAY</t>
  </si>
  <si>
    <t>'320252280071081600'</t>
  </si>
  <si>
    <t>CH_3RWXU8AC +12102014187
COVERGIRL.MAXIM.COM
SAN ANTONIO
TX
+12102014187</t>
  </si>
  <si>
    <t>'320252280078091043'</t>
  </si>
  <si>
    <t>79KhE7oMoc0 squareup.com/receipts
DRIP DROP CAFE
New York
NY
squareup.com/receipts</t>
  </si>
  <si>
    <t>'320252270028017428'</t>
  </si>
  <si>
    <t>MERCURY BAR 0000    NEW YORK            NY</t>
  </si>
  <si>
    <t>90825164    212-262-7755
MERCURY BAR 0000
NEW YORK
NY
Description : FOOD/BEVERAGE Price : 0.00
212-262-7755</t>
  </si>
  <si>
    <t>659 9TH AVE FRNT 5</t>
  </si>
  <si>
    <t>'320252270029310569'</t>
  </si>
  <si>
    <t>RCA INC             WEST HOLLYWOOD      CA</t>
  </si>
  <si>
    <t>######EsndY WOMEN'S CLOTHING
RCA INC
WEST HOLLYWOOD
CA
WOMEN'S CLOTHING</t>
  </si>
  <si>
    <t>8788 SHOREHAM DRIVE #11</t>
  </si>
  <si>
    <t>LOS ANGELES
CA</t>
  </si>
  <si>
    <t>'320252270050867814'</t>
  </si>
  <si>
    <t>C0XE6SA4   ZLT7WH4P         10013
Uber Trip
help.uber.com
CA
ZLT7WH4P         10013</t>
  </si>
  <si>
    <t>'320252270030233980'</t>
  </si>
  <si>
    <t>KRES1E8T   FMV5VMC4         10013
Uber Trip
help.uber.com
CA
FMV5VMC4         10013</t>
  </si>
  <si>
    <t>'320252270029553085'</t>
  </si>
  <si>
    <t>1ZNJ9KMC   WEMV5GL5         10001
Uber Trip
help.uber.com
CA
WEMV5GL5         10001</t>
  </si>
  <si>
    <t>'320252270029116050'</t>
  </si>
  <si>
    <t>FZD78351   3JFUL5IC         10012
Uber Trip
help.uber.com
CA
3JFUL5IC         10012</t>
  </si>
  <si>
    <t>'320252270029436995'</t>
  </si>
  <si>
    <t>B5MF9VM7   56TXWP66         10012
Uber Trip
help.uber.com
CA
56TXWP66         10012</t>
  </si>
  <si>
    <t>'320252270030338266'</t>
  </si>
  <si>
    <t>1G1A8SBW   JFHKMIJR         10036
Uber Trip
help.uber.com
CA
JFHKMIJR         10036</t>
  </si>
  <si>
    <t>'320252270029584991'</t>
  </si>
  <si>
    <t>40300148    212-929-4226
ARISTON CAFE 0000
NEW YORK
NY
Description : FAST FOOD RESTAURAN Price : 0.00
212-929-4226</t>
  </si>
  <si>
    <t>'320252270039746636'</t>
  </si>
  <si>
    <t>10085516   8007467287
PHARMACIES
CVS PHARMACY
NEW YORK
NY
PHARMACIES
8007467287</t>
  </si>
  <si>
    <t>'320252270037316397'</t>
  </si>
  <si>
    <t>31099535226 FAST FOOD RESTAURANT
JUICE GENERATION 19 00-08044345810
NEW YORK
NY
FAST FOOD RESTAURANT</t>
  </si>
  <si>
    <t>'320252270033391116'</t>
  </si>
  <si>
    <t>LEMONADE INSURANCE  NEW YORK CITY       NY</t>
  </si>
  <si>
    <t>CH_3RVXPVAB +18447338666
LEMONADE INSURANCE
NEW YORK CITY
NY
+18447338666</t>
  </si>
  <si>
    <t>'320252260006841143'</t>
  </si>
  <si>
    <t>'320252260995806406'</t>
  </si>
  <si>
    <t>7H2D5700079 SUPPORT@PATREON.COM
PATREON* MEMBERSHIP 523885
SAN FRANCISCO
CA
SUPPORT@PATREON.COM</t>
  </si>
  <si>
    <t>'320252260998244587'</t>
  </si>
  <si>
    <t>FACEBK *F84CKY4RF2  MENLO PARK</t>
  </si>
  <si>
    <t>24436741052 ADVERTISING SERVICE
FACEBK *F84CKY4RF2
MENLO PARK
ADVERTISING SERVICE</t>
  </si>
  <si>
    <t>'320252250972315723'</t>
  </si>
  <si>
    <t>31099535225 FAST FOOD RESTAURANT
JUICE GENERATION 19 00-08044345810
NEW YORK
NY
FAST FOOD RESTAURANT</t>
  </si>
  <si>
    <t>'320252260005902760'</t>
  </si>
  <si>
    <t>73011005225DDC1F4EA497C4284910017
KIMBERLY MEEHAN, NP IN PS 316107142119
NEW YORK
NY
DDC1F4EA497C4284910017</t>
  </si>
  <si>
    <t>18 EAST 41ST ST
14TH FLOOR</t>
  </si>
  <si>
    <t>'320252260016195992'</t>
  </si>
  <si>
    <t>LINKEDIN SN P7560954MOUNTAIN VIEW</t>
  </si>
  <si>
    <t>P756095474  SUBSCRIPTIONS
LINKEDIN SN P756095474
MOUNTAIN VIEW
SUBSCRIPTIONS</t>
  </si>
  <si>
    <t>'320252250972409063'</t>
  </si>
  <si>
    <t>W15639201045854293656
WEGMANS ASTOR PLACE 156 000000156
NEW YORK
NY
5854293656</t>
  </si>
  <si>
    <t>'320252260007587474'</t>
  </si>
  <si>
    <t>CH_3RVO6IAC +12102014187
COVERGIRL.MAXIM.COM
SAN ANTONIO
TX
+12102014187</t>
  </si>
  <si>
    <t>'320252250987175351'</t>
  </si>
  <si>
    <t>24378950358 DGTL CONTENT
FACEBK *META VERIFIED
FB.ME/CC
CA
DGTL CONTENT</t>
  </si>
  <si>
    <t>'320252250990166303'</t>
  </si>
  <si>
    <t>HBjULjM7TLP squareup.com/receipts
THE CLEANERS IO, LLC
NEW YORK
NY
squareup.com/receipts</t>
  </si>
  <si>
    <t>'320252240944190370'</t>
  </si>
  <si>
    <t>511011962   www.adobe.com
ADOBE SYSTEMS Adobe Systems
SAN JOSE
CA
Description : 0 Price : 0.1999
www.adobe.com</t>
  </si>
  <si>
    <t>'320252240951471966'</t>
  </si>
  <si>
    <t>MTK7ZNNHTZA RECORD STORE
APPLE.COM/BILL
INTERNET CHARGE
CA
RECORD STORE</t>
  </si>
  <si>
    <t>'320252230915028928'</t>
  </si>
  <si>
    <t>CH_3RV3BIAC +12102014187
COVERGIRL.MAXIM.COM
SAN ANTONIO
TX
+12102014187</t>
  </si>
  <si>
    <t>'320252240963588473'</t>
  </si>
  <si>
    <t>10181883    8007467287
CVS PHARMACY
NEW YORK
NY
Description : PHARMACIES Price : 0.1078
8007467287</t>
  </si>
  <si>
    <t>'320252240954105901'</t>
  </si>
  <si>
    <t>511012224   ADOBE.LY/ENUS
ILLUSTRATOR Adobe Systems
SAN JOSE
CA
Description : 0 Price : 0.3449
ADOBE.LY/ENUS</t>
  </si>
  <si>
    <t>'320252240951471997'</t>
  </si>
  <si>
    <t>7H6K6S12   FWN2DCNB         10013
Uber Trip
help.uber.com
CA
FWN2DCNB         10013</t>
  </si>
  <si>
    <t>'320252220892970459'</t>
  </si>
  <si>
    <t>EJW0V6AW   H7S7I7XG         10003
Uber Trip
help.uber.com
CA
H7S7I7XG         10003</t>
  </si>
  <si>
    <t>'320252220892770902'</t>
  </si>
  <si>
    <t>3XYSK3EP   DQUK23BR         10003
Uber Trip
help.uber.com
CA
DQUK23BR         10003</t>
  </si>
  <si>
    <t>'320252220893306613'</t>
  </si>
  <si>
    <t>544B8pV9xug squareup.com/receipts
THE CLEANERS IO, LLC
NEW YORK
NY
squareup.com/receipts</t>
  </si>
  <si>
    <t>'320252210862100131'</t>
  </si>
  <si>
    <t>TST* HARRYS - HANOVENEW YORK            NY</t>
  </si>
  <si>
    <t>00111126027 RESTAURANT
TST* HARRYS - HANOVER SQ 00111126
NEW YORK
NY
RESTAURANT</t>
  </si>
  <si>
    <t>1 HANOVER SQ FRNT 1</t>
  </si>
  <si>
    <t>'320252210874373615'</t>
  </si>
  <si>
    <t>21105175222 RESTAURANT
TST* LEONS 00203871
NEW YORK
NY
RESTAURANT</t>
  </si>
  <si>
    <t>'320252220899471867'</t>
  </si>
  <si>
    <t>Q28ABSMF   SOCFUDNF         10012
Uber Trip
help.uber.com
CA
SOCFUDNF         10012</t>
  </si>
  <si>
    <t>'320252210868169803'</t>
  </si>
  <si>
    <t>BKXX5N1Y   UYWE7REU         10004
Uber Trip
help.uber.com
CA
UYWE7REU         10004</t>
  </si>
  <si>
    <t>'320252210868090227'</t>
  </si>
  <si>
    <t>BS* BREAKINGSOUNDNYCWOODLAND HILLS      CA</t>
  </si>
  <si>
    <t>CH_3RTXZIE3 +13237459427
BS* BREAKINGSOUNDNYC B
WOODLAND HILLS
CA
+13237459427</t>
  </si>
  <si>
    <t>16255 VENTURA BLVD
SUITE 1240</t>
  </si>
  <si>
    <t>ENCINO
CA</t>
  </si>
  <si>
    <t>'320252210882794903'</t>
  </si>
  <si>
    <t>CH_3RTXCZAC +12102014187
COVERGIRL.MAXIM.COM
SAN ANTONIO
TX
+12102014187</t>
  </si>
  <si>
    <t>'320252200854408614'</t>
  </si>
  <si>
    <t>DRIP DROP CAFE      Brooklyn            NY</t>
  </si>
  <si>
    <t>hGX6UphhF4X squareup.com/receipts
DRIP DROP CAFE
Brooklyn
NY
squareup.com/receipts</t>
  </si>
  <si>
    <t>'320252200830181513'</t>
  </si>
  <si>
    <t>'150809060001147391'</t>
  </si>
  <si>
    <t>CH_3RTBSDAC +12102014187
COVERGIRL.MAXIM.COM
SAN ANTONIO
TX
+12102014187</t>
  </si>
  <si>
    <t>'320252200851532899'</t>
  </si>
  <si>
    <t>CH_3RTBSFAC +12102014187
COVERGIRL.MAXIM.COM
SAN ANTONIO
TX
+12102014187</t>
  </si>
  <si>
    <t>'320252200851533618'</t>
  </si>
  <si>
    <t>00635168700 877-461-2631
IONOS
www.ionos.com
PA
877-461-2631</t>
  </si>
  <si>
    <t>'320252200845323429'</t>
  </si>
  <si>
    <t>THIRD RAIL COFFEE   New York            NY</t>
  </si>
  <si>
    <t>Db3PdaSAk2G squareup.com/receipts
THIRD RAIL COFFEE
New York
NY
squareup.com/receipts</t>
  </si>
  <si>
    <t>240 SULLIVAN ST</t>
  </si>
  <si>
    <t>'320252190820377283'</t>
  </si>
  <si>
    <t>CH_3RTD9UAC +12102014187
COVERGIRL.MAXIM.COM
SAN ANTONIO
TX
+12102014187</t>
  </si>
  <si>
    <t>'320252190816852290'</t>
  </si>
  <si>
    <t>CH_3RTD9ZAC +12102014187
COVERGIRL.MAXIM.COM
SAN ANTONIO
TX
+12102014187</t>
  </si>
  <si>
    <t>'320252190816855590'</t>
  </si>
  <si>
    <t>FACEBK *WEUTUWURF2  MENLO PARK</t>
  </si>
  <si>
    <t>24246223148 ADVERTISING SERVICE
FACEBK *WEUTUWURF2
MENLO PARK
ADVERTISING SERVICE</t>
  </si>
  <si>
    <t>'320252180777612530'</t>
  </si>
  <si>
    <t>FACEBK *ZP9UTXYRF2  MENLO PARK</t>
  </si>
  <si>
    <t>24354621334 ADVERTISING SERVICE
FACEBK *ZP9UTXYRF2
MENLO PARK
ADVERTISING SERVICE</t>
  </si>
  <si>
    <t>'320252180782616458'</t>
  </si>
  <si>
    <t>31099535218 FAST FOOD RESTAURANT
JUICE GENERATION 19 00-08044345810
NEW YORK
NY
FAST FOOD RESTAURANT</t>
  </si>
  <si>
    <t>'320252190805451440'</t>
  </si>
  <si>
    <t>CH_3RT37EAB +18447338666
LEMONADE INSURANCE
NEW YORK CITY
NY
+18447338666</t>
  </si>
  <si>
    <t>'320252180784139052'</t>
  </si>
  <si>
    <t>036-0266114 HEALTHCARE P
NYU HOSP CTR-MYCHART
NEW YORK
NY
HEALTHCARE P</t>
  </si>
  <si>
    <t>'320252190803802872'</t>
  </si>
  <si>
    <t>RC117749186CABLE SVC
SPECTRUM
855-707-7328
MO
CABLE SVC</t>
  </si>
  <si>
    <t>'320252180782297720'</t>
  </si>
  <si>
    <t>UBER ONE            help.uber.com       CA</t>
  </si>
  <si>
    <t>127ZCMA0    8005928996
UBER ONE
help.uber.com
CA
8005928996</t>
  </si>
  <si>
    <t>1455 MARKET ST</t>
  </si>
  <si>
    <t>'320252180780852173'</t>
  </si>
  <si>
    <t>h6NUgkFnKlg squareup.com/receipts
DRIP DROP CAFE
New York
NY
squareup.com/receipts</t>
  </si>
  <si>
    <t>'320252170746516638'</t>
  </si>
  <si>
    <t>GRUBHUB*PRANAKHON   NEW YORK            NY</t>
  </si>
  <si>
    <t>JA46SGY4    8775851085
GRUBHUB*PRANAKHON
NEW YORK
NY
8775851085</t>
  </si>
  <si>
    <t>'320252180788755245'</t>
  </si>
  <si>
    <t>5cCrJSGBUYS squareup.com/receipts
THE CLEANERS IO, LLC
NEW YORK
NY
squareup.com/receipts</t>
  </si>
  <si>
    <t>'320252170746532032'</t>
  </si>
  <si>
    <t>Z72F8ZU69XRZ72F8ZU69XR2     98052
A1010BUSD01
MSBILL.INFO
Z72F8ZU69XR2     98052</t>
  </si>
  <si>
    <t>'320252160739491960'</t>
  </si>
  <si>
    <t>Z72Z90082P4Z72Z90082P4R     98052
A1010BUSD01
MSBILL.INFO
Z72Z90082P4R     98052</t>
  </si>
  <si>
    <t>'320252160739493348'</t>
  </si>
  <si>
    <t>Z7328YJEV65Z7328YJEV651     98052
A1010BUSD01
MSBILL.INFO
Z7328YJEV651     98052</t>
  </si>
  <si>
    <t>'320252160739489244'</t>
  </si>
  <si>
    <t>Z73B902CM10Z73B902CM10M     98052
A1010BUSD01
MSBILL.INFO
Z73B902CM10M     98052</t>
  </si>
  <si>
    <t>'320252160739505582'</t>
  </si>
  <si>
    <t>Z737902WNSDZ737902WNSDK     98052
A1010BUSD01
MSBILL.INFO
Z737902WNSDK     98052</t>
  </si>
  <si>
    <t>'320252160739518975'</t>
  </si>
  <si>
    <t>Z72X8ZMCQC1Z72X8ZMCQC1T     98052
A1010BUSD01
REDMOND
Z72X8ZMCQC1T     98052</t>
  </si>
  <si>
    <t>'320252160739511434'</t>
  </si>
  <si>
    <t>CH_3RSSN2E3 +13237459427
BS* BREAKINGSOUNDNYC B
WOODLAND HILLS
CA
+13237459427</t>
  </si>
  <si>
    <t>'320252160743221701'</t>
  </si>
  <si>
    <t>88V3BVWK    4152302377
BT*CLV*VECTORMAGIC
EXCELSIOR
CA
4152302377</t>
  </si>
  <si>
    <t>'320252160725587605'</t>
  </si>
  <si>
    <t>FACEBK *K6WNQ25SF2  MENLO PARK</t>
  </si>
  <si>
    <t>24679094321 ADVERTISING SERVICE
FACEBK *K6WNQ25SF2
MENLO PARK
ADVERTISING SERVICE</t>
  </si>
  <si>
    <t>'320252170766337347'</t>
  </si>
  <si>
    <t>31099535216 FAST FOOD RESTAURANT
JUICE GENERATION 19 00-08044345810
NEW YORK
NY
FAST FOOD RESTAURANT</t>
  </si>
  <si>
    <t>'320252170755016808'</t>
  </si>
  <si>
    <t>73011005216 ANDY@KALL8.COM
KALL8 000895900006429
SEATTLE
WA
ANDY@KALL8.COM</t>
  </si>
  <si>
    <t>'320252170763332463'</t>
  </si>
  <si>
    <t>W15608700185854293656
WEGMANS ASTOR PLACE 156 000000156
NEW YORK
NY
5854293656</t>
  </si>
  <si>
    <t>'320252170756211085'</t>
  </si>
  <si>
    <t>'320252160726605026'</t>
  </si>
  <si>
    <t>31099535215 FAST FOOD RESTAURANT
JUICE GENERATION 19 00-08044345810
NEW YORK
NY
FAST FOOD RESTAURANT</t>
  </si>
  <si>
    <t>'320252160726923006'</t>
  </si>
  <si>
    <t>PETCO 3741 0374     NEW YORK            NY</t>
  </si>
  <si>
    <t>35000099    858-453-7845
PETCO 3741 0374
NEW YORK
NY
Description : PETS/SUPPLIES/ACC Price : 0.00
858-453-7845</t>
  </si>
  <si>
    <t>'320252160731444452'</t>
  </si>
  <si>
    <t>SEPHORA             NEW YORK            NY</t>
  </si>
  <si>
    <t>03980005017 COSMETIC STORE
SEPHORA
NEW YORK
NY
COSMETIC STORE</t>
  </si>
  <si>
    <t>45 EAST 17TH ST</t>
  </si>
  <si>
    <t>10003-2004</t>
  </si>
  <si>
    <t>'320252160727160074'</t>
  </si>
  <si>
    <t>MTK7YG14HWA RECORD STORE
APPLE.COM/BILL
INTERNET CHARGE
CA
RECORD STORE</t>
  </si>
  <si>
    <t>'320252150693728772'</t>
  </si>
  <si>
    <t>CH_3RRSSYDR +12122222222
PIRATE.COM
WILMINGTON
DE
+12122222222</t>
  </si>
  <si>
    <t>'320252150707514084'</t>
  </si>
  <si>
    <t>1YGVZPUN5W1 WEB SERVICES
Amazon Web Services
AWS.Amazon.com
WA
WEB SERVICES</t>
  </si>
  <si>
    <t>'320252130632722010'</t>
  </si>
  <si>
    <t>CH_3RRREHAC +12102014187
COVERGIRL.MAXIM.COM
SAN ANTONIO
TX
+12102014187</t>
  </si>
  <si>
    <t>'320252140687402028'</t>
  </si>
  <si>
    <t>CH_3RRRBSAC +12102014187
COVERGIRL.MAXIM.COM
SAN ANTONIO
TX
+12102014187</t>
  </si>
  <si>
    <t>'320252140687393532'</t>
  </si>
  <si>
    <t>31099535213 FAST FOOD RESTAURANT
JUICE GENERATION 19 00-08044345810
NEW YORK
NY
FAST FOOD RESTAURANT</t>
  </si>
  <si>
    <t>'320252140671973498'</t>
  </si>
  <si>
    <t>PZhG14JeRa5 squareup.com/receipts
THE CLEANERS IO, LLC
NEW YORK
NY
squareup.com/receipts</t>
  </si>
  <si>
    <t>'320252130633922608'</t>
  </si>
  <si>
    <t>W15608400785854293656
WEGMANS ASTOR PLACE 156 000000156
NEW YORK
NY
5854293656</t>
  </si>
  <si>
    <t>'320252140676862883'</t>
  </si>
  <si>
    <t>40500214    212-929-4226
ARISTON CAFE 0000
NEW YORK
NY
Description : FAST FOOD RESTAURAN Price : 0.00
212-929-4226</t>
  </si>
  <si>
    <t>'320252130650979065'</t>
  </si>
  <si>
    <t>GROOVER.CO          MEZIDON VALLEE DAUGEEU</t>
  </si>
  <si>
    <t>CH_3RQJMYIE +33607652260
GROOVER.CO
MEZIDON VALLEE DAUGE
EU
+33607652260Foreign Spend Amount: 24.00 EURO Commission Amount:  Currency Exchange Rate: null</t>
  </si>
  <si>
    <t>LES COUDRETTES - LE MESNIL-MAUGER
MEZIDON VALLEE D'AUGE</t>
  </si>
  <si>
    <t>'320252120623340262'</t>
  </si>
  <si>
    <t>FOTOLAB STUDIO      New York            NY</t>
  </si>
  <si>
    <t>Xpb2aNh6JeF squareup.com/receipts
FOTOLAB STUDIO
New York
NY
squareup.com/receipts</t>
  </si>
  <si>
    <t>227 WEST 29TH ST</t>
  </si>
  <si>
    <t>'320252110596940684'</t>
  </si>
  <si>
    <t>31099535211 FAST FOOD RESTAURANT
JUICE GENERATION 19 00-08044345810
NEW YORK
NY
FAST FOOD RESTAURANT</t>
  </si>
  <si>
    <t>'320252120611381339'</t>
  </si>
  <si>
    <t>CH_3RQEYIAC +12102014187
COVERGIRL.MAXIM.COM
SAN ANTONIO
TX
+12102014187</t>
  </si>
  <si>
    <t>'320252100550460986'</t>
  </si>
  <si>
    <t>AMERICAN MUSEUM OF NNEW YORK            NY</t>
  </si>
  <si>
    <t>######Devkt CHARITABLE ORG
AMERICAN MUSEUM OF NATURAL HISTORY
NEW YORK
NY
CHARITABLE ORG</t>
  </si>
  <si>
    <t>CENTRAL PARK 79TH ST</t>
  </si>
  <si>
    <t>'320252090545327945'</t>
  </si>
  <si>
    <t>NOTASBITTER.COM     NEW YORK            NY</t>
  </si>
  <si>
    <t>CH_3RPWJSQ6 +16469393129
NOTASBITTER.COM
NEW YORK
NY
+16469393129</t>
  </si>
  <si>
    <t>241 EAST 10TH ST</t>
  </si>
  <si>
    <t>'320252100552406326'</t>
  </si>
  <si>
    <t>TST* SAGA 00037857  NEW YORK            NY</t>
  </si>
  <si>
    <t>21105175210 RESTAURANT
TST* SAGA 00037857
NEW YORK
NY
RESTAURANT</t>
  </si>
  <si>
    <t>70 PNE ST 10TH
FL</t>
  </si>
  <si>
    <t>'320252100560316007'</t>
  </si>
  <si>
    <t>00837861339 LOCAL TRANSPORTATION
NYCT PAYGO
NEW YORK
NY
LOCAL TRANSPORTATION</t>
  </si>
  <si>
    <t>'320252090532373090'</t>
  </si>
  <si>
    <t>00837878161 LOCAL TRANSPORTATION
NYCT PAYGO
NEW YORK
NY
LOCAL TRANSPORTATION</t>
  </si>
  <si>
    <t>'320252090532468912'</t>
  </si>
  <si>
    <t>'320252080491579084'</t>
  </si>
  <si>
    <t>TST* TORIEN 00053129NEW YORK            NY</t>
  </si>
  <si>
    <t>21105175209 RESTAURANT
TST* TORIEN 00053129
NEW YORK
NY
RESTAURANT</t>
  </si>
  <si>
    <t>292 ELIZABETH ST</t>
  </si>
  <si>
    <t>'320252090529851970'</t>
  </si>
  <si>
    <t>% ARABICA NOLITA    New York            NY</t>
  </si>
  <si>
    <t>L7zKnSAsi3M squareup.com/receipts
% ARABICA NOLITA
New York
NY
squareup.com/receipts</t>
  </si>
  <si>
    <t>8 PRINCE ST</t>
  </si>
  <si>
    <t>'320252070470510685'</t>
  </si>
  <si>
    <t>CH_3RPIKE4Y +18009799850
CALENDLY
AVONDALE ESTATES
GA
+18009799850</t>
  </si>
  <si>
    <t>'320252080505392311'</t>
  </si>
  <si>
    <t>CH_3RPKHZAC +12102014187
COVERGIRL.MAXIM.COM
SAN ANTONIO
TX
+12102014187</t>
  </si>
  <si>
    <t>'320252080508382382'</t>
  </si>
  <si>
    <t>31099535207 FAST FOOD RESTAURANT
JUICE GENERATION 19 00-08044345810
NEW YORK
NY
FAST FOOD RESTAURANT</t>
  </si>
  <si>
    <t>'320252080502102951'</t>
  </si>
  <si>
    <t>PIXLR PTE LTD       SINGAPORE           SG</t>
  </si>
  <si>
    <t>######cMfp1 DIGITAL GOODS: MEDIA
PIXLR PTE LTD
SINGAPORE
SG
DIGITAL GOODS: MEDIA</t>
  </si>
  <si>
    <t>"11 COLLYER QUAY, #17-00, THE ARCADE"
SINGAPORE</t>
  </si>
  <si>
    <t>049317</t>
  </si>
  <si>
    <t>'320252070485143501'</t>
  </si>
  <si>
    <t>H9DH0XW1aFu squareup.com/receipts
THE CLEANERS IO, LLC
NEW YORK
NY
squareup.com/receipts</t>
  </si>
  <si>
    <t>'320252070470700101'</t>
  </si>
  <si>
    <t>W15640100035854293656
WEGMANS ASTOR PLACE 156 000000156
NEW YORK
NY
5854293656</t>
  </si>
  <si>
    <t>'320252080506591609'</t>
  </si>
  <si>
    <t>CH_3ROW7DAC +12102014187
COVERGIRL.MAXIM.COM
SAN ANTONIO
TX
+12102014187</t>
  </si>
  <si>
    <t>'320252070485815540'</t>
  </si>
  <si>
    <t>P-039436957 SUBSRIPTION
D J*WSJ
800-568-7625
NJ
SUBSRIPTION</t>
  </si>
  <si>
    <t>'320252070482392582'</t>
  </si>
  <si>
    <t>31099535206 FAST FOOD RESTAURANT
JUICE GENERATION 19 00-08044345810
NEW YORK
NY
FAST FOOD RESTAURANT</t>
  </si>
  <si>
    <t>'320252070479439084'</t>
  </si>
  <si>
    <t>SPAIN SPAIN         -                   ES</t>
  </si>
  <si>
    <t>72020500-20 SPAIN
SPAIN SPAIN
-
ES
SPAINForeign Spend Amount: 6.50 EURO Commission Amount:  Currency Exchange Rate: null</t>
  </si>
  <si>
    <t>CAMINO VIEJO LLUCMAJOR 106
PALMA DE MALLORCA</t>
  </si>
  <si>
    <t>07007</t>
  </si>
  <si>
    <t>'320252050408958573'</t>
  </si>
  <si>
    <t>GETYOURGUIDE TICKETSBERLIN              DE</t>
  </si>
  <si>
    <t>######TpExa TOURIST ATTRACTION
GETYOURGUIDE TICKETS
BERLIN
DE
TOURIST ATTRACTIONForeign Spend Amount: 32.00 EURO Commission Amount:  Currency Exchange Rate: null</t>
  </si>
  <si>
    <t>SONNENBURGER STRASSE 73
BERLIN</t>
  </si>
  <si>
    <t>GERMANY</t>
  </si>
  <si>
    <t>'320252030359272490'</t>
  </si>
  <si>
    <t>Travel-Travel Agencies</t>
  </si>
  <si>
    <t>######TpDAI TOURIST ATTRACTION
GETYOURGUIDE TICKETS
BERLIN
DE
TOURIST ATTRACTIONForeign Spend Amount: 32.00 EURO Commission Amount:  Currency Exchange Rate: null</t>
  </si>
  <si>
    <t>'320252030357311602'</t>
  </si>
  <si>
    <t>######TpDvl TOURIST ATTRACTION
GETYOURGUIDE TICKETS
BERLIN
DE
TOURIST ATTRACTIONForeign Spend Amount: 32.00 EURO Commission Amount:  Currency Exchange Rate: null</t>
  </si>
  <si>
    <t>'320252030358414503'</t>
  </si>
  <si>
    <t>SOUVENIRS BONILLA 36SEVILLA             ES</t>
  </si>
  <si>
    <t>004439      CARD &amp; SOUVENIR STORE
SOUVENIRS BONILLA 364749838
SEVILLA
ES
CARD &amp; SOUVENIR STOREForeign Spend Amount: 38.00 EURO Commission Amount:  Currency Exchange Rate: null</t>
  </si>
  <si>
    <t>PJE DE ANDREU 0006
SEVILLA</t>
  </si>
  <si>
    <t>'320252040400244396'</t>
  </si>
  <si>
    <t>ZUNZUN SEVILLA 33706SEVILLA             ES</t>
  </si>
  <si>
    <t>034171      CARD &amp; SOUVENIR STORE
ZUNZUN SEVILLA 337067557
SEVILLA
ES
CARD &amp; SOUVENIR STOREForeign Spend Amount: 49.90 EURO Commission Amount:  Currency Exchange Rate: null</t>
  </si>
  <si>
    <t>C XIMENEZ DE ENCISO 5 LOCAL 1
SEVILLA</t>
  </si>
  <si>
    <t>'320252040400243384'</t>
  </si>
  <si>
    <t>CANVA* I04584-809472CAMDEN              DE</t>
  </si>
  <si>
    <t>CH_2RNRIAK8 +17372853388
CANVA* I04584-80947289
CAMDEN
DE
+17372853388</t>
  </si>
  <si>
    <t>'320252020350017720'</t>
  </si>
  <si>
    <t>CH_3RNNN5AC +12102014187
COVERGIRL.MAXIM.COM
SAN ANTONIO
TX
+12102014187Foreign Spend Amount: 8.89 EURO Commission Amount:  Currency Exchange Rate: null</t>
  </si>
  <si>
    <t>'320252020330757935'</t>
  </si>
  <si>
    <t>WIX.COM 1189569563  SAN FRANCISCO       CA</t>
  </si>
  <si>
    <t>CH_3RNV3HAA +14154494724
WIX.COM 1189569563
SAN FRANCISCO
CA
+14154494724</t>
  </si>
  <si>
    <t>'320252030370160089'</t>
  </si>
  <si>
    <t>CH_3RMYPXCF 3235775423
SPLICE.COM
NEW YORK
NY
3235775423</t>
  </si>
  <si>
    <t>'320252010303888447'</t>
  </si>
  <si>
    <t>CH_3RMBY1AC +12102014187
COVERGIRL.MAXIM.COM
SAN ANTONIO
TX
+12102014187Foreign Spend Amount: 8.94 EURO Commission Amount:  Currency Exchange Rate: null</t>
  </si>
  <si>
    <t>'320252000279290394'</t>
  </si>
  <si>
    <t>ABANTAL RESTAURANTE SEVILLA             ES</t>
  </si>
  <si>
    <t>269146      RESTAURANT
ABANTAL RESTAURANTE 351790357
SEVILLA
ES
RESTAURANTForeign Spend Amount: 271.83 EURO Commission Amount:  Currency Exchange Rate: null</t>
  </si>
  <si>
    <t>"ALCALDE JOSE DE LA BANDERA, 7"
SEVILLA</t>
  </si>
  <si>
    <t>'320251980237084982'</t>
  </si>
  <si>
    <t>CH_3RLUU2AC +12102014187
COVERGIRL.MAXIM.COM
SAN ANTONIO
TX
+12102014187</t>
  </si>
  <si>
    <t>'320251980236945060'</t>
  </si>
  <si>
    <t>00004437    DEPARTMENT STORE
EL CORTE INGLES-DEPARTAM. 000678052
MADRID
ES
DEPARTMENT STOREForeign Spend Amount: 34.59 EURO Commission Amount:  Currency Exchange Rate: null</t>
  </si>
  <si>
    <t>'320251980236725191'</t>
  </si>
  <si>
    <t>00003483    DEPARTMENT STORE
EL CORTE INGLES-DEPARTAM. 000678052
MADRID
ES
DEPARTMENT STOREForeign Spend Amount: 73.00 EURO Commission Amount:  Currency Exchange Rate: null</t>
  </si>
  <si>
    <t>'320251980236725270'</t>
  </si>
  <si>
    <t>EL CORTE INGLES-SUPESEVILLA             ES</t>
  </si>
  <si>
    <t>00008515    GROCERY STORE
EL CORTE INGLES-SUPERMERC 063302202
SEVILLA
ES
GROCERY STOREForeign Spend Amount: 54.40 EURO Commission Amount:  Currency Exchange Rate: null</t>
  </si>
  <si>
    <t>PZ DUQUE DE LA VICTORIA 7
SEVILLA</t>
  </si>
  <si>
    <t>'320251980236724741'</t>
  </si>
  <si>
    <t>SIMORRA SEVILLA 0308SEVILLA             ES</t>
  </si>
  <si>
    <t>7460        FAMILY CLOTHING
SIMORRA SEVILLA 030897102
SEVILLA
ES
FAMILY CLOTHINGForeign Spend Amount: 168.00 EURO Commission Amount:  Currency Exchange Rate: null</t>
  </si>
  <si>
    <t>RIOJA 25
SEVILLA</t>
  </si>
  <si>
    <t>'320251980236727576'</t>
  </si>
  <si>
    <t>3CPAYMENT*STARBUCKS MADRID              ES</t>
  </si>
  <si>
    <t>00088507542 X
3CPAYMENT*STARBUCKS 40426 AV CONSTITUC
MADRID
ES
XForeign Spend Amount: 9.51 EURO Commission Amount:  Currency Exchange Rate: null</t>
  </si>
  <si>
    <t>"AV. CONSTITUCION, 11"
SEVILLA</t>
  </si>
  <si>
    <t>'320251980226492429'</t>
  </si>
  <si>
    <t>00008040    DEPARTMENT STORE
EL CORTE INGLES-DEPARTAM. 000678052
MADRID
ES
DEPARTMENT STOREForeign Spend Amount: 18.89 EURO Commission Amount:  Currency Exchange Rate: null</t>
  </si>
  <si>
    <t>'320251970208036204'</t>
  </si>
  <si>
    <t>00008592    DEPARTMENT STORE
EL CORTE INGLES-DEPARTAM. 000678052
MADRID
ES
DEPARTMENT STOREForeign Spend Amount: 378.00 EURO Commission Amount:  Currency Exchange Rate: null</t>
  </si>
  <si>
    <t>'320251970208035989'</t>
  </si>
  <si>
    <t>MODELMANAGEMENT.COM BARCELONA           BA</t>
  </si>
  <si>
    <t>CH_3RLWO226 +34933180467
MODELMANAGEMENT.COM
BARCELONA
BA
+34933180467Foreign Spend Amount: 99.00 EURO Commission Amount:  Currency Exchange Rate: null</t>
  </si>
  <si>
    <t>"TALENT GARDEN BARCELONA, CARRER DE RAMON"
BARCELONA</t>
  </si>
  <si>
    <t>08005</t>
  </si>
  <si>
    <t>'320251970190488327'</t>
  </si>
  <si>
    <t>CH_3RLYQ5CF 3235775423
SPLICE.COM
NEW YORK
NY
3235775423</t>
  </si>
  <si>
    <t>'320251970188666049'</t>
  </si>
  <si>
    <t>129020125698007826724
USPS PO BOXES ONLINE 660247000
800-344-7779
DC
8007826724</t>
  </si>
  <si>
    <t>'320251980229568298'</t>
  </si>
  <si>
    <t>MTK7X9XT3DA RECORD STORE
APPLE.COM/BILL
INTERNET CHARGE
CA
RECORD STORE</t>
  </si>
  <si>
    <t>'320251960158884722'</t>
  </si>
  <si>
    <t>SOBRETABLAS 35650678SEVILLA             ES</t>
  </si>
  <si>
    <t>2474        RESTAURANT
SOBRETABLAS 356506782
SEVILLA
ES
RESTAURANTForeign Spend Amount: 650.00 EURO Commission Amount:  Currency Exchange Rate: null</t>
  </si>
  <si>
    <t>C. COLOMBIA 0007
SEVILLA</t>
  </si>
  <si>
    <t>'320251960179372450'</t>
  </si>
  <si>
    <t>ESQUIMOSUR          SEVILLA             SE</t>
  </si>
  <si>
    <t>CH_3RKLUDBY +34681948360
ESQUIMOSUR
SEVILLA
SE
+34681948360Foreign Spend Amount: 70.00 EURO Commission Amount:  Currency Exchange Rate: null</t>
  </si>
  <si>
    <t>CALLE CUNA 15
SEVILLA</t>
  </si>
  <si>
    <t>'320251950133922181'</t>
  </si>
  <si>
    <t>######TYAMB TOURIST ATTRACTION
GETYOURGUIDE TICKETS
BERLIN
DE
TOURIST ATTRACTIONForeign Spend Amount: 141.00 EURO Commission Amount:  Currency Exchange Rate: null</t>
  </si>
  <si>
    <t>'320251950131785601'</t>
  </si>
  <si>
    <t>L OCA GIULIVA OSTERISEVILLA             ES</t>
  </si>
  <si>
    <t>12622       RESTAURANT
L OCA GIULIVA OSTERIA 025985888
SEVILLA
ES
RESTAURANTForeign Spend Amount: 9.90 EURO Commission Amount:  Currency Exchange Rate: null</t>
  </si>
  <si>
    <t>MATEOS GAGO 9
SEVILLA</t>
  </si>
  <si>
    <t>'320251950150359974'</t>
  </si>
  <si>
    <t>######DzL6Q INSURANCE SALES
LEMONADE INSURANCE COMPANY
NEW YORK
NY
INSURANCE SALES</t>
  </si>
  <si>
    <t>'320251950152623056'</t>
  </si>
  <si>
    <t>330T6A01503 SUPPORT@PATREON.COM
PATREON* MEMBERSHIP 523885
SAN FRANCISCO
CA
SUPPORT@PATREON.COM</t>
  </si>
  <si>
    <t>'320251950131466794'</t>
  </si>
  <si>
    <t>SEVILLA SHOP FRANCOSSEVILLA             ES</t>
  </si>
  <si>
    <t>18706       CARD &amp; SOUVENIR STORE
SEVILLA SHOP FRANCOS 39 362727356
SEVILLA
ES
CARD &amp; SOUVENIR STOREForeign Spend Amount: 7.95 EURO Commission Amount:  Currency Exchange Rate: null</t>
  </si>
  <si>
    <t>C. FRANCOS 0039
SEVILLA</t>
  </si>
  <si>
    <t>'320251950150359643'</t>
  </si>
  <si>
    <t>LINKEDIN SN P7023466MOUNTAIN VIEW</t>
  </si>
  <si>
    <t>P702346654  SUBSCRIPTIONS
LINKEDIN SN P702346654
MOUNTAIN VIEW
SUBSCRIPTIONS</t>
  </si>
  <si>
    <t>'320251940106995384'</t>
  </si>
  <si>
    <t>VIATOR              LONDON              GB</t>
  </si>
  <si>
    <t>1669470599  447776075114
VIATOR
LONDON
GB
447776075114</t>
  </si>
  <si>
    <t>7 SOHO SQUARE</t>
  </si>
  <si>
    <t>LONDON
ENG</t>
  </si>
  <si>
    <t>W1D 3QB</t>
  </si>
  <si>
    <t>'320251940107540408'</t>
  </si>
  <si>
    <t>24066403183 DGTL CONTENT
FACEBK *META VERIFIED
FB.ME/CC
CA
DGTL CONTENT</t>
  </si>
  <si>
    <t>'320251940121793170'</t>
  </si>
  <si>
    <t>594739176   www.adobe.com
ADOBE SYSTEMS Adobe Systems
SAN JOSE
CA
Description : 0 Price : 0.1999
www.adobe.com</t>
  </si>
  <si>
    <t>'320251930085688296'</t>
  </si>
  <si>
    <t>MTK7WZVL58A RECORD STORE
APPLE.COM/BILL
INTERNET CHARGE
CA
RECORD STORE</t>
  </si>
  <si>
    <t>'320251920046021697'</t>
  </si>
  <si>
    <t>594739451   ADOBE.LY/ENUS
ILLUSTRATOR Adobe Systems
SAN JOSE
CA
Description : 0 Price : 0.3449
ADOBE.LY/ENUS</t>
  </si>
  <si>
    <t>'320251930086741412'</t>
  </si>
  <si>
    <t>SOBRETABLA          SEVILLA             ES</t>
  </si>
  <si>
    <t>######Qvi0R DIGITAL GOODS: APPS
SOBRETABLA
SEVILLA
ES
DIGITAL GOODS: APPSForeign Spend Amount: 50.00 EURO Commission Amount:  Currency Exchange Rate: null</t>
  </si>
  <si>
    <t>CALLE COLOMBIA 7
SEVILLA</t>
  </si>
  <si>
    <t>'320251920047335044'</t>
  </si>
  <si>
    <t>128976433438007826724
USPS PO BOXES ONLINE 660247000
800-344-7779
DC
8007826724</t>
  </si>
  <si>
    <t>'320251910038771883'</t>
  </si>
  <si>
    <t>1652526289  447776075114
VIATOR
LONDON
GB
447776075114</t>
  </si>
  <si>
    <t>'320251910016436208'</t>
  </si>
  <si>
    <t>RESTAURANTE ALMANSA SEVILLA             ES</t>
  </si>
  <si>
    <t>4095        RESTAURANT
RESTAURANTE ALMANSA 362459208
SEVILLA
ES
RESTAURANTForeign Spend Amount: 425.00 EURO Commission Amount:  Currency Exchange Rate: null</t>
  </si>
  <si>
    <t>C. ALBAREDA 0013
SEVILLA</t>
  </si>
  <si>
    <t>'320251900008506469'</t>
  </si>
  <si>
    <t>WORLD DUTY FREE GROUMADRID              ES</t>
  </si>
  <si>
    <t>######bwqx2 FAST FOOD RESTAURANT
WORLD DUTY FREE GROUP SAU
MADRID
ES
FAST FOOD RESTAURANTForeign Spend Amount: 20.75 EURO Commission Amount:  Currency Exchange Rate: null</t>
  </si>
  <si>
    <t>AEROPUERTO JOSEP TARRADELLES - EL PRAT
EL PRAT DE LLOBREGAT</t>
  </si>
  <si>
    <t>'320251900993422126'</t>
  </si>
  <si>
    <t>MTK7VTXZ5SA RECORD STORE
APPLE.COM/BILL
INTERNET CHARGE
CA
RECORD STORE</t>
  </si>
  <si>
    <t>'320251890964603414'</t>
  </si>
  <si>
    <t>00000957    DEPARTMENT STORE
EL CORTE INGLES PLAZA DE CATALUA 00067
BARCELONA
ES
DEPARTMENT STOREForeign Spend Amount: 340.90 EURO Commission Amount:  Currency Exchange Rate: null</t>
  </si>
  <si>
    <t>'320251890982479538'</t>
  </si>
  <si>
    <t>'150709060000499911'</t>
  </si>
  <si>
    <t>QUIRAT              BARCELONA           BA</t>
  </si>
  <si>
    <t>CH_3RIIMNG7 +34918362213
QUIRAT
BARCELONA
BA
+34918362213Foreign Spend Amount: 220.00 EURO Commission Amount:  Currency Exchange Rate: null</t>
  </si>
  <si>
    <t>PSO DE LA CASTELLANA 81 8A
MADRID</t>
  </si>
  <si>
    <t>'320251890959110778'</t>
  </si>
  <si>
    <t>'320251893957388307'</t>
  </si>
  <si>
    <t>00612362104 877-461-2631
IONOS
www.ionos.com
PA
877-461-2631</t>
  </si>
  <si>
    <t>'320251890975840919'</t>
  </si>
  <si>
    <t>TIQETS INC          PHILADELPHIA        PA</t>
  </si>
  <si>
    <t>######R030S TRAVEL AGENCY
TIQETS INC
PHILADELPHIA
PA
TRAVEL AGENCYForeign Spend Amount: 228.00 EURO Commission Amount:  Currency Exchange Rate: null</t>
  </si>
  <si>
    <t>JAMES WATTSTRAAT 100
AMSTERDAM</t>
  </si>
  <si>
    <t>1097 DM</t>
  </si>
  <si>
    <t>'320251880948712932'</t>
  </si>
  <si>
    <t>FACEBK *MDUP8VQRF2  MENLO PARK</t>
  </si>
  <si>
    <t>24064032949 ADVERTISING SERVICE
FACEBK *MDUP8VQRF2
MENLO PARK
ADVERTISING SERVICE</t>
  </si>
  <si>
    <t>'320251870914725260'</t>
  </si>
  <si>
    <t>######DlumY INSURANCE SALES
LEMONADE INSURANCE COMPANY
NEW YORK
NY
INSURANCE SALES</t>
  </si>
  <si>
    <t>'320251870906055261'</t>
  </si>
  <si>
    <t>036-0261221 HEALTHCARE P
NYU HOSP CTR-MYCHART
NEW YORK
NY
HEALTHCARE P</t>
  </si>
  <si>
    <t>'320251880938189924'</t>
  </si>
  <si>
    <t>'320251870904516558'</t>
  </si>
  <si>
    <t>RC148688802CABLE SVC
SPECTRUM
855-707-7328
MO
CABLE SVC</t>
  </si>
  <si>
    <t>'320251870913592012'</t>
  </si>
  <si>
    <t>40300101    212-929-4226
ARISTON CAFE 0000
NEW YORK
NY
Description : FAST FOOD RESTAURAN Price : 0.00
212-929-4226</t>
  </si>
  <si>
    <t>'320251870920008835'</t>
  </si>
  <si>
    <t>99999995187 8002892273
DUANE READE #14468 000014468
NEW YORK
NY
Description : PHARMACIES Price : 0.3946
8002892273</t>
  </si>
  <si>
    <t>'320251870922218031'</t>
  </si>
  <si>
    <t>706001115  705201115        11430
NEWS DEALERS/NEWSSTANDS
HUDSONNEWS  ST1176 1176
JAMAICA
NY
NEWS DEALERS/NEWSSTANDS
705201115        11430</t>
  </si>
  <si>
    <t>'320251870920919933'</t>
  </si>
  <si>
    <t>HUDSONNEWS  ST1177 1JAMAICA             NY</t>
  </si>
  <si>
    <t>706000342  705200342        11430
NEWS DEALERS/NEWSSTANDS
HUDSONNEWS  ST1177 1177
JAMAICA
NY
NEWS DEALERS/NEWSSTANDS
705200342        11430</t>
  </si>
  <si>
    <t>'320251870923093990'</t>
  </si>
  <si>
    <t>HUDSONNEWS  ST1178 1JAMAICA             NY</t>
  </si>
  <si>
    <t>705234018  705194018        11430
NEWS DEALERS/NEWSSTANDS
HUDSONNEWS  ST1178 1178
JAMAICA
NY
NEWS DEALERS/NEWSSTANDS
705194018        11430</t>
  </si>
  <si>
    <t>'320251870923055374'</t>
  </si>
  <si>
    <t>HUDSONNEWS  ST1182 1JAMAICA             NY</t>
  </si>
  <si>
    <t>706003152  705203152        11430
NEWS DEALERS/NEWSSTANDS
HUDSONNEWS  ST1182 1182
JAMAICA
NY
NEWS DEALERS/NEWSSTANDS
705203152        11430</t>
  </si>
  <si>
    <t>'320251870920953987'</t>
  </si>
  <si>
    <t>31099535186 FAST FOOD RESTAURANT
JUICE GENERATION 19 00-08044345810
NEW YORK
NY
FAST FOOD RESTAURANT</t>
  </si>
  <si>
    <t>'320251870915279416'</t>
  </si>
  <si>
    <t>MORTON WILLIAMS - TANEW YORK            NY</t>
  </si>
  <si>
    <t>000041312   2123589597
MORTON WILLIAMS - TAN 000000000579387
NEW YORK
NY
2123589597</t>
  </si>
  <si>
    <t>130 BLEECKER ST</t>
  </si>
  <si>
    <t>'320251870924877463'</t>
  </si>
  <si>
    <t>REA1AVvdxB5 squareup.com/receipts
THE CLEANERS IO, LLC
NEW YORK
NY
squareup.com/receipts</t>
  </si>
  <si>
    <t>'320251860890549994'</t>
  </si>
  <si>
    <t>Z730718C528Z730718C528R     98052
A1010BUSD01
MSBILL.INFO
Z730718C528R     98052</t>
  </si>
  <si>
    <t>'320251850878497776'</t>
  </si>
  <si>
    <t>Z72T717RZ4HZ72T717RZ4HH     98052
A1010BUSD01
MSBILL.INFO
Z72T717RZ4HH     98052</t>
  </si>
  <si>
    <t>'320251850878496646'</t>
  </si>
  <si>
    <t>Z728737J78TZ728737J78TQ     98052
A1010BUSD01
MSBILL.INFO
Z728737J78TQ     98052</t>
  </si>
  <si>
    <t>'320251850878492236'</t>
  </si>
  <si>
    <t>Z72U72B6N1NZ72U72B6N1NP     98052
A1010BUSD01
MSBILL.INFO
Z72U72B6N1NP     98052</t>
  </si>
  <si>
    <t>'320251850878542222'</t>
  </si>
  <si>
    <t>Z72H717XLCOZ72H717XLCOC     98052
A1010BUSD01
MSBILL.INFO
Z72H717XLCOC     98052</t>
  </si>
  <si>
    <t>'320251850878551775'</t>
  </si>
  <si>
    <t>Z72W73A57MWZ72W73A57MW9     98052
A1010BUSD01
REDMOND
Z72W73A57MW9     98052</t>
  </si>
  <si>
    <t>'320251850878545385'</t>
  </si>
  <si>
    <t>H46RZD8W    4152302377
BT*CLV*VECTORMAGIC
EXCELSIOR
CA
4152302377</t>
  </si>
  <si>
    <t>'320251850863033190'</t>
  </si>
  <si>
    <t>10189461    8007467287
CVS PHARMACY
NEW YORK
NY
Description : PHARMACIES Price : 0.6837
8007467287</t>
  </si>
  <si>
    <t>'320251860897627690'</t>
  </si>
  <si>
    <t>ELECTRONIC ARTS INC.REDWOOD CITY        CA</t>
  </si>
  <si>
    <t>######7xfgV DIGITAL GOODS: GAMES
ELECTRONIC ARTS INC.
REDWOOD CITY
CA
DIGITAL GOODS: GAMES</t>
  </si>
  <si>
    <t>209 REDWOOD SHRS PKWY</t>
  </si>
  <si>
    <t>REDWOOD CITY
CA</t>
  </si>
  <si>
    <t>'320251850860075331'</t>
  </si>
  <si>
    <t>ENLY                New York            NY</t>
  </si>
  <si>
    <t>pYq8ki9OLsO squareup.com/receipts
ENLY
New York
NY
squareup.com/receipts</t>
  </si>
  <si>
    <t>227 MOTT ST</t>
  </si>
  <si>
    <t>'320251850862055589'</t>
  </si>
  <si>
    <t>73011005185 ANDY@KALL8.COM
KALL8 000895900006429
SEATTLE
WA
ANDY@KALL8.COM</t>
  </si>
  <si>
    <t>'320251860900530566'</t>
  </si>
  <si>
    <t>40100155    212-929-4226
ARISTON CAFE 0000
NEW YORK
NY
Description : FAST FOOD RESTAURAN Price : 0.00
212-929-4226</t>
  </si>
  <si>
    <t>'320251850871284112'</t>
  </si>
  <si>
    <t>'320251850864946087'</t>
  </si>
  <si>
    <t>35800036    858-453-7845
PETCO 3741 0374
NEW YORK
NY
Description : PETS/SUPPLIES/ACC Price : 0.00
858-453-7845</t>
  </si>
  <si>
    <t>'320251850871453157'</t>
  </si>
  <si>
    <t>31099535183 FAST FOOD RESTAURANT
JUICE GENERATION 19 00-08044345810
NEW YORK
NY
FAST FOOD RESTAURANT</t>
  </si>
  <si>
    <t>'320251840838811711'</t>
  </si>
  <si>
    <t>PADDLE.NET* CHAJUN  ASTORIA             NY</t>
  </si>
  <si>
    <t>CH_3RGB8YK8 +17745236658
PADDLE.NET* CHAJUN
ASTORIA
NY
+17745236658</t>
  </si>
  <si>
    <t>3811 DITMARS BLVD
1071</t>
  </si>
  <si>
    <t>ASTORIA
NY</t>
  </si>
  <si>
    <t>'320251840849070823'</t>
  </si>
  <si>
    <t>40700184    212-929-4226
ARISTON CAFE 0000
NEW YORK
NY
Description : FAST FOOD RESTAURAN Price : 0.00
212-929-4226</t>
  </si>
  <si>
    <t>'320251830813116849'</t>
  </si>
  <si>
    <t>SS2M5DI5BXP WEB SERVICES
Amazon Web Services
AWS.Amazon.com
WA
WEB SERVICES</t>
  </si>
  <si>
    <t>'320251820766022323'</t>
  </si>
  <si>
    <t>31099535182 FAST FOOD RESTAURANT
JUICE GENERATION 19 00-08044345810
NEW YORK
NY
FAST FOOD RESTAURANT</t>
  </si>
  <si>
    <t>'320251830806560933'</t>
  </si>
  <si>
    <t>31099535181 FAST FOOD RESTAURANT
JUICE GENERATION 19 00-08044345810
NEW YORK
NY
FAST FOOD RESTAURANT</t>
  </si>
  <si>
    <t>'320251820777967565'</t>
  </si>
  <si>
    <t>W15640900085854293656
WEGMANS ASTOR PLACE 156 000000156
NEW YORK
NY
5854293656</t>
  </si>
  <si>
    <t>'320251820780272689'</t>
  </si>
  <si>
    <t>CAFE AMRITA 0000    NEW YORK            NY</t>
  </si>
  <si>
    <t>01600083    917-804-8199
CAFE AMRITA 0000
NEW YORK
NY
Description : FAST FOOD RESTAURAN Price : 0.00
917-804-8199</t>
  </si>
  <si>
    <t>301 WEST 110TH ST</t>
  </si>
  <si>
    <t>10026-4066</t>
  </si>
  <si>
    <t>'320251810753640270'</t>
  </si>
  <si>
    <t>999999951802123434274
BEAUTY &amp; BARBER
BLVD   *ART AUTONOMY SALO 000000317
NEW YORK
NY
BEAUTY &amp; BARBER
2123434274</t>
  </si>
  <si>
    <t>'320251800725195269'</t>
  </si>
  <si>
    <t>CN23062_1           NEW YORK            NY</t>
  </si>
  <si>
    <t>######DZ4LS COMPUTERS &amp; EQUIPMENT
CN23062_1
NEW YORK
NY
COMPUTERS &amp; EQUIPMENT</t>
  </si>
  <si>
    <t>MERCER ST
250</t>
  </si>
  <si>
    <t>'320251790685977263'</t>
  </si>
  <si>
    <t>NYC DRIP DROP CAFE LNew York            NY</t>
  </si>
  <si>
    <t>Lpg7A7JdIVC squareup.com/receipts
NYC DRIP DROP CAFE LLC
New York
NY
squareup.com/receipts</t>
  </si>
  <si>
    <t>'320251790689410986'</t>
  </si>
  <si>
    <t>PAYPAL *SOUNDBETTER 8887344358          CA</t>
  </si>
  <si>
    <t>10183957807 8887344358
PAYPAL *SOUNDBETTER
8887344358
CA
Description : GENERAL Price : 0.00
8887344358</t>
  </si>
  <si>
    <t>1901 AVE OF THE STARS
SUITE 200</t>
  </si>
  <si>
    <t>'320251800729410007'</t>
  </si>
  <si>
    <t>Merchandise &amp; Supplies-Music &amp; Video</t>
  </si>
  <si>
    <t>fviLT7SacAT squareup.com/receipts
THE CLEANERS IO, LLC
NEW YORK
NY
squareup.com/receipts</t>
  </si>
  <si>
    <t>'320251790689349813'</t>
  </si>
  <si>
    <t>P-038275696 SUBSRIPTION
D J*WSJ
800-568-7625
NJ
SUBSRIPTION</t>
  </si>
  <si>
    <t>'320251790703270238'</t>
  </si>
  <si>
    <t>31099535178 FAST FOOD RESTAURANT
JUICE GENERATION 19 00-08044345810
NEW YORK
NY
FAST FOOD RESTAURANT</t>
  </si>
  <si>
    <t>'320251790695286276'</t>
  </si>
  <si>
    <t>TARGET        034116NEW YORK            NY</t>
  </si>
  <si>
    <t>001632084   612-3044357
TARGET        034116 09100034116
NEW YORK
NY
Description : SEE INVOICE Price : 0.2343
612-3044357</t>
  </si>
  <si>
    <t>600 BROADWAY</t>
  </si>
  <si>
    <t>'320251790708578654'</t>
  </si>
  <si>
    <t>TELECHARGE.COM      NEW YORK            NY</t>
  </si>
  <si>
    <t>97646087   97646087         10036
Tickets
TELECHARGE.COM
NEW YORK
NY
Tickets
97646087         10036</t>
  </si>
  <si>
    <t>234 WEST 44TH ST
FL 6</t>
  </si>
  <si>
    <t>10036-3979</t>
  </si>
  <si>
    <t>'320251780656198967'</t>
  </si>
  <si>
    <t>40900175    212-929-4226
ARISTON CAFE 0000
NEW YORK
NY
Description : FAST FOOD RESTAURAN Price : 0.00
212-929-4226</t>
  </si>
  <si>
    <t>'320251780670516524'</t>
  </si>
  <si>
    <t>CH_3REQ1M4Y +18009799850
CALENDLY
AVONDALE ESTATES
GA
+18009799850</t>
  </si>
  <si>
    <t>'320251780669376175'</t>
  </si>
  <si>
    <t>CLEANY              NEW YORK            NY</t>
  </si>
  <si>
    <t>CH_3REPLRHQ +12128516134
CLEANY
NEW YORK
NY
+12128516134</t>
  </si>
  <si>
    <t>167 MADISON AVE
202</t>
  </si>
  <si>
    <t>'320251820777732835'</t>
  </si>
  <si>
    <t>73011005178DDC1F4EA497C4284910017
KIMBERLY MEEHAN, NP IN PS 316107142119
NEW YORK
NY
DDC1F4EA497C4284910017</t>
  </si>
  <si>
    <t>'320251790707197396'</t>
  </si>
  <si>
    <t>35600060    858-453-7845
PETCO 3741 0374
NEW YORK
NY
Description : PETS/SUPPLIES/ACC Price : 0.00
858-453-7845</t>
  </si>
  <si>
    <t>'320251780666987232'</t>
  </si>
  <si>
    <t>SAGA - 70 PINE ST   NEW YORK            NY</t>
  </si>
  <si>
    <t>CH_3REPNWRN +12125171932
SAGA - 70 PINE ST
NEW YORK
NY
+12125171932</t>
  </si>
  <si>
    <t>70 PNE ST
64TH FLOOR</t>
  </si>
  <si>
    <t>'320251780669304737'</t>
  </si>
  <si>
    <t>CH_3REPN2RN +12125171932
SAGA - 70 PINE ST
NEW YORK
NY
+12125171932</t>
  </si>
  <si>
    <t>'320251780671246755'</t>
  </si>
  <si>
    <t>CHudwraJS00 2129247400
TST* JOE COFFEE - LAGUARD 300633109
NEW YORK
NY
Description : RESTAURANTS Price : 0.09
2129247400</t>
  </si>
  <si>
    <t>'320251770636649619'</t>
  </si>
  <si>
    <t>000052932   2123589597
MORTON WILLIAMS - TAN 000000000579387
NEW YORK
NY
2123589597</t>
  </si>
  <si>
    <t>'320251770646623129'</t>
  </si>
  <si>
    <t>40500198    212-929-4226
ARISTON CAFE 0000
NEW YORK
NY
Description : FAST FOOD RESTAURAN Price : 0.00
212-929-4226</t>
  </si>
  <si>
    <t>'320251760612947778'</t>
  </si>
  <si>
    <t>CH_3RDKXJIE +33607652260
GROOVER.CO
MEZIDON VALLEE DAUGE
EU
+33607652260Foreign Spend Amount: 18.00 EURO Commission Amount:  Currency Exchange Rate: null</t>
  </si>
  <si>
    <t>'320251750586383956'</t>
  </si>
  <si>
    <t>31099535179 FAST FOOD RESTAURANT
JUICE GENERATION 19 00-08044345810
NEW YORK
NY
FAST FOOD RESTAURANT</t>
  </si>
  <si>
    <t>'320251800719942551'</t>
  </si>
  <si>
    <t>TIKTOK PROMOTE      CULVER CITY         CA</t>
  </si>
  <si>
    <t>CH_3RDGSZJ0 +12138742982
TIKTOK PROMOTE
CULVER CITY
CA
+12138742982</t>
  </si>
  <si>
    <t>5800 BRISTOL PKWY
SUITE 100</t>
  </si>
  <si>
    <t>CULVER CITY
CA</t>
  </si>
  <si>
    <t>'320251760620530198'</t>
  </si>
  <si>
    <t>MTK7VD9FY0A RECORD STORE
APPLE.COM/BILL
INTERNET CHARGE
CA
RECORD STORE</t>
  </si>
  <si>
    <t>'320251740546060317'</t>
  </si>
  <si>
    <t>CH_3RDF7BAC +12102014187
COVERGIRL.MAXIM.COM
SAN ANTONIO
TX
+12102014187</t>
  </si>
  <si>
    <t>'320251740567569611'</t>
  </si>
  <si>
    <t>10178550    8007467287
CVS PHARMACY
NEW YORK
NY
Description : PHARMACIES Price : 0.15
8007467287</t>
  </si>
  <si>
    <t>'320251750581263175'</t>
  </si>
  <si>
    <t>'320251740541757851'</t>
  </si>
  <si>
    <t>_WIX.COM, INC.      NEW YORK            NY</t>
  </si>
  <si>
    <t>######DS2sP COMPUTER STORE
_WIX.COM, INC.
NEW YORK
NY
COMPUTER STORE</t>
  </si>
  <si>
    <t>GANSEVOORT ST</t>
  </si>
  <si>
    <t>'320251760615088069'</t>
  </si>
  <si>
    <t>######DS4D3 COMPUTER STORE
_WIX.COM, INC.
NEW YORK
NY
COMPUTER STORE</t>
  </si>
  <si>
    <t>'320251760615088097'</t>
  </si>
  <si>
    <t>MTK7V6Y37LA RECORD STORE
APPLE.COM/BILL
INTERNET CHARGE
CA
RECORD STORE</t>
  </si>
  <si>
    <t>'320251720495848648'</t>
  </si>
  <si>
    <t>CANVA* I04554-574481CAMDEN              DE</t>
  </si>
  <si>
    <t>CH_2RCZ0WK8 +17372853388
CANVA* I04554-57448168
CAMDEN
DE
+17372853388</t>
  </si>
  <si>
    <t>'320251720491756721'</t>
  </si>
  <si>
    <t>10082839   8007467287
PHARMACIES
CVS PHARMACY
NEW YORK
NY
PHARMACIES
8007467287</t>
  </si>
  <si>
    <t>'320251730532448980'</t>
  </si>
  <si>
    <t>hwKz3WqnB9e squareup.com/receipts
THE CLEANERS IO, LLC
NEW YORK
NY
squareup.com/receipts</t>
  </si>
  <si>
    <t>'320251720495945070'</t>
  </si>
  <si>
    <t>W15639201965854293656
WEGMANS ASTOR PLACE 156 000000156
NEW YORK
NY
5854293656</t>
  </si>
  <si>
    <t>'320251730535642551'</t>
  </si>
  <si>
    <t>CH_3RC67RCF 3235775423
SPLICE.COM
NEW YORK
NY
3235775423</t>
  </si>
  <si>
    <t>'320251710465196415'</t>
  </si>
  <si>
    <t>URBAN OUTFITTERS 000NEW YORK            NY</t>
  </si>
  <si>
    <t>CH_3RC9UXJY +18002822200
URBAN OUTFITTERS 00004
NEW YORK
NY
+18002822200</t>
  </si>
  <si>
    <t>628 BROADWAY</t>
  </si>
  <si>
    <t>'320251710460784537'</t>
  </si>
  <si>
    <t>CVS/PHARMACY #10612 MANHATTAN           NY</t>
  </si>
  <si>
    <t>10106746   8007467287
PHARMACIES
CVS/PHARMACY #10612 000010612
MANHATTAN
NY
PHARMACIES
8007467287</t>
  </si>
  <si>
    <t>'320251710470975710'</t>
  </si>
  <si>
    <t>31099535173 FAST FOOD RESTAURANT
JUICE GENERATION 19 00-08044345810
NEW YORK
NY
FAST FOOD RESTAURANT</t>
  </si>
  <si>
    <t>'320251740560253771'</t>
  </si>
  <si>
    <t>'320251710456037109'</t>
  </si>
  <si>
    <t>31099535169 FAST FOOD RESTAURANT
JUICE GENERATION 19 00-08044345810
NEW YORK
NY
FAST FOOD RESTAURANT</t>
  </si>
  <si>
    <t>'320251700448438217'</t>
  </si>
  <si>
    <t>40100219    212-929-4226
ARISTON CAFE 0000
NEW YORK
NY
Description : FAST FOOD RESTAURAN Price : 0.00
212-929-4226</t>
  </si>
  <si>
    <t>'320251690421982387'</t>
  </si>
  <si>
    <t>######DFKmm INSURANCE SALES
LEMONADE INSURANCE COMPANY
NEW YORK
NY
INSURANCE SALES</t>
  </si>
  <si>
    <t>'320251680399816682'</t>
  </si>
  <si>
    <t>CH_3RAGXFCF 3235775423
SPLICE.COM
NEW YORK
NY
3235775423</t>
  </si>
  <si>
    <t>'320251670352470193'</t>
  </si>
  <si>
    <t>W15640900165854293656
WEGMANS ASTOR PLACE 156 000000156
NEW YORK
NY
5854293656</t>
  </si>
  <si>
    <t>'320251680388061909'</t>
  </si>
  <si>
    <t>DOWN UNDER COFFEE LLNEW YORK            NY</t>
  </si>
  <si>
    <t>62900053    516-353-0015
DOWN UNDER COFFEE LLC 0000
NEW YORK
NY
Description : FAST FOOD RESTAURAN Price : 0.00
516-353-0015</t>
  </si>
  <si>
    <t>1000S 8TH AVE</t>
  </si>
  <si>
    <t>'320251670369043303'</t>
  </si>
  <si>
    <t>GRUBHUB*SHUKA       NEW YORK            NY</t>
  </si>
  <si>
    <t>H2XVXCHB    8775851085
GRUBHUB*SHUKA
NEW YORK
NY
8775851085</t>
  </si>
  <si>
    <t>'320251670363125512'</t>
  </si>
  <si>
    <t>31099535166 FAST FOOD RESTAURANT
JUICE GENERATION 19 00-08044345810
NEW YORK
NY
FAST FOOD RESTAURANT</t>
  </si>
  <si>
    <t>'320251670363672667'</t>
  </si>
  <si>
    <t>00827807733 LOCAL TRANSPORTATION
NYCT PAYGO
NEW YORK
NY
LOCAL TRANSPORTATION</t>
  </si>
  <si>
    <t>'320251670360085997'</t>
  </si>
  <si>
    <t>00827848328 LOCAL TRANSPORTATION
NYCT PAYGO
NEW YORK
NY
LOCAL TRANSPORTATION</t>
  </si>
  <si>
    <t>'320251670360339759'</t>
  </si>
  <si>
    <t>TST* EYVAL 00198002 BROOKLYN            NY</t>
  </si>
  <si>
    <t>21105175167 RESTAURANT
TST* EYVAL 00198002
BROOKLYN
NY
RESTAURANT</t>
  </si>
  <si>
    <t>25 BOGART ST</t>
  </si>
  <si>
    <t>'320251670357504310'</t>
  </si>
  <si>
    <t>831QPY00094 SUPPORT@PATREON.COM
PATREON* MEMBERSHIP 523885
SAN FRANCISCO
CA
SUPPORT@PATREON.COM</t>
  </si>
  <si>
    <t>'320251650298331854'</t>
  </si>
  <si>
    <t>SONGHALL.ORG        KATONAH             NY</t>
  </si>
  <si>
    <t>CH_3RZZL7FQ +19145791000
SONGHALL.ORG
KATONAH
NY
+19145791000</t>
  </si>
  <si>
    <t>33 KATONAH AVE</t>
  </si>
  <si>
    <t>KATONAH
NY</t>
  </si>
  <si>
    <t>'320251660343403487'</t>
  </si>
  <si>
    <t>CH_3RZGOIAC +12102014187
COVERGIRL.MAXIM.COM
SAN ANTONIO
TX
+12102014187</t>
  </si>
  <si>
    <t>'320251650311901789'</t>
  </si>
  <si>
    <t>10176759   8007467287
PHARMACIES
CVS PHARMACY
NEW YORK
NY
PHARMACIES
8007467287</t>
  </si>
  <si>
    <t>'320251650309700809'</t>
  </si>
  <si>
    <t>31099535164 FAST FOOD RESTAURANT
JUICE GENERATION 19 00-08044345810
NEW YORK
NY
FAST FOOD RESTAURANT</t>
  </si>
  <si>
    <t>'320251650315235006'</t>
  </si>
  <si>
    <t>LINKEDIN SN P6556893MOUNTAIN VIEW</t>
  </si>
  <si>
    <t>P655689354  SUBSCRIPTIONS
LINKEDIN SN P655689354
MOUNTAIN VIEW
SUBSCRIPTIONS</t>
  </si>
  <si>
    <t>'320251640268043173'</t>
  </si>
  <si>
    <t>23992536653 DGTL CONTENT
FACEBK *META VERIFIED
FB.ME/CC
CA
DGTL CONTENT</t>
  </si>
  <si>
    <t>'320251640289542783'</t>
  </si>
  <si>
    <t>'320251630237096844'</t>
  </si>
  <si>
    <t>588714662   www.adobe.com
ADOBE SYSTEMS Adobe Systems
SAN JOSE
CA
Description : 0 Price : 0.1999
www.adobe.com</t>
  </si>
  <si>
    <t>'320251630247620664'</t>
  </si>
  <si>
    <t>CH_3RYSEGAC +12102014187
COVERGIRL.MAXIM.COM
SAN ANTONIO
TX
+12102014187</t>
  </si>
  <si>
    <t>'320251620210567128'</t>
  </si>
  <si>
    <t>CH_3RYRXFAC +12102014187
COVERGIRL.MAXIM.COM
SAN ANTONIO
TX
+12102014187</t>
  </si>
  <si>
    <t>'320251620210497683'</t>
  </si>
  <si>
    <t>CH_2RYUGPJS +14153666101
DISTROKID EXTRAS
NEW YORK
NY
+14153666101</t>
  </si>
  <si>
    <t>'320251620211838013'</t>
  </si>
  <si>
    <t>588714868   ADOBE.LY/ENUS
ILLUSTRATOR Adobe Systems
SAN JOSE
CA
Description : 0 Price : 0.3449
ADOBE.LY/ENUS</t>
  </si>
  <si>
    <t>'320251630246469321'</t>
  </si>
  <si>
    <t>37200007    858-453-7845
PETCO 3741 0374
NEW YORK
NY
Description : PETS/SUPPLIES/ACC Price : 0.00
858-453-7845</t>
  </si>
  <si>
    <t>'320251620222317178'</t>
  </si>
  <si>
    <t>00041760025 RESTAURANT
TST* IL BUCO - BOND ST 00041760
NEW YORK
NY
RESTAURANT</t>
  </si>
  <si>
    <t>'320251620220463903'</t>
  </si>
  <si>
    <t>40500166    212-929-4226
ARISTON CAFE 0000
NEW YORK
NY
Description : FAST FOOD RESTAURAN Price : 0.00
212-929-4226</t>
  </si>
  <si>
    <t>'320251610197595167'</t>
  </si>
  <si>
    <t>31099535160 FAST FOOD RESTAURANT
JUICE GENERATION 19 00-08044345810
NEW YORK
NY
FAST FOOD RESTAURANT</t>
  </si>
  <si>
    <t>'320251610192015050'</t>
  </si>
  <si>
    <t>GOVERNORS BALL (MADDLEXINGTON           KY</t>
  </si>
  <si>
    <t>CH_3RXPXTH4 +16502396947
GOVERNORS BALL (MADD M
LEXINGTON
KY
+16502396947</t>
  </si>
  <si>
    <t>143 WALTON AVE</t>
  </si>
  <si>
    <t>LEXINGTON
KY</t>
  </si>
  <si>
    <t>'320251590132314158'</t>
  </si>
  <si>
    <t>THE GOVERNORS BALL (OAK RIDGE NORTH     TX</t>
  </si>
  <si>
    <t>CH_3RXPYKH4 +16502396947
THE GOVERNORS BALL (BA
OAK RIDGE NORTH
TX
+16502396947</t>
  </si>
  <si>
    <t>27328 SPECTRUM WAY</t>
  </si>
  <si>
    <t>CONROE
TX</t>
  </si>
  <si>
    <t>'320251590132314243'</t>
  </si>
  <si>
    <t>WIX.COM*1182003253  800-600-0949        NY</t>
  </si>
  <si>
    <t>1182003253  800-600-0949
WIX.COM*1182003253
800-600-0949
NY
800-600-0949</t>
  </si>
  <si>
    <t>2601 MISSION ST
STE 300</t>
  </si>
  <si>
    <t>'320251600175305692'</t>
  </si>
  <si>
    <t>CH_3RXQUPJY +18002822200
ANTHROPOLOGIE  01464
NEW YORK
NY
+18002822200</t>
  </si>
  <si>
    <t>'320251580107395743'</t>
  </si>
  <si>
    <t>00587610473 877-461-2631
IONOS
www.ionos.com
PA
877-461-2631</t>
  </si>
  <si>
    <t>'320251590141113717'</t>
  </si>
  <si>
    <t>RAIL EUROPE 523130  PARIS</t>
  </si>
  <si>
    <t>8IEFI6      18003617245
RAIL EUROPE 523130
PARIS
18003617245</t>
  </si>
  <si>
    <t>13 - 15 RUE TAITBOUT
PARIS</t>
  </si>
  <si>
    <t>'320251590134294068'</t>
  </si>
  <si>
    <t>WIX.COM 1182181563  SAN FRANCISCO       CA</t>
  </si>
  <si>
    <t>CH_3RXVRDAA +14154494724
WIX.COM 1182181563
SAN FRANCISCO
CA
+14154494724</t>
  </si>
  <si>
    <t>'320251600154745171'</t>
  </si>
  <si>
    <t>FACEBK *VK9JESURF2  MENLO PARK</t>
  </si>
  <si>
    <t>99864488614 ADVERTISING SERVICE
FACEBK *VK9JESURF2
MENLO PARK
ADVERTISING SERVICE</t>
  </si>
  <si>
    <t>'320251570082105911'</t>
  </si>
  <si>
    <t>FACEBK *X995WSCRF2  MENLO PARK</t>
  </si>
  <si>
    <t>10040951902 ADVERTISING SERVICE
FACEBK *X995WSCRF2
MENLO PARK
ADVERTISING SERVICE</t>
  </si>
  <si>
    <t>'320251570077849571'</t>
  </si>
  <si>
    <t>HOTEL CASA PALACIO MJEREZ DE LA F       ES</t>
  </si>
  <si>
    <t>011156      LODGING
HOTEL CASA PALACIO M LUI 036826899
JEREZ DE LA F
ES
LODGINGForeign Spend Amount: 110.00 EURO Commission Amount:  Currency Exchange Rate: null</t>
  </si>
  <si>
    <t>'320251570096591339'</t>
  </si>
  <si>
    <t>'150607050001219761'</t>
  </si>
  <si>
    <t>31099535157 FAST FOOD RESTAURANT
JUICE GENERATION 19 00-08044345810
NEW YORK
NY
FAST FOOD RESTAURANT</t>
  </si>
  <si>
    <t>'320251580119899500'</t>
  </si>
  <si>
    <t>######CxPU9 INSURANCE SALES
LEMONADE INSURANCE COMPANY
NEW YORK
NY
INSURANCE SALES</t>
  </si>
  <si>
    <t>'320251570072093695'</t>
  </si>
  <si>
    <t>036-0256926 HEALTHCARE P
NYU HOSP CTR-MYCHART
NEW YORK
NY
HEALTHCARE P</t>
  </si>
  <si>
    <t>'320251580111412874'</t>
  </si>
  <si>
    <t>RC109336305CABLE SVC
SPECTRUM
855-707-7328
MO
CABLE SVC</t>
  </si>
  <si>
    <t>'320251570080848759'</t>
  </si>
  <si>
    <t>W15639800045854293656
WEGMANS ASTOR PLACE 156 000000156
NEW YORK
NY
5854293656</t>
  </si>
  <si>
    <t>'320251580114379985'</t>
  </si>
  <si>
    <t>WIX.COM 1182003303  SAN FRANCISCO       CA</t>
  </si>
  <si>
    <t>CH_3RX3Q3AA +14154494724
WIX.COM 1182003303
SAN FRANCISCO
CA
+14154494724</t>
  </si>
  <si>
    <t>'320251590134718160'</t>
  </si>
  <si>
    <t>######D1NhJ COMPUTER STORE
_WIX.COM, INC.
NEW YORK
NY
COMPUTER STORE</t>
  </si>
  <si>
    <t>'320251590128576645'</t>
  </si>
  <si>
    <t>CH_3RWHBGAC +12102014187
COVERGIRL.MAXIM.COM
SAN ANTONIO
TX
+12102014187</t>
  </si>
  <si>
    <t>'320251560043915478'</t>
  </si>
  <si>
    <t>31099535156 FAST FOOD RESTAURANT
JUICE GENERATION 19 00-08044345810
NEW YORK
NY
FAST FOOD RESTAURANT</t>
  </si>
  <si>
    <t>'320251570085031721'</t>
  </si>
  <si>
    <t>MACYS   .COM 0000001MASON               OH</t>
  </si>
  <si>
    <t>05293793255 8002896229
MACYS   .COM 000000129
MASON
OH
Description : V2C BEDDING Price : 0.98
8002896229</t>
  </si>
  <si>
    <t>9111 DUKE BLVD</t>
  </si>
  <si>
    <t>MASON
OH</t>
  </si>
  <si>
    <t>45040-8999</t>
  </si>
  <si>
    <t>'320251570083790054'</t>
  </si>
  <si>
    <t>05292763689 8002896229
MACYS   .COM 000000129
MASON
OH
Description : 1400TC CVC BROOKLIN Price : 0.588
Description : 1400TC CVC BROOKLIN Price : 0.588
8002896229</t>
  </si>
  <si>
    <t>'320251570084544495'</t>
  </si>
  <si>
    <t>Z72U57CD2IEZ72U57CD2IEH     98052
A1010BUSD01
MSBILL.INFO
Z72U57CD2IEH     98052</t>
  </si>
  <si>
    <t>'320251550039749215'</t>
  </si>
  <si>
    <t>Z72C570VE1NZ72C570VE1NJ     98052
A1010BUSD01
MSBILL.INFO
Z72C570VE1NJ     98052</t>
  </si>
  <si>
    <t>'320251550039743167'</t>
  </si>
  <si>
    <t>Z72Y577X6C5Z72Y577X6C5D     98052
A1010BUSD01
MSBILL.INFO
Z72Y577X6C5D     98052</t>
  </si>
  <si>
    <t>'320251550039780062'</t>
  </si>
  <si>
    <t>Z73657IYROWZ73657IYROWK     98052
A1010BUSD01
REDMOND
Z73657IYROWK     98052</t>
  </si>
  <si>
    <t>'320251550039773434'</t>
  </si>
  <si>
    <t>ANTI SOCIAL CAMP    RIDGEWOOD           NY</t>
  </si>
  <si>
    <t>CH_3RWNHKEU +15163189273
ANTI SOCIAL CAMP
RIDGEWOOD
NY
+15163189273</t>
  </si>
  <si>
    <t>5932 GRV ST</t>
  </si>
  <si>
    <t>RIDGEWOOD
NY</t>
  </si>
  <si>
    <t>'320251560065831550'</t>
  </si>
  <si>
    <t>GBXVQ27X    4152302377
BT*CLV*VECTORMAGIC
EXCELSIOR
CA
4152302377</t>
  </si>
  <si>
    <t>'320251550025276997'</t>
  </si>
  <si>
    <t>CH_3RWLGSAC +12102014187
COVERGIRL.MAXIM.COM
SAN ANTONIO
TX
+12102014187</t>
  </si>
  <si>
    <t>'320251550016874286'</t>
  </si>
  <si>
    <t>73011005155 ANDY@KALL8.COM
KALL8 000895900006429
SEATTLE
WA
ANDY@KALL8.COM</t>
  </si>
  <si>
    <t>'320251560063070761'</t>
  </si>
  <si>
    <t>00824984957 LOCAL TRANSPORTATION
NYCT PAYGO
NEW YORK
NY
LOCAL TRANSPORTATION</t>
  </si>
  <si>
    <t>'320251560058163087'</t>
  </si>
  <si>
    <t>RESTAURANT ABAC 3430BARCELONA           ES</t>
  </si>
  <si>
    <t>90377249960 RESTAURANT
RESTAURANT ABAC 343025045
BARCELONA
ES
RESTAURANTForeign Spend Amount: 100.00 EURO Commission Amount:  Currency Exchange Rate: null</t>
  </si>
  <si>
    <t>AVENIDA TIBIDABO 1
BARCELONA</t>
  </si>
  <si>
    <t>'320251550040614797'</t>
  </si>
  <si>
    <t>TST* ROOFTOP CINEMA NEW YORK            NY</t>
  </si>
  <si>
    <t>21105175156 RESTAURANT
TST* ROOFTOP CINEMA CLUB 00072714
NEW YORK
NY
RESTAURANT</t>
  </si>
  <si>
    <t>4136 DEL REY AVE</t>
  </si>
  <si>
    <t>MARINA DEL REY
CA</t>
  </si>
  <si>
    <t>'320251560056205162'</t>
  </si>
  <si>
    <t>&amp;OS  0750NEW YORK   NEW YORK            NY</t>
  </si>
  <si>
    <t>US075000225 FAMILY CLOTHING
&amp;OS  0750NEW YORK
NEW YORK
NY
FAMILY CLOTHING</t>
  </si>
  <si>
    <t>575 BROADWAY</t>
  </si>
  <si>
    <t>'320251550025691913'</t>
  </si>
  <si>
    <t>CH_3RVZPOAC +12102014187
COVERGIRL.MAXIM.COM
SAN ANTONIO
TX
+12102014187</t>
  </si>
  <si>
    <t>'320251550037344024'</t>
  </si>
  <si>
    <t>'320251550026119734'</t>
  </si>
  <si>
    <t>DISTROKID MUSICIAN+ NEW YORK            NY</t>
  </si>
  <si>
    <t>CH_2RVZQCJS +14153666101
DISTROKID MUSICIAN+
NEW YORK
NY
+14153666101</t>
  </si>
  <si>
    <t>'320251540988659978'</t>
  </si>
  <si>
    <t>GU USA LLC          NEW YORK            NY</t>
  </si>
  <si>
    <t>0C01D3CA-D1 FAMILY CLOTHING
GU USA LLC
NEW YORK
NY
FAMILY CLOTHING</t>
  </si>
  <si>
    <t>578 BROADWAY</t>
  </si>
  <si>
    <t>'320251550039372287'</t>
  </si>
  <si>
    <t>MSFT * E0500WFTS3 2BMSBILL.INFO         WA</t>
  </si>
  <si>
    <t>Z73957IETKUZ73957IETKU8     12866
COMPUTER DATA PROCESSIN
MSFT * E0500WFTS3 2BLE
MSBILL.INFO
WA
COMPUTER DATA PROCESSIN
Z73957IETKU8     12866</t>
  </si>
  <si>
    <t>'320251550039766273'</t>
  </si>
  <si>
    <t>MSFT * E0500WFVCY   MSBILL.INFO         WA</t>
  </si>
  <si>
    <t>Z73A57JIT4M MSBILL.INFO
MSFT * E0500WFVCY
MSBILL.INFO
WA
MSBILL.INFO</t>
  </si>
  <si>
    <t>'320251550037948175'</t>
  </si>
  <si>
    <t>ROOFTOP CINEMA CLUB MARINA DEL REY      CA</t>
  </si>
  <si>
    <t>CH_3RVXBDEN +18634348725
ROOFTOP CINEMA CLUB
MARINA DEL REY
CA
+18634348725</t>
  </si>
  <si>
    <t>'320251540011038838'</t>
  </si>
  <si>
    <t>001648903   612-3044357
TARGET        034116 09100034116
NEW YORK
NY
Description : SEE INVOICE Price : 0.1547
612-3044357</t>
  </si>
  <si>
    <t>'320251550037649789'</t>
  </si>
  <si>
    <t>TST* MAMAN - SOHO 30NEW YORK            NY</t>
  </si>
  <si>
    <t>aK3Ldv0kS00 2122260700
TST* MAMAN - SOHO 300579717
NEW YORK
NY
Description : RESTAURANTS Price : 0.5487
2122260700</t>
  </si>
  <si>
    <t>237-239 CTR ST</t>
  </si>
  <si>
    <t>'320251550037463721'</t>
  </si>
  <si>
    <t>UNIQLO USA LLC      NEW YORK            NY</t>
  </si>
  <si>
    <t>C06BC1AE-92 FAMILY CLOTHING
UNIQLO USA LLC
NEW YORK
NY
FAMILY CLOTHING</t>
  </si>
  <si>
    <t>546 BROADWAY</t>
  </si>
  <si>
    <t>'320251550039307715'</t>
  </si>
  <si>
    <t>10187878   8007467287
PHARMACIES
CVS PHARMACY
NEW YORK
NY
PHARMACIES
8007467287</t>
  </si>
  <si>
    <t>'320251540997826597'</t>
  </si>
  <si>
    <t>31099535153 FAST FOOD RESTAURANT
JUICE GENERATION 19 00-08044345810
NEW YORK
NY
FAST FOOD RESTAURANT</t>
  </si>
  <si>
    <t>'320251540997756669'</t>
  </si>
  <si>
    <t>'320251530961051242'</t>
  </si>
  <si>
    <t>6WTSBQ0DX4M WEB SERVICES
Amazon Web Services
AWS.Amazon.com
WA
WEB SERVICES</t>
  </si>
  <si>
    <t>'320251520931614642'</t>
  </si>
  <si>
    <t>FACEBK *7Y7C4SURF2  MENLO PARK</t>
  </si>
  <si>
    <t>99508354583 ADVERTISING SERVICE
FACEBK *7Y7C4SURF2
MENLO PARK
ADVERTISING SERVICE</t>
  </si>
  <si>
    <t>'320251530978201319'</t>
  </si>
  <si>
    <t>1652178147  447776075114
VIATOR
LONDON
GB
447776075114</t>
  </si>
  <si>
    <t>'320251530964813928'</t>
  </si>
  <si>
    <t>1652198309  447776075114
VIATOR
LONDON
GB
447776075114</t>
  </si>
  <si>
    <t>'320251530964858883'</t>
  </si>
  <si>
    <t>LE BOUCLIER D_OR    STRASBOURG          FR</t>
  </si>
  <si>
    <t>######aazCQ LODGING
LE BOUCLIER D_OR
STRASBOURG
FR
LODGINGForeign Spend Amount: 400.00 EURO Commission Amount:  Currency Exchange Rate: null</t>
  </si>
  <si>
    <t>"1, RUE DU BOUCLIER"
STRASBOURG</t>
  </si>
  <si>
    <t>'320251510921778616'</t>
  </si>
  <si>
    <t>CH_3RUZDHAC +12102014187
COVERGIRL.MAXIM.COM
SAN ANTONIO
TX
+12102014187</t>
  </si>
  <si>
    <t>'320251510925174164'</t>
  </si>
  <si>
    <t>P-037103337 SUBSRIPTION
D J*WSJ
800-568-7625
NJ
SUBSRIPTION</t>
  </si>
  <si>
    <t>'320251510922011447'</t>
  </si>
  <si>
    <t>ONEMED-TRIBECA 00087NEW YORK            NY</t>
  </si>
  <si>
    <t>73011385152 ADMIN@ONEMEDICAL.COM
ONEMED-TRIBECA 000875000138883
NEW YORK
NY
ADMIN@ONEMEDICAL.COM</t>
  </si>
  <si>
    <t>25 HUDSON ST</t>
  </si>
  <si>
    <t>'320251520929482662'</t>
  </si>
  <si>
    <t>9qqGMDPy4vH squareup.com/receipts
THE CLEANERS IO, LLC
New York
NY
squareup.com/receipts</t>
  </si>
  <si>
    <t>'320251500883178377'</t>
  </si>
  <si>
    <t>TST* JOE COFFEE - UNNEW YORK            NY</t>
  </si>
  <si>
    <t>7lKH7Knyg00 2129247400
TST* JOE COFFEE - UNION S 300537556
NEW YORK
NY
Description : RESTAURANTS Price : 0.08
2129247400</t>
  </si>
  <si>
    <t>29 Union Square West</t>
  </si>
  <si>
    <t>'320251500885405709'</t>
  </si>
  <si>
    <t>W15639600235854293656
WEGMANS ASTOR PLACE 156 000000156
NEW YORK
NY
5854293656</t>
  </si>
  <si>
    <t>'320251510918348230'</t>
  </si>
  <si>
    <t>31099535149 FAST FOOD RESTAURANT
JUICE GENERATION 19 00-08044345810
NEW YORK
NY
FAST FOOD RESTAURANT</t>
  </si>
  <si>
    <t>'320251500890350395'</t>
  </si>
  <si>
    <t>34300017    858-453-7845
PETCO 3741 0374
NEW YORK
NY
Description : PETS/SUPPLIES/ACC Price : 0.00
858-453-7845</t>
  </si>
  <si>
    <t>'320251500888466127'</t>
  </si>
  <si>
    <t>CH_3RTR8HAC +12102014187
COVERGIRL.MAXIM.COM
SAN ANTONIO
TX
+12102014187</t>
  </si>
  <si>
    <t>'320251490869296192'</t>
  </si>
  <si>
    <t>00009148    212-531-1110
JUICE GENERATION 19 0001
NEW YORK
NY
Description : SPORTS/RIDING APPAR Price : 0.00
212-531-1110</t>
  </si>
  <si>
    <t>4 ASTOR PL</t>
  </si>
  <si>
    <t>'320251490853428458'</t>
  </si>
  <si>
    <t>40900197    212-929-4226
ARISTON CAFE 0000
NEW YORK
NY
Description : FAST FOOD RESTAURAN Price : 0.00
212-929-4226</t>
  </si>
  <si>
    <t>'320251480834878335'</t>
  </si>
  <si>
    <t>10097817   8007467287
PHARMACIES
CVS/PHARMACY #10612 000010612
MANHATTAN
NY
PHARMACIES
8007467287</t>
  </si>
  <si>
    <t>'320251480833141514'</t>
  </si>
  <si>
    <t>73011005148DDC1F4EA497C4284910017
KIMBERLY MEEHAN, NP IN PS 316107142119
NEW YORK
NY
DDC1F4EA497C4284910017</t>
  </si>
  <si>
    <t>'320251490867887483'</t>
  </si>
  <si>
    <t>THE PORTRAIT BAR    NEW YORK            NY</t>
  </si>
  <si>
    <t>CH_3RTRC9IC +12122319200
THE PORTRAIT BAR
NEW YORK
NY
+12122319200</t>
  </si>
  <si>
    <t>250 5TH AVE</t>
  </si>
  <si>
    <t>'320251470796393731'</t>
  </si>
  <si>
    <t>CH_3RTBFL4Y +18009799850
CALENDLY
AVONDALE ESTATES
GA
+18009799850</t>
  </si>
  <si>
    <t>'320251470814030030'</t>
  </si>
  <si>
    <t>CH_3RT3WNAC +12102014187
COVERGIRL.MAXIM.COM
SAN ANTONIO
TX
+12102014187</t>
  </si>
  <si>
    <t>'320251460791106454'</t>
  </si>
  <si>
    <t>00008097    212-531-1110
JUICE GENERATION 19 0001
NEW YORK
NY
Description : SPORTS/RIDING APPAR Price : 0.00
212-531-1110</t>
  </si>
  <si>
    <t>'320251470801562084'</t>
  </si>
  <si>
    <t>KYDLABS             NEW YORK            NY</t>
  </si>
  <si>
    <t>CH_3RT5T1GM +13322063950
KYDLABS
NEW YORK
NY
+13322063950</t>
  </si>
  <si>
    <t>'320251460788991807'</t>
  </si>
  <si>
    <t>FACEBK *959CTR8RF2  MENLO PARK</t>
  </si>
  <si>
    <t>99193821348 ADVERTISING SERVICE
FACEBK *959CTR8RF2
MENLO PARK
ADVERTISING SERVICE</t>
  </si>
  <si>
    <t>'320251450761332709'</t>
  </si>
  <si>
    <t>00007844    212-531-1110
JUICE GENERATION 19 0001
NEW YORK
NY
Description : SPORTS/RIDING APPAR Price : 0.00
212-531-1110</t>
  </si>
  <si>
    <t>'320251460771922313'</t>
  </si>
  <si>
    <t>00822584533 LOCAL TRANSPORTATION
NYCT PAYGO
NEW YORK
NY
LOCAL TRANSPORTATION</t>
  </si>
  <si>
    <t>'320251460774651914'</t>
  </si>
  <si>
    <t>TST* LE PAIN QUOTIDINEW YORK            NY</t>
  </si>
  <si>
    <t>PEjdXMsdY00 2125055861
TST* LE PAIN QUOTIDIEN - 300559726
NEW YORK
NY
Description : RESTAURANTS Price : 0.0789
2125055861</t>
  </si>
  <si>
    <t>CENTRAL PARK
KIOSK E 72ND STREET 5TH AVE</t>
  </si>
  <si>
    <t>'320251450753906546'</t>
  </si>
  <si>
    <t>W15639800255854293656
WEGMANS ASTOR PLACE 156 000000156
NEW YORK
NY
5854293656</t>
  </si>
  <si>
    <t>'320251460778106840'</t>
  </si>
  <si>
    <t>CH_3RSTI7AC +12102014187
COVERGIRL.MAXIM.COM
SAN ANTONIO
TX
+12102014187</t>
  </si>
  <si>
    <t>'320251450757648711'</t>
  </si>
  <si>
    <t>MATTO @ M57         New York            NY</t>
  </si>
  <si>
    <t>pUSj7bgfqT1 squareup.com/receipts
MATTO @ M57
New York
NY
squareup.com/receipts</t>
  </si>
  <si>
    <t>696 LEXINGTON AVE</t>
  </si>
  <si>
    <t>'320251440721599390'</t>
  </si>
  <si>
    <t>00822157028 LOCAL TRANSPORTATION
NYCT PAYGO
NEW YORK
NY
LOCAL TRANSPORTATION</t>
  </si>
  <si>
    <t>'320251450752523913'</t>
  </si>
  <si>
    <t>00822107635 LOCAL TRANSPORTATION
NYCT PAYGO
NEW YORK
NY
LOCAL TRANSPORTATION</t>
  </si>
  <si>
    <t>'320251450753677384'</t>
  </si>
  <si>
    <t>IMDB                IMDB.COM            WA</t>
  </si>
  <si>
    <t>4Y1LS6Q47NRSUBSCRIPTION
IMDBPRO.COMSUBSCRIPTION
IMDB
IMDB.COM
WA
IMDBPRO.COMSUBSCRIPTION
SUBSCRIPTION</t>
  </si>
  <si>
    <t>81226 PO BOX</t>
  </si>
  <si>
    <t>'320251430688923634'</t>
  </si>
  <si>
    <t>W15639100735854293656
WEGMANS ASTOR PLACE 156 000000156
NEW YORK
NY
5854293656</t>
  </si>
  <si>
    <t>'320251440730675180'</t>
  </si>
  <si>
    <t>40900216    212-929-4226
ARISTON CAFE 0000
NEW YORK
NY
Description : FAST FOOD RESTAURAN Price : 0.00
212-929-4226</t>
  </si>
  <si>
    <t>'320251430702520916'</t>
  </si>
  <si>
    <t>10171515    8007467287
CVS PHARMACY
NEW YORK
NY
Description : PHARMACIES Price : 1.063
8007467287</t>
  </si>
  <si>
    <t>'320251430701010427'</t>
  </si>
  <si>
    <t>10172418   8007467287
PHARMACIES
CVS/PHARMACY #10612 000010612
MANHATTAN
NY
PHARMACIES
8007467287</t>
  </si>
  <si>
    <t>'320251430700345036'</t>
  </si>
  <si>
    <t>CANVA* I04523-890043CAMDEN              DE</t>
  </si>
  <si>
    <t>CH_2RRKENK8 +17372853388
CANVA* I04523-89004349
CAMDEN
DE
+17372853388</t>
  </si>
  <si>
    <t>'320251420670188684'</t>
  </si>
  <si>
    <t>'320251420653808514'</t>
  </si>
  <si>
    <t>00009387    212-531-1110
JUICE GENERATION 19 0001
NEW YORK
NY
Description : SPORTS/RIDING APPAR Price : 0.00
212-531-1110</t>
  </si>
  <si>
    <t>'320251410635756865'</t>
  </si>
  <si>
    <t>CH_3RQRLRCF 3235775423
SPLICE.COM
NEW YORK
NY
3235775423</t>
  </si>
  <si>
    <t>'320251400608812830'</t>
  </si>
  <si>
    <t>FACEBK *G9ANFQGRF2  MENLO PARK</t>
  </si>
  <si>
    <t>97666871334 ADVERTISING SERVICE
FACEBK *G9ANFQGRF2
MENLO PARK
ADVERTISING SERVICE</t>
  </si>
  <si>
    <t>'320251390591006538'</t>
  </si>
  <si>
    <t>H BRICKMAN &amp; SONS 00NEW YORK            NY</t>
  </si>
  <si>
    <t>625074      212-777-1500
H BRICKMAN &amp; SONS 0000
NEW YORK
NY
Description : HARDWARE/TOOLS Price : 0.00
212-777-1500</t>
  </si>
  <si>
    <t>125 WEST 3RD ST FRNT 1</t>
  </si>
  <si>
    <t>'320251400614417116'</t>
  </si>
  <si>
    <t>Merchandise &amp; Supplies-Hardware Supplies</t>
  </si>
  <si>
    <t>LA COLOMBE - NOHO   New York            NY</t>
  </si>
  <si>
    <t>RA8AWFRW9uR squareup.com/receipts
LA COLOMBE - NOHO
New York
NY
squareup.com/receipts</t>
  </si>
  <si>
    <t>400 LAFAYETTE ST</t>
  </si>
  <si>
    <t>'320251390580416177'</t>
  </si>
  <si>
    <t>NEW YORK UNIVERSITY NEW YORK            NY</t>
  </si>
  <si>
    <t>######BpHcM CHARITABLE ORG
NEW YORK UNIVERSITY
NEW YORK
NY
CHARITABLE ORG</t>
  </si>
  <si>
    <t>105 EAST 17TH ST FL 3</t>
  </si>
  <si>
    <t>'320251390598398049'</t>
  </si>
  <si>
    <t>NYU BOOKSTORE #2015 NEW YORK            NY</t>
  </si>
  <si>
    <t>001068235931823593          10003
NYU BOOKSTORE #2015 000002015
NEW YORK
NY
1823593          10003</t>
  </si>
  <si>
    <t>726 BROADWAY</t>
  </si>
  <si>
    <t>'320251400611818222'</t>
  </si>
  <si>
    <t>00009057    212-531-1110
JUICE GENERATION 19 0001
NEW YORK
NY
Description : SPORTS/RIDING APPAR Price : 0.00
212-531-1110</t>
  </si>
  <si>
    <t>'320251390579431663'</t>
  </si>
  <si>
    <t>40900278    212-929-4226
ARISTON CAFE 0000
NEW YORK
NY
Description : FAST FOOD RESTAURAN Price : 0.00
212-929-4226</t>
  </si>
  <si>
    <t>'320251380561730388'</t>
  </si>
  <si>
    <t>10084427   8007467287
PHARMACIES
CVS PHARMACY
NEW YORK
NY
PHARMACIES
8007467287</t>
  </si>
  <si>
    <t>'320251380561881502'</t>
  </si>
  <si>
    <t>JOEANDTHEJUICE      NEW YORK</t>
  </si>
  <si>
    <t>######CNn0Y RESTAURANT
JOEANDTHEJUICE
NEW YORK
RESTAURANT</t>
  </si>
  <si>
    <t>110 GREENE ST</t>
  </si>
  <si>
    <t>'320251380570951312'</t>
  </si>
  <si>
    <t>CH_3RPR1UAC +12102013197
COVERGIRL.MAXIM.COM
SAN ANTONIO
TX
+12102013197</t>
  </si>
  <si>
    <t>'320251360517238177'</t>
  </si>
  <si>
    <t>CH_3RPVGFAC +12102013197
COVERGIRL.MAXIM.COM
SAN ANTONIO
TX
+12102013197</t>
  </si>
  <si>
    <t>'320251370543709590'</t>
  </si>
  <si>
    <t>CH_3RPVPMRO +12102013197
COVERGIRL.MAXIM.COM
SAN ANTONIO
TX
+12102013197</t>
  </si>
  <si>
    <t>'320251370545577708'</t>
  </si>
  <si>
    <t>SPLICE.COM          NEW YORK CITY       NY</t>
  </si>
  <si>
    <t>CH_3RPRLFCF 3235775423
SPLICE.COM
NEW YORK CITY
NY
3235775423</t>
  </si>
  <si>
    <t>'320251360495157118'</t>
  </si>
  <si>
    <t>99999995136NONE             10003
PHARMACIES
DUANE READE #14468 000014468
NEW YORK
NY
PHARMACIES
NONE             10003</t>
  </si>
  <si>
    <t>'320251360502655722'</t>
  </si>
  <si>
    <t>99999995136 8002892273
DUANE READE #14468 000014468
NEW YORK
NY
Description : PHARMACIES Price : 0.0624
8002892273</t>
  </si>
  <si>
    <t>'320251360502793415'</t>
  </si>
  <si>
    <t>00010656    212-531-1110
JUICE GENERATION 19 0001
NEW YORK
NY
Description : SPORTS/RIDING APPAR Price : 0.00
212-531-1110</t>
  </si>
  <si>
    <t>'320251360496363516'</t>
  </si>
  <si>
    <t>000536258  01106000536258   10003
POSTERS ONLINE
STAPLES 01106
MANHATTAN
NY
POSTERS ONLINE
01106000536258   10003</t>
  </si>
  <si>
    <t>'320251360502632778'</t>
  </si>
  <si>
    <t>W15608101285854293656
WEGMANS ASTOR PLACE 156 000000156
NEW YORK
NY
5854293656</t>
  </si>
  <si>
    <t>'320251360504061243'</t>
  </si>
  <si>
    <t>CH_3ROIOOAC +12102013197
COVERGIRL.MAXIM.COM
SAN ANTONIO
TX
+12102013197</t>
  </si>
  <si>
    <t>'320251340460030104'</t>
  </si>
  <si>
    <t>######CHVCE INSURANCE SALES
LEMONADE INSURANCE COMPANY
NEW YORK
NY
INSURANCE SALES</t>
  </si>
  <si>
    <t>'320251340437417050'</t>
  </si>
  <si>
    <t>W5967T00121 SUPPORT@PATREON.COM
PATREON* MEMBERSHIP 523885
SAN FRANCISCO
CA
SUPPORT@PATREON.COM</t>
  </si>
  <si>
    <t>'320251340440410073'</t>
  </si>
  <si>
    <t>PAYPAL *HEIDIKLINGP 4029357733          NY</t>
  </si>
  <si>
    <t>10180222343 4029357733
PAYPAL *HEIDIKLINGP HEIDI
4029357733
NY
Description : GENERAL Price : 0.00
4029357733</t>
  </si>
  <si>
    <t>18 EAST 16TH ST RM 503</t>
  </si>
  <si>
    <t>'320251350484200505'</t>
  </si>
  <si>
    <t>00008749    212-531-1110
JUICE GENERATION 19 0001
NEW YORK
NY
Description : SPORTS/RIDING APPAR Price : 0.00
212-531-1110</t>
  </si>
  <si>
    <t>'320251340442419868'</t>
  </si>
  <si>
    <t>LINKEDIN SN P5984469MOUNTAIN VIEW</t>
  </si>
  <si>
    <t>P598446974  SUBSCRIPTIONS
LINKEDIN SN P598446974
MOUNTAIN VIEW
SUBSCRIPTIONS</t>
  </si>
  <si>
    <t>'320251330413320169'</t>
  </si>
  <si>
    <t>zH93ILrkrYm squareup.com/receipts
THE CLEANERS IO, LLC
New York
NY
squareup.com/receipts</t>
  </si>
  <si>
    <t>'320251330410522718'</t>
  </si>
  <si>
    <t>0EHU4GCK4W2 2126735388
WHOLEFDS USQ 10162 000010162
NEW YORK
NY
Description : GROCERY STORES Price : 0.2361
2126735388</t>
  </si>
  <si>
    <t>'320251340456044060'</t>
  </si>
  <si>
    <t>CH_3RO4ZJAC +12102013197
COVERGIRL.MAXIM.COM
SAN ANTONIO
TX
+12102013197</t>
  </si>
  <si>
    <t>'320251330425714590'</t>
  </si>
  <si>
    <t>FACEBK *JQG8ARQRF2  MENLO PARK</t>
  </si>
  <si>
    <t>98595518774 ADVERTISING SERVICE
FACEBK *JQG8ARQRF2
MENLO PARK
ADVERTISING SERVICE</t>
  </si>
  <si>
    <t>'320251320395650988'</t>
  </si>
  <si>
    <t>98714058329 DGTL CONTENT
FACEBK *META VERIFIED
FB.ME/CC
CA
DGTL CONTENT</t>
  </si>
  <si>
    <t>'320251330429796311'</t>
  </si>
  <si>
    <t>000536154  01106000536154   10003
BUSINESS CARDS ONLINE
STAPLES 01106
MANHATTAN
NY
BUSINESS CARDS ONLINE
01106000536154   10003</t>
  </si>
  <si>
    <t>'320251330422309658'</t>
  </si>
  <si>
    <t>584548894   www.adobe.com
ADOBE SYSTEMS Adobe Systems
SAN JOSE
CA
Description : 0 Price : 0.1999
www.adobe.com</t>
  </si>
  <si>
    <t>'320251320388771002'</t>
  </si>
  <si>
    <t>CH_3RNLOLAC +12102013197
COVERGIRL.MAXIM.COM
SAN ANTONIO
TX
+12102013197</t>
  </si>
  <si>
    <t>'320251320395480332'</t>
  </si>
  <si>
    <t>584549061   ADOBE.LY/ENUS
ILLUSTRATOR Adobe Systems
SAN JOSE
CA
Description : 0 Price : 0.3449
ADOBE.LY/ENUS</t>
  </si>
  <si>
    <t>'320251320388771407'</t>
  </si>
  <si>
    <t>CH_3RNGNIAC +12102013197
COVERGIRL.MAXIM.COM
SAN ANTONIO
TX
+12102013197</t>
  </si>
  <si>
    <t>'320251300327013209'</t>
  </si>
  <si>
    <t>TST* COMMON MOLLIES BROOKLYN            NY</t>
  </si>
  <si>
    <t>21105175131 BAR/NIGHTCLUB
TST* COMMON MOLLIES 00080014
BROOKLYN
NY
BAR/NIGHTCLUB</t>
  </si>
  <si>
    <t>46 BUSHWICK AVE</t>
  </si>
  <si>
    <t>'320251310364326817'</t>
  </si>
  <si>
    <t>Z7313NKG8RQZ7313NKG8RQO     98052
MICROSOFT
MSBILL.INFO
Z7313NKG8RQO     98052</t>
  </si>
  <si>
    <t>'320251290307880463'</t>
  </si>
  <si>
    <t>9EFvL6DwYPd squareup.com/receipts
THE CLEANERS IO, LLC
New York
NY
squareup.com/receipts</t>
  </si>
  <si>
    <t>'320251290304662129'</t>
  </si>
  <si>
    <t>W15639500465854293656
WEGMANS ASTOR PLACE 156 000000156
NEW YORK
NY
5854293656</t>
  </si>
  <si>
    <t>'320251300343125369'</t>
  </si>
  <si>
    <t>40100273    212-929-4226
ARISTON CAFE 0000
NEW YORK
NY
Description : FAST FOOD RESTAURAN Price : 0.00
212-929-4226</t>
  </si>
  <si>
    <t>'320251290316604411'</t>
  </si>
  <si>
    <t>CH_3RMD8LE3 +13237459427
BS* BREAKINGSOUNDNYC B
WOODLAND HILLS
CA
+13237459427</t>
  </si>
  <si>
    <t>'320251290319461444'</t>
  </si>
  <si>
    <t>CH_3RMAQDAC +12102013197
COVERGIRL.MAXIM.COM
SAN ANTONIO
TX
+12102013197</t>
  </si>
  <si>
    <t>'320251290319089935'</t>
  </si>
  <si>
    <t>'150509060000494440'</t>
  </si>
  <si>
    <t>00601414502 877-461-2631
IONOS
www.ionos.com
PA
877-461-2631</t>
  </si>
  <si>
    <t>'320251280287006052'</t>
  </si>
  <si>
    <t>CH_3RLSTAE3 +13237459427
BS* BREAKINGSOUNDNYC B
WOODLAND HILLS
CA
+13237459427</t>
  </si>
  <si>
    <t>'320251260218002056'</t>
  </si>
  <si>
    <t>BT*SHUTTERFLY, INC. REDWOOD CITY        CA</t>
  </si>
  <si>
    <t>E1TXQWEV    6506105200
BT*SHUTTERFLY, INC.
REDWOOD CITY
CA
6506105200</t>
  </si>
  <si>
    <t>2800 BRG PKWY STE 101</t>
  </si>
  <si>
    <t>'320251270249517319'</t>
  </si>
  <si>
    <t>Business Services-Printing &amp; Publishing</t>
  </si>
  <si>
    <t>######6QkTe DIGITAL GOODS: GAMES
ELECTRONIC ARTS INC.
REDWOOD CITY
CA
DIGITAL GOODS: GAMES</t>
  </si>
  <si>
    <t>'320251260220648205'</t>
  </si>
  <si>
    <t>FACEBK *A2SFUQQRF2  MENLO PARK</t>
  </si>
  <si>
    <t>98114146823 ADVERTISING SERVICE
FACEBK *A2SFUQQRF2
MENLO PARK
ADVERTISING SERVICE</t>
  </si>
  <si>
    <t>'320251260220306751'</t>
  </si>
  <si>
    <t>FACEBK *SF3PEQ8RF2  MENLO PARK</t>
  </si>
  <si>
    <t>97632778871 ADVERTISING SERVICE
FACEBK *SF3PEQ8RF2
MENLO PARK
ADVERTISING SERVICE</t>
  </si>
  <si>
    <t>'320251260225023327'</t>
  </si>
  <si>
    <t>G9V3IG00119 HELP@LEMONADE.COM
LEMONADE INSURANCE 529657
INTERNET
NY
HELP@LEMONADE.COM</t>
  </si>
  <si>
    <t>'320251260219110459'</t>
  </si>
  <si>
    <t>036-0252341 HEALTHCARE P
NYU HOSP CTR-MYCHART
NEW YORK
NY
HEALTHCARE P</t>
  </si>
  <si>
    <t>'320251270251306334'</t>
  </si>
  <si>
    <t>RC103609932CABLE SVC
SPECTRUM
855-707-7328
MO
CABLE SVC</t>
  </si>
  <si>
    <t>'320251260223613636'</t>
  </si>
  <si>
    <t>JYItJXz8Kdt squareup.com/receipts
LA COLOMBE - NOHO
New York
NY
squareup.com/receipts</t>
  </si>
  <si>
    <t>'320251250193853407'</t>
  </si>
  <si>
    <t>CH_3RLSBHJI +18005621465
NESPRESSO USA, INC.
NEW YORK CITY
NY
+18005621465</t>
  </si>
  <si>
    <t>'320251250196712066'</t>
  </si>
  <si>
    <t>Z72D3AF7S4VZ72D3AF7S4VS     98052
A1010BUSD01
MSBILL.INFO
Z72D3AF7S4VS     98052</t>
  </si>
  <si>
    <t>'320251240180854746'</t>
  </si>
  <si>
    <t>Z72H3AHZHFCZ72H3AHZHFCV     98052
A1010BUSD01
MSBILL.INFO
Z72H3AHZHFCV     98052</t>
  </si>
  <si>
    <t>'320251240182507602'</t>
  </si>
  <si>
    <t>Z72F3AG7U89Z72F3AG7U89B     98052
A1010BUSD01
MSBILL.INFO
Z72F3AG7U89B     98052</t>
  </si>
  <si>
    <t>'320251240180855216'</t>
  </si>
  <si>
    <t>Z72S38M4KSSZ72S38M4KSSZ     98052
A1010BUSD01
MSBILL.INFO
Z72S38M4KSSZ     98052</t>
  </si>
  <si>
    <t>'320251240182511590'</t>
  </si>
  <si>
    <t>Z73B3B3GDK2Z73B3B3GDK25     98052
A1010BUSD01
MSBILL.INFO
Z73B3B3GDK25     98052</t>
  </si>
  <si>
    <t>'320251240180857812'</t>
  </si>
  <si>
    <t>Z7313AJHTIJZ7313AJHTIJO     98052
A1010BUSD01
REDMOND
Z7313AJHTIJO     98052</t>
  </si>
  <si>
    <t>'320251240182551716'</t>
  </si>
  <si>
    <t>4SA12G4M    4152302377
BT*CLV*VECTORMAGIC
EXCELSIOR
CA
4152302377</t>
  </si>
  <si>
    <t>'320251240168823767'</t>
  </si>
  <si>
    <t>04292439770 8002896229
MACYS   .COM 000000129
MASON
OH
Description : CLSD CASUALS Price : 0.875
8002896229</t>
  </si>
  <si>
    <t>'320251250199330640'</t>
  </si>
  <si>
    <t>CH_3RL56SQT +19172072232
SP FUNCTION OF BEAUTY
NEW YORK
NY
+19172072232</t>
  </si>
  <si>
    <t>'320251240184451864'</t>
  </si>
  <si>
    <t>999999951242123434274
BEAUTY &amp; BARBER
BLVD   *ART AUTONOMY SALO 000000317
NEW YORK
NY
BEAUTY &amp; BARBER
2123434274</t>
  </si>
  <si>
    <t>'320251240176633998'</t>
  </si>
  <si>
    <t>CH_3RKKTTAC +12102013197
COVERGIRL.MAXIM.COM
SAN ANTONIO
TX
+12102013197</t>
  </si>
  <si>
    <t>'320251230134375003'</t>
  </si>
  <si>
    <t>'320251240170457278'</t>
  </si>
  <si>
    <t>HEAVENLY CAFE PRINCENEW YORK            NY</t>
  </si>
  <si>
    <t>73055465124 30119817933@MAVERICKG
30119817933@MAVERICKGATEW
HEAVENLY CAFE PRINCE ST I 554630119817
NEW YORK
NY
30119817933@MAVERICKGATEW</t>
  </si>
  <si>
    <t>172 PRINCE ST</t>
  </si>
  <si>
    <t>'320251250209515470'</t>
  </si>
  <si>
    <t>'320251230133726314'</t>
  </si>
  <si>
    <t>PI BAKERIE          NEW YORK            NY</t>
  </si>
  <si>
    <t>85347035124212-226-2701
PI BAKERIE
NEW YORK
NY
212-226-2701</t>
  </si>
  <si>
    <t>512 BROOME ST</t>
  </si>
  <si>
    <t>10013-1608</t>
  </si>
  <si>
    <t>'320251240184035599'</t>
  </si>
  <si>
    <t>P-035929815 SUBSRIPTION
D J*WSJ
800-568-7625
NJ
SUBSRIPTION</t>
  </si>
  <si>
    <t>'320251230153954031'</t>
  </si>
  <si>
    <t>Hhzk3L7FNOb squareup.com/receipts
THE CLEANERS IO, LLC
New York
NY
squareup.com/receipts</t>
  </si>
  <si>
    <t>'320251220106062894'</t>
  </si>
  <si>
    <t>W15640800065854293656
WEGMANS ASTOR PLACE 156 000000156
NEW YORK
NY
5854293656</t>
  </si>
  <si>
    <t>'320251230150449716'</t>
  </si>
  <si>
    <t>2F3TP949NAT WEB SERVICES
Amazon Web Services
AWS.Amazon.com
WA
WEB SERVICES</t>
  </si>
  <si>
    <t>'320251220122632419'</t>
  </si>
  <si>
    <t>CH_3RK2P4HQ +12128516134
CLEANY
NEW YORK
NY
+12128516134</t>
  </si>
  <si>
    <t>'320251240170465884'</t>
  </si>
  <si>
    <t>73011005121 ANDY@KALL8.COM
KALL8 000895900006429
SEATTLE
WA
ANDY@KALL8.COM</t>
  </si>
  <si>
    <t>'320251220127508029'</t>
  </si>
  <si>
    <t>LYFT                855-280-0278        CA</t>
  </si>
  <si>
    <t>CH_2RJKMJJB2077701729100753794104
2077701729100753772
LYFT
855-280-0278
CA
2077701729100753772
2077701729100753794104</t>
  </si>
  <si>
    <t>185 BERRY ST STE 5000</t>
  </si>
  <si>
    <t>'320251210094355903'</t>
  </si>
  <si>
    <t>NOBEL BURGER        MISSISSAUGA</t>
  </si>
  <si>
    <t>21105185121 FOOD AND BEV
NOBEL BURGER
MISSISSAUGA
FOOD AND BEVForeign Spend Amount: 142.84 CANADIAN DOLLAR Commission Amount:  Currency Exchange Rate: null</t>
  </si>
  <si>
    <t>6301 SILVER DART DR</t>
  </si>
  <si>
    <t>MISSISSAUGA
ON</t>
  </si>
  <si>
    <t>L5P 1B2</t>
  </si>
  <si>
    <t>'320251210085681538'</t>
  </si>
  <si>
    <t>STARBUCKS 04300     TORONTO</t>
  </si>
  <si>
    <t>BE43F18987A FAST FOOD RESTAURANT
STARBUCKS 04300
TORONTO
FAST FOOD RESTAURANTForeign Spend Amount: 12.74 CANADIAN DOLLAR Commission Amount:  Currency Exchange Rate: null</t>
  </si>
  <si>
    <t>4 KING ST WEST</t>
  </si>
  <si>
    <t>M5H 1B6</t>
  </si>
  <si>
    <t>'320251210084906083'</t>
  </si>
  <si>
    <t>CALL IT SPRING 3143 TORONTO</t>
  </si>
  <si>
    <t>1213712001 4169773193
SHOE STORES
CALL IT SPRING 3143
TORONTO
SHOE STORES
4169773193Foreign Spend Amount: 159.28 CANADIAN DOLLAR Commission Amount:  Currency Exchange Rate: null</t>
  </si>
  <si>
    <t>TORONTO EATON CTR
UNITB024A 220 YONGE ST</t>
  </si>
  <si>
    <t>M5B 2H1</t>
  </si>
  <si>
    <t>'320251200053397338'</t>
  </si>
  <si>
    <t>LALINE              TORONTO</t>
  </si>
  <si>
    <t>######Qv5Rc SPORTS CLOTHING
LALINE
TORONTO
SPORTS CLOTHINGForeign Spend Amount: 56.95 CANADIAN DOLLAR Commission Amount:  Currency Exchange Rate: null</t>
  </si>
  <si>
    <t>503 1 YORKDALE RD
SUITE 503</t>
  </si>
  <si>
    <t>M6A 3A1</t>
  </si>
  <si>
    <t>'320251200068145691'</t>
  </si>
  <si>
    <t>THE DANISH PASTRY HOTORONTO</t>
  </si>
  <si>
    <t>11106582511 BAKERY
THE DANISH PASTRY HOUSE 210263580
TORONTO
BAKERYForeign Spend Amount: 7.67 CANADIAN DOLLAR Commission Amount:  Currency Exchange Rate: null</t>
  </si>
  <si>
    <t>220 YONGE ST</t>
  </si>
  <si>
    <t>'320251200064932595'</t>
  </si>
  <si>
    <t>VICTORIA'S SECRET STTORONTO</t>
  </si>
  <si>
    <t>8663153120
VICTORIA'S SECRET STORES #1524
TORONTO
8663153120Foreign Spend Amount: 232.67 CANADIAN DOLLAR Commission Amount:  Currency Exchange Rate: null</t>
  </si>
  <si>
    <t>'320251200063903250'</t>
  </si>
  <si>
    <t>'320251180990222857'</t>
  </si>
  <si>
    <t>CN TOWER RETAIL STORTORONTO</t>
  </si>
  <si>
    <t>884575      TOURIST ATTRACTION
CN TOWER RETAIL STORE
TORONTO
TOURIST ATTRACTIONForeign Spend Amount: 45.45 CANADIAN DOLLAR Commission Amount:  Currency Exchange Rate: null</t>
  </si>
  <si>
    <t>301 FRONT ST WEST FRNT O</t>
  </si>
  <si>
    <t>M5V 2T6</t>
  </si>
  <si>
    <t>'320251180007729167'</t>
  </si>
  <si>
    <t>RIPLEYS AQUARIUM    TORONTO</t>
  </si>
  <si>
    <t>857109      AQUARIUM
RIPLEYS AQUARIUM
TORONTO
AQUARIUMForeign Spend Amount: 8.48 CANADIAN DOLLAR Commission Amount:  Currency Exchange Rate: null</t>
  </si>
  <si>
    <t>288 BREMNER BLVD</t>
  </si>
  <si>
    <t>M5V 3L9</t>
  </si>
  <si>
    <t>'320251180004881969'</t>
  </si>
  <si>
    <t>898418      AQUARIUM
RIPLEYS AQUARIUM
TORONTO
AQUARIUMForeign Spend Amount: 10.16 CANADIAN DOLLAR Commission Amount:  Currency Exchange Rate: null</t>
  </si>
  <si>
    <t>'320251180007683068'</t>
  </si>
  <si>
    <t>CH_3RIIXJ4Y +18009799850
CALENDLY
AVONDALE ESTATES
GA
+18009799850</t>
  </si>
  <si>
    <t>'320251170984861903'</t>
  </si>
  <si>
    <t>EVER NEW MELBOURNE LMISSISSUAGA</t>
  </si>
  <si>
    <t>AATL573     MEN'S/WOMEN'S CLOTHNG
EVER NEW MELBOURNE LTD
MISSISSUAGA
MEN'S/WOMEN'S CLOTHNGForeign Spend Amount: 327.68 CANADIAN DOLLAR Commission Amount:  Currency Exchange Rate: null</t>
  </si>
  <si>
    <t>220 YONGE ST
B221C</t>
  </si>
  <si>
    <t>'320251170982812028'</t>
  </si>
  <si>
    <t>HONEY               TORONTO</t>
  </si>
  <si>
    <t>840299      WOMEN'S CLOTHING
HONEY
TORONTO
WOMEN'S CLOTHINGForeign Spend Amount: 741.28 CANADIAN DOLLAR Commission Amount:  Currency Exchange Rate: null</t>
  </si>
  <si>
    <t>220 YONGE ST
2123A</t>
  </si>
  <si>
    <t>'320251170978889697'</t>
  </si>
  <si>
    <t>SP ALO YOGA CANADA  TORONTO</t>
  </si>
  <si>
    <t>CH_3RIGJRS0 +13232487531
SP ALO YOGA CANADA
TORONTO
+13232487531Foreign Spend Amount: 124.98 CANADIAN DOLLAR Commission Amount:  Currency Exchange Rate: null</t>
  </si>
  <si>
    <t>145 KING ST WEST</t>
  </si>
  <si>
    <t>M5H 4G2</t>
  </si>
  <si>
    <t>'320251170984615501'</t>
  </si>
  <si>
    <t>CH_3RHVCRAC +12102013197
COVERGIRL.MAXIM.COM
SAN ANTONIO
TX
+12102013197</t>
  </si>
  <si>
    <t>'320251140903731314'</t>
  </si>
  <si>
    <t>10185046   8007467287
PHARMACIES
CVS PHARMACY
NEW YORK
NY
PHARMACIES
8007467287</t>
  </si>
  <si>
    <t>'320251150924857769'</t>
  </si>
  <si>
    <t>t8T8ILZTIBH squareup.com/receipts
THE CLEANERS IO, LLC
New York
NY
squareup.com/receipts</t>
  </si>
  <si>
    <t>'320251140888688715'</t>
  </si>
  <si>
    <t>LHtUnGMNtGa squareup.com/receipts
LA COLOMBE - NOHO
New York
NY
squareup.com/receipts</t>
  </si>
  <si>
    <t>'320251130860991446'</t>
  </si>
  <si>
    <t>HAVEN               NEW YORK            NY</t>
  </si>
  <si>
    <t>######BeBCa COMPUTERS &amp; EQUIPMENT
HAVEN
NEW YORK
NY
COMPUTERS &amp; EQUIPMENT</t>
  </si>
  <si>
    <t>250 MERCER ST</t>
  </si>
  <si>
    <t>'320251120852350785'</t>
  </si>
  <si>
    <t>CANVA* I04493-802043CAMDEN              DE</t>
  </si>
  <si>
    <t>CH_2RGRVHK8 +17372853388
CANVA* I04493-80204383
CAMDEN
DE
+17372853388</t>
  </si>
  <si>
    <t>'320251110807851792'</t>
  </si>
  <si>
    <t>RIPLEYSAQUARIUM     647-351-3474</t>
  </si>
  <si>
    <t>40591534K9B TICKETS
RIPLEYSAQUARIUM
647-351-3474
TICKETSForeign Spend Amount: 113.00 CANADIAN DOLLAR Commission Amount:  Currency Exchange Rate: null</t>
  </si>
  <si>
    <t>M5J 3A6</t>
  </si>
  <si>
    <t>'320251120838278911'</t>
  </si>
  <si>
    <t>Entertainment-Theme Parks</t>
  </si>
  <si>
    <t>CH_3RFZ30CF 3235775423
SPLICE.COM
NEW YORK CITY
NY
3235775423</t>
  </si>
  <si>
    <t>'320251100786439791'</t>
  </si>
  <si>
    <t>VILLAGE CRAFT BEER &amp;NEW YORK            NY</t>
  </si>
  <si>
    <t>49400023    646-707-3565
VILLAGE CRAFT BEER &amp; SMO 0000
NEW YORK
NY
Description : GROCERIES/SUNDRIES Price : 0.00
646-707-3565</t>
  </si>
  <si>
    <t>552 LAGUARDIA PL</t>
  </si>
  <si>
    <t>'320251110812543555'</t>
  </si>
  <si>
    <t>W15608600495854293656
WEGMANS ASTOR PLACE 156 000000156
NEW YORK
NY
5854293656</t>
  </si>
  <si>
    <t>'320251110819305262'</t>
  </si>
  <si>
    <t>######BZcTA RESTAURANT
JOEANDTHEJUICE
NEW YORK
RESTAURANT</t>
  </si>
  <si>
    <t>'320251090755733879'</t>
  </si>
  <si>
    <t>FQ30SwXmATo squareup.com/receipts
LA COLOMBE - NOHO
New York
NY
squareup.com/receipts</t>
  </si>
  <si>
    <t>'320251090756957301'</t>
  </si>
  <si>
    <t>LEVIS STORE         NEW YORK            NY</t>
  </si>
  <si>
    <t>126587003   646-613-1847
LEVIS STORE
NEW YORK
NY
Description : APPAREL/ACC Price : 0.00
646-613-1847</t>
  </si>
  <si>
    <t>536 BROADWAY
FRNT A</t>
  </si>
  <si>
    <t>10012-3915</t>
  </si>
  <si>
    <t>'320251100792820109'</t>
  </si>
  <si>
    <t>03020008019 COSMETIC STORE
SEPHORA
NEW YORK
NY
COSMETIC STORE</t>
  </si>
  <si>
    <t>555 BROADWAY
FRNT B</t>
  </si>
  <si>
    <t>10012-3919</t>
  </si>
  <si>
    <t>'320251100789721100'</t>
  </si>
  <si>
    <t>WINDSOR FASHIONS #32NEW YORK            NY</t>
  </si>
  <si>
    <t>806476      WOMEN'S CLOTHING
WINDSOR FASHIONS #32
NEW YORK
NY
WOMEN'S CLOTHING</t>
  </si>
  <si>
    <t>499 BROADWAY</t>
  </si>
  <si>
    <t>'320251100798224697'</t>
  </si>
  <si>
    <t>NYU PHYSICIAN SERVICNEW YORK            NY</t>
  </si>
  <si>
    <t>039-0291485 HEALTHCARE,
NYU PHYSICIAN SERVIC
NEW YORK
NY
"HEALTHCARE,"</t>
  </si>
  <si>
    <t>'320251090765540306'</t>
  </si>
  <si>
    <t>jjBiLqIIae3 squareup.com/receipts
THE CLEANERS IO, LLC
New York
NY
squareup.com/receipts</t>
  </si>
  <si>
    <t>'320251080728304362'</t>
  </si>
  <si>
    <t>W15639800215854293656
WEGMANS ASTOR PLACE 156 000000156
NEW YORK
NY
5854293656</t>
  </si>
  <si>
    <t>'320251090768713729'</t>
  </si>
  <si>
    <t>40100233    212-929-4226
ARISTON CAFE 0000
NEW YORK
NY
Description : FAST FOOD RESTAURAN Price : 0.00
212-929-4226</t>
  </si>
  <si>
    <t>'320251080733549592'</t>
  </si>
  <si>
    <t>CH_3REZTBCF 3235775423
SPLICE.COM
NEW YORK CITY
NY
3235775423</t>
  </si>
  <si>
    <t>'320251060671446179'</t>
  </si>
  <si>
    <t>10085783    8007467287
CVS PHARMACY
NEW YORK
NY
Description : PHARMACIES Price : 0.4982
8007467287</t>
  </si>
  <si>
    <t>'320251060681142670'</t>
  </si>
  <si>
    <t>73011005106DDC1F4EA497C4284910017
KIMBERLY MEEHAN, NP IN PS 316107142119
NEW YORK
NY
DDC1F4EA497C4284910017</t>
  </si>
  <si>
    <t>'320251070716746895'</t>
  </si>
  <si>
    <t>32200010    858-453-7845
PETCO 3741 0374
NEW YORK
NY
Description : PETS/SUPPLIES/ACC Price : 0.00
858-453-7845</t>
  </si>
  <si>
    <t>'320251060684940527'</t>
  </si>
  <si>
    <t>tIBWLr7xezQ squareup.com/receipts
THE CLEANERS IO, LLC
New York
NY
squareup.com/receipts</t>
  </si>
  <si>
    <t>'320251050644554761'</t>
  </si>
  <si>
    <t>128479841548007826724
USPS PO BOXES ONLINE 660247000
800-344-7779
DC
8007826724</t>
  </si>
  <si>
    <t>'320251050665856093'</t>
  </si>
  <si>
    <t>nPiojUjZTMk squareup.com/receipts
LA COLOMBE - NOHO
New York
NY
squareup.com/receipts</t>
  </si>
  <si>
    <t>'320251040618894081'</t>
  </si>
  <si>
    <t>GHG4WY00085 HELP@LEMONADE.COM
LEMONADE INSURANCE 529657
INTERNET
NY
HELP@LEMONADE.COM</t>
  </si>
  <si>
    <t>'320251040616893232'</t>
  </si>
  <si>
    <t>IAJHJL00085 SUPPORT@PATREON.COM
PATREON* MEMBERSHIP 523885
SAN FRANCISCO
CA
SUPPORT@PATREON.COM</t>
  </si>
  <si>
    <t>'320251040616890146'</t>
  </si>
  <si>
    <t>DUTY FREE STORE BY NLAS VEGAS           NV</t>
  </si>
  <si>
    <t>413170729  413130729        89120
DUTY FREE STORE
DUTY FREE STORE BY NUA USVE
LAS VEGAS
NV
DUTY FREE STORE
413130729        89120</t>
  </si>
  <si>
    <t>5757 WAYNE NEWTON BLVD</t>
  </si>
  <si>
    <t>'320251040621690064'</t>
  </si>
  <si>
    <t>HUDSON NEWS ST 1953 LAS VEGAS           NV</t>
  </si>
  <si>
    <t>413172126  413132126        89119
NEWS DEALERS/NEWSSTANDS
HUDSON NEWS ST 1953 1953
LAS VEGAS
NV
NEWS DEALERS/NEWSSTANDS
413132126        89119</t>
  </si>
  <si>
    <t>LAS VEGAS DISTRIBUTION CE
1120 GRIER DRIVE</t>
  </si>
  <si>
    <t>'320251040621697338'</t>
  </si>
  <si>
    <t>LINKEDIN SN P5451083MOUNTAIN VIEW</t>
  </si>
  <si>
    <t>P545108364  SUBSCRIPTIONS
LINKEDIN SN P545108364
MOUNTAIN VIEW
SUBSCRIPTIONS</t>
  </si>
  <si>
    <t>'320251030590486946'</t>
  </si>
  <si>
    <t>CARVERSTEAK         LAS VEGAS           NV</t>
  </si>
  <si>
    <t>35096455   87265            89109
BREAD
TUNATARTARE
CAVIARPOPPERS
STEAKTARTARE
CARVERSTEAK
LAS VEGAS
NV
BREAD
TUNATARTARE
CAVIARPOPPERS
STEAKTARTARE
87265            89109</t>
  </si>
  <si>
    <t>3000 SOUTH LAS VEGAS</t>
  </si>
  <si>
    <t>'320251030591979739'</t>
  </si>
  <si>
    <t>CR SPA VEGAS        S LAS VEGAS         NV</t>
  </si>
  <si>
    <t>99081687   99081687         89109
CR SPA VEGAS
S LAS VEGAS
NV
99081687         89109</t>
  </si>
  <si>
    <t>'320251030600432833'</t>
  </si>
  <si>
    <t>94648415302 DGTL CONTENT
FACEBK *META VERIFIED
FB.ME/CC
CA
DGTL CONTENT</t>
  </si>
  <si>
    <t>'320251030608643481'</t>
  </si>
  <si>
    <t>580372089   www.adobe.com
ADOBE SYSTEMS Adobe Systems
SAN JOSE
CA
Description : 0 Price : 0.1999
www.adobe.com</t>
  </si>
  <si>
    <t>'320251020572902895'</t>
  </si>
  <si>
    <t>580372141   ADOBE.LY/ENUS
ILLUSTRATOR Adobe Systems
SAN JOSE
CA
Description : 0 Price : 0.3449
ADOBE.LY/ENUS</t>
  </si>
  <si>
    <t>'320251020572902742'</t>
  </si>
  <si>
    <t>RWLV STUBBORN SEED RLAS VEGAS           NV</t>
  </si>
  <si>
    <t>793069021   702-676-6632
RWLV STUBBORN SEED RWLV STUBBORN S
LAS VEGAS
NV
702-676-6632</t>
  </si>
  <si>
    <t>3000 SOUTH LAS VEGAS BLVD</t>
  </si>
  <si>
    <t>'320251020567758580'</t>
  </si>
  <si>
    <t>PADDLE.NET* GEOGUESSNEW YORK            NY</t>
  </si>
  <si>
    <t>305733656   ALICE@PADDLE.COM
PADDLE.NET* GEOGUESSR 515334
NEW YORK
NY
ALICE@PADDLE.COM</t>
  </si>
  <si>
    <t>70 WILSON STREET</t>
  </si>
  <si>
    <t>EC2A 2DB</t>
  </si>
  <si>
    <t>'320251000508159620'</t>
  </si>
  <si>
    <t>PALAZZO POOL BAR    LAS VEGAS           NV</t>
  </si>
  <si>
    <t>127919     127919           89109
NONE
PALAZZO POOL BAR
LAS VEGAS
NV
NONE
127919           89109</t>
  </si>
  <si>
    <t>'320251010537905439'</t>
  </si>
  <si>
    <t>6353310 - PEETS B26 JAMAICA             NY</t>
  </si>
  <si>
    <t>RESTAURANT
6353310 - PEETS B26 46457
JAMAICA
NY
RESTAURANT</t>
  </si>
  <si>
    <t>JFK INTERNATIONAL AIRPORT
STORE 1051310</t>
  </si>
  <si>
    <t>'320251000520703790'</t>
  </si>
  <si>
    <t>409142037  409102037        11430
NEWS DEALERS/NEWSSTANDS
HUDSONNEWS  ST1176 1176
JAMAICA
NY
NEWS DEALERS/NEWSSTANDS
409102037        11430</t>
  </si>
  <si>
    <t>'320251000516311236'</t>
  </si>
  <si>
    <t>999999951007028692233
ILLY CAFFE 000000001
LAS VEGAS
NV
7028692233</t>
  </si>
  <si>
    <t>'320251000511493392'</t>
  </si>
  <si>
    <t>Z72H1QJYVH5Z72H1QJYVH5B     98052
MICROSOFT
MSBILL.INFO
Z72H1QJYVH5B     98052</t>
  </si>
  <si>
    <t>'320250990495603761'</t>
  </si>
  <si>
    <t>ATHLETA US 7049     NEW YORK            NY</t>
  </si>
  <si>
    <t>832159     0000000000000000010011
ATHLETA US 7049
NEW YORK
NY
0000000000000000010011</t>
  </si>
  <si>
    <t>126 5TH AVE</t>
  </si>
  <si>
    <t>'320250990494800935'</t>
  </si>
  <si>
    <t>OGLMOVE.COM         ROOM 20 UNIT B3,07/FHK</t>
  </si>
  <si>
    <t>CH_3RBJE7EK +8618620723738
OGLMOVE.COM
ROOM 20 UNIT B3,07/FL
HK</t>
  </si>
  <si>
    <t>"NO.2 SANPING CIRCUIT,TUEN MUN"
"ROOM 20 UNIT B3,07/FL TUEN MUN INDUSTRIA"</t>
  </si>
  <si>
    <t>HONG KONG</t>
  </si>
  <si>
    <t>'320250970428795559'</t>
  </si>
  <si>
    <t>THE BEAN            New York            NY</t>
  </si>
  <si>
    <t>fLeSPvXBdqk squareup.com/receipts
THE BEAN
New York
NY
squareup.com/receipts</t>
  </si>
  <si>
    <t>771 BROADWAY</t>
  </si>
  <si>
    <t>'320250980458115304'</t>
  </si>
  <si>
    <t>p2Zu7noilFd squareup.com/receipts
THE CLEANERS IO, LLC
New York
NY
squareup.com/receipts</t>
  </si>
  <si>
    <t>'320250980456462408'</t>
  </si>
  <si>
    <t>INTUIT *TURBOTAX    800-446-8848        CA</t>
  </si>
  <si>
    <t>09110U17440 CL.INTUIT.COM
INTUIT *TURBOTAX
800-446-8848
CA
CL.INTUIT.COM</t>
  </si>
  <si>
    <t>7535 TORREY SANTA FE RD</t>
  </si>
  <si>
    <t>SAN DIEGO
CA</t>
  </si>
  <si>
    <t>92129-5704</t>
  </si>
  <si>
    <t>'320250980470473365'</t>
  </si>
  <si>
    <t>00631157138 877-461-2631
IONOS
www.ionos.com
PA
877-461-2631</t>
  </si>
  <si>
    <t>'320250980468774091'</t>
  </si>
  <si>
    <t>'150408060000496293'</t>
  </si>
  <si>
    <t>z7Lrpn2xYH7 squareup.com/receipts
LA COLOMBE - NOHO
New York
NY
squareup.com/receipts</t>
  </si>
  <si>
    <t>'320250970432166091'</t>
  </si>
  <si>
    <t>BLUESTONE LANE - 150New York            NY</t>
  </si>
  <si>
    <t>lOQt6Ei2ovd squareup.com/receipts
BLUESTONE LANE - 150
New York
NY
squareup.com/receipts</t>
  </si>
  <si>
    <t>1120 6TH AVE</t>
  </si>
  <si>
    <t>'320250960402344041'</t>
  </si>
  <si>
    <t>FACEBK *QE7ZBP4RF2  MENLO PARK</t>
  </si>
  <si>
    <t>96420498392 ADVERTISING SERVICE
FACEBK *QE7ZBP4RF2
MENLO PARK
ADVERTISING SERVICE</t>
  </si>
  <si>
    <t>'320250960406289962'</t>
  </si>
  <si>
    <t>00008301    212-531-1110
JUICE GENERATION 19 0001
NEW YORK
NY
Description : SPORTS/RIDING APPAR Price : 0.00
212-531-1110</t>
  </si>
  <si>
    <t>'320250970431481776'</t>
  </si>
  <si>
    <t>465H9T00113 HELP@LEMONADE.COM
LEMONADE INSURANCE 529657
INTERNET
NY
HELP@LEMONADE.COM</t>
  </si>
  <si>
    <t>'320250960400141199'</t>
  </si>
  <si>
    <t>RC139579616CABLE SVC
SPECTRUM
855-707-7328
MO
CABLE SVC</t>
  </si>
  <si>
    <t>'320250960405240270'</t>
  </si>
  <si>
    <t>STAPLES.COM         800-333-3330        MA</t>
  </si>
  <si>
    <t>365652801  6946420174       100036
ORD 6946420174      ;REQ Kylie DAlessand
IT1 UPLOAD YOUR;UPI      27.9900;QTY1
IT2            ;UPI       0.0000;QTY
FRT         0.00;HDL         0.00;ITM1
STAPLES.COM
800-333-3330
MA
ORD 6946420174      ;REQ Kylie DAlessand
IT1 UPLOAD YOUR;UPI      27.9900;QTY1
IT2            ;UPI       0.0000;QTY
FRT         0.00;HDL         0.00;ITM1
6946420174       100036</t>
  </si>
  <si>
    <t>500 STAPLES DR</t>
  </si>
  <si>
    <t>FRAMINGHAM
MA</t>
  </si>
  <si>
    <t>01702-4474</t>
  </si>
  <si>
    <t>'320250950386512316'</t>
  </si>
  <si>
    <t>Z72C1GSO96KZ72C1GSO96KA     98052
A1010BUSD01
MSBILL.INFO
Z72C1GSO96KA     98052</t>
  </si>
  <si>
    <t>'320250940367028361'</t>
  </si>
  <si>
    <t>Z72A1F9Q6AHZ72A1F9Q6AHV     98052
A1010BUSD01
MSBILL.INFO
Z72A1F9Q6AHV     98052</t>
  </si>
  <si>
    <t>'320250940367029806'</t>
  </si>
  <si>
    <t>Z7291FBY8PSZ7291FBY8PS8     98052
A1010BUSD01
MSBILL.INFO
Z7291FBY8PS8     98052</t>
  </si>
  <si>
    <t>'320250940367023463'</t>
  </si>
  <si>
    <t>Z7291GS47QQZ7291GS47QQZ     98052
A1010BUSD01
MSBILL.INFO
Z7291GS47QQZ     98052</t>
  </si>
  <si>
    <t>'320250940367031022'</t>
  </si>
  <si>
    <t>Z72C1FD28HLZ72C1FD28HLF     98052
A1010BUSD01
MSBILL.INFO
Z72C1FD28HLF     98052</t>
  </si>
  <si>
    <t>'320250940367070159'</t>
  </si>
  <si>
    <t>Z72X1F8GLWRZ72X1F8GLWR8     98052
A1010BUSD01
REDMOND
Z72X1F8GLWR8     98052</t>
  </si>
  <si>
    <t>'320250940367059293'</t>
  </si>
  <si>
    <t>P-034715865 SUBSRIPTION
D J*WSJ
800-568-7625
NJ
SUBSRIPTION</t>
  </si>
  <si>
    <t>'320250950391320064'</t>
  </si>
  <si>
    <t>73011005094 ANDY@KALL8.COM
KALL8 000895900006429
SEATTLE
WA
ANDY@KALL8.COM</t>
  </si>
  <si>
    <t>'320250950395010982'</t>
  </si>
  <si>
    <t>40300261    212-929-4226
ARISTON CAFE 0000
NEW YORK
NY
Description : FAST FOOD RESTAURAN Price : 0.00
212-929-4226</t>
  </si>
  <si>
    <t>'320250940363491314'</t>
  </si>
  <si>
    <t>NAN3MF5J    4152302377
BT*CLV*VECTORMAGIC
EXCELSIOR
CA
4152302377</t>
  </si>
  <si>
    <t>'320250930320767992'</t>
  </si>
  <si>
    <t>'320250940355659040'</t>
  </si>
  <si>
    <t>'320250930317950007'</t>
  </si>
  <si>
    <t>WL *STEAM PURCHASE  SEATTLE             WA</t>
  </si>
  <si>
    <t>71094475093 425-952-2985
WL *STEAM PURCHASE
SEATTLE
WA
425-952-2985</t>
  </si>
  <si>
    <t>10400 NORTH EAST
4TH STE STE 1400</t>
  </si>
  <si>
    <t>'320250930321616936'</t>
  </si>
  <si>
    <t>LATE FEE</t>
  </si>
  <si>
    <t>'320250923315338028'</t>
  </si>
  <si>
    <t>4N7PR24HVE2 WEB SERVICES
Amazon Web Services
AWS.Amazon.com
WA
WEB SERVICES</t>
  </si>
  <si>
    <t>'320250910261487408'</t>
  </si>
  <si>
    <t>00008775    212-531-1110
JUICE GENERATION 19 0001
NEW YORK
NY
Description : SPORTS/RIDING APPAR Price : 0.00
212-531-1110</t>
  </si>
  <si>
    <t>'320250920295852683'</t>
  </si>
  <si>
    <t>10082425   8007467287
PHARMACIES
CVS PHARMACY
NEW YORK
NY
PHARMACIES
8007467287</t>
  </si>
  <si>
    <t>'320250910272030762'</t>
  </si>
  <si>
    <t>CH_3R8T5JAC +12102013197
COVERGIRL.MAXIM.COM
SAN ANTONIO
TX
+12102013197</t>
  </si>
  <si>
    <t>'320250900251983662'</t>
  </si>
  <si>
    <t>W15640900605854293656
WEGMANS ASTOR PLACE 156 000000156
NEW YORK
NY
5854293656</t>
  </si>
  <si>
    <t>'320250900247296955'</t>
  </si>
  <si>
    <t>IN *DYNAMICS USER GRMIDDLETON           WI</t>
  </si>
  <si>
    <t>086IAAM8TJG6041             535625
IN *DYNAMICS USER GROUP
MIDDLETON
WI
6041             535625</t>
  </si>
  <si>
    <t>9912 SHINING WILLOW ST</t>
  </si>
  <si>
    <t>MIDDLETON
WI</t>
  </si>
  <si>
    <t>53562-5135</t>
  </si>
  <si>
    <t>'320250860130426590'</t>
  </si>
  <si>
    <t>Other-Education</t>
  </si>
  <si>
    <t>CH_3R74BJ4Y +18009799850
CALENDLY
AVONDALE ESTATES
GA
+18009799850</t>
  </si>
  <si>
    <t>'320250860147753912'</t>
  </si>
  <si>
    <t>FACTOR75            BATAVIA             IL</t>
  </si>
  <si>
    <t>MR029240717 18885735727
FACTOR75
BATAVIA
IL
18885735727</t>
  </si>
  <si>
    <t>1853 SUNCAST LN</t>
  </si>
  <si>
    <t>BATAVIA
IL</t>
  </si>
  <si>
    <t>'320250840083397476'</t>
  </si>
  <si>
    <t>084IAAM1TEX24217            770791
IN *THE WALLENSTEIN LAW GROUP
HOUSTON
TX
24217            770791</t>
  </si>
  <si>
    <t>'320250840078007070'</t>
  </si>
  <si>
    <t>73011005085DDC1F4EA497C4284910017
KIMBERLY MEEHAN, NP IN PS 316107142119
NEW YORK
NY
DDC1F4EA497C4284910017</t>
  </si>
  <si>
    <t>'320250860148129528'</t>
  </si>
  <si>
    <t>37600020    858-453-7845
PETCO 3741 0374
NEW YORK
NY
Description : PETS/SUPPLIES/ACC Price : 0.00
858-453-7845</t>
  </si>
  <si>
    <t>'320250840086754063'</t>
  </si>
  <si>
    <t>0SM1JGPH2BX 2126735388
WHOLEFDS USQ 10162 000010162
NEW YORK
NY
Description : GROCERY STORES Price : 0.1938
2126735388</t>
  </si>
  <si>
    <t>'320250840091984652'</t>
  </si>
  <si>
    <t>CANVA* I04462-634395CAMDEN              DE</t>
  </si>
  <si>
    <t>CH_2R5DA2K8 +17372853388
CANVA* I04462-63439562
CAMDEN
DE
+17372853388</t>
  </si>
  <si>
    <t>'320250800992428253'</t>
  </si>
  <si>
    <t>FACEBK *XK59HM8RF2  MENLO PARK</t>
  </si>
  <si>
    <t>94366974564 ADVERTISING SERVICE
FACEBK *XK59HM8RF2
MENLO PARK
ADVERTISING SERVICE</t>
  </si>
  <si>
    <t>'320250800983522438'</t>
  </si>
  <si>
    <t>W15608600605854293656
WEGMANS ASTOR PLACE 156 000000156
NEW YORK
NY
5854293656</t>
  </si>
  <si>
    <t>'320250810010059507'</t>
  </si>
  <si>
    <t>00492200046 2123531330
GRISTEDES
NEW YORK
NY
Description : GROCERY STORES Price : 0.4595
2123531330</t>
  </si>
  <si>
    <t>'320250800981090107'</t>
  </si>
  <si>
    <t>IN *HEIDI KLING, PHDNEW YORK            NY</t>
  </si>
  <si>
    <t>080IAALRLX98420             100033
IN *HEIDI KLING, PHD
NEW YORK
NY
8420             100033</t>
  </si>
  <si>
    <t>18 EAST 16TH ST
RM 503</t>
  </si>
  <si>
    <t>10003-3111</t>
  </si>
  <si>
    <t>'320250800970370532'</t>
  </si>
  <si>
    <t>CH_3R4KGZCF 3235775423
SPLICE.COM
NEW YORK CITY
NY
3235775423</t>
  </si>
  <si>
    <t>'320250790947099410'</t>
  </si>
  <si>
    <t>ATOMIC GOLF LAS VEGALAS VEGAS           NV</t>
  </si>
  <si>
    <t>######53lkb RESTAURANT
ATOMIC GOLF LAS VEGAS
LAS VEGAS
NV
RESTAURANT</t>
  </si>
  <si>
    <t>1850 SOUTH MAIN ST</t>
  </si>
  <si>
    <t>'320250790964459038'</t>
  </si>
  <si>
    <t>TI CIRQUE TICKET OFFLAS VEGAS           NV</t>
  </si>
  <si>
    <t>49440922    702-894-7533
TI CIRQUE TICKET OFF CNP
LAS VEGAS
NV
Description : ADMISSION/TICKETS Price : 0.00
702-894-7533</t>
  </si>
  <si>
    <t>3300 LAS VEGAS BLVD SOUTH TREASURE IS</t>
  </si>
  <si>
    <t>'320250780921305579'</t>
  </si>
  <si>
    <t>Entertainment-Other Entertainment</t>
  </si>
  <si>
    <t>TST* BARKING DOG 000NEW YORK            NY</t>
  </si>
  <si>
    <t>21105175079 RESTAURANT
TST* BARKING DOG 00022701
NEW YORK
NY
RESTAURANT</t>
  </si>
  <si>
    <t>1678 3RD AVE</t>
  </si>
  <si>
    <t>'320250790950104297'</t>
  </si>
  <si>
    <t>MR029230554 18885735727
FACTOR75
BATAVIA
IL
18885735727</t>
  </si>
  <si>
    <t>'320250770898010667'</t>
  </si>
  <si>
    <t>ONE MEDICAL         SAN FRANCISCO       CA</t>
  </si>
  <si>
    <t>CH_3R46DTI4 +18886636331
ONE MEDICAL
SAN FRANCISCO
CA
+18886636331</t>
  </si>
  <si>
    <t>1 EMBARCADERO
CTR SUITE 1900</t>
  </si>
  <si>
    <t>'320250770891303732'</t>
  </si>
  <si>
    <t>VENETIAN VOLTAIRE   LAS VEGAS           NV</t>
  </si>
  <si>
    <t>CH_3R4ACVJK +17024141000
LODGING
VENETIAN VOLTAIRE
LAS VEGAS
NV</t>
  </si>
  <si>
    <t>'320250780935481040'</t>
  </si>
  <si>
    <t>CUSTOMINK GROUPS    FAIRFAX             VA</t>
  </si>
  <si>
    <t>8ETPKCC0   15799381         100121
CUSTOMINK GROUPS
FAIRFAX
VA
15799381         100121</t>
  </si>
  <si>
    <t>1640 BORO PL SUITE 301</t>
  </si>
  <si>
    <t>TYSONS
VA</t>
  </si>
  <si>
    <t>'320250760875258757'</t>
  </si>
  <si>
    <t>W15639800115854293656
WEGMANS ASTOR PLACE 156 000000156
NEW YORK
NY
5854293656</t>
  </si>
  <si>
    <t>'320250770903125628'</t>
  </si>
  <si>
    <t>CH_3R3KHBCF 3235775423
SPLICE.COM
NEW YORK CITY
NY
3235775423</t>
  </si>
  <si>
    <t>'320250750840252297'</t>
  </si>
  <si>
    <t>######AVUFh INSURANCE SALES
LEMONADE INSURANCE COMPANY
NEW YORK
NY
INSURANCE SALES</t>
  </si>
  <si>
    <t>'320250740828387852'</t>
  </si>
  <si>
    <t>XOPRVF01296 SUPPORT@PATREON.COM
PATREON* MEMBERSHIP 523885
SAN FRANCISCO
CA
SUPPORT@PATREON.COM</t>
  </si>
  <si>
    <t>'320250730785046467'</t>
  </si>
  <si>
    <t>LINKEDIN SN P4817294MOUNTAIN VIEW</t>
  </si>
  <si>
    <t>P481729424  SUBSCRIPTIONS
LINKEDIN SN P481729424
MOUNTAIN VIEW
SUBSCRIPTIONS</t>
  </si>
  <si>
    <t>'320250720757291362'</t>
  </si>
  <si>
    <t>92616935506 DGTL CONTENT
FACEBK *META VERIFIED
FB.ME/CC
CA
DGTL CONTENT</t>
  </si>
  <si>
    <t>'320250720773605125'</t>
  </si>
  <si>
    <t>H7YQT7OdVTG squareup.com/receipts
THE CLEANERS IO, LLC
New York
NY
squareup.com/receipts</t>
  </si>
  <si>
    <t>'320250710735811845'</t>
  </si>
  <si>
    <t>lKci3phB0nb squareup.com/receipts
THE CLEANERS IO, LLC
New York
NY
squareup.com/receipts</t>
  </si>
  <si>
    <t>'320250710735137437'</t>
  </si>
  <si>
    <t>576133396   www.adobe.com
ADOBE SYSTEMS Adobe Systems
SAN JOSE
CA
Description : 0 Price : 0.1999
www.adobe.com</t>
  </si>
  <si>
    <t>'320250710738275245'</t>
  </si>
  <si>
    <t>10102252   8007467287
PHARMACIES
CVS/PHARMACY #10612 000010612
MANHATTAN
NY
PHARMACIES
8007467287</t>
  </si>
  <si>
    <t>'320250700714695843'</t>
  </si>
  <si>
    <t>Z635ZVQ040JZ635ZVQ040JP     98052
MICROSOFT
MSBILL.INFO
Z635ZVQ040JP     98052</t>
  </si>
  <si>
    <t>'320250680659662145'</t>
  </si>
  <si>
    <t>BOND VET* BOND VET IMANHATTAN           NY</t>
  </si>
  <si>
    <t>CH_3R0SIIGO +17186736763
BOND VET* BOND VET INV
MANHATTAN
NY
+17186736763</t>
  </si>
  <si>
    <t>111 WEST 19TH ST
4TH FLOOR</t>
  </si>
  <si>
    <t>'320250670625571263'</t>
  </si>
  <si>
    <t>P-033558940 SUBSRIPTION
D J*WSJ
800-568-7625
NJ
SUBSRIPTION</t>
  </si>
  <si>
    <t>'320250670643796710'</t>
  </si>
  <si>
    <t>00587538540 877-461-2631
IONOS
www.ionos.com
PA
877-461-2631</t>
  </si>
  <si>
    <t>'320250670643213103'</t>
  </si>
  <si>
    <t>10189584   8007467287
PHARMACIES
CVS PHARMACY
NEW YORK
NY
PHARMACIES
8007467287</t>
  </si>
  <si>
    <t>'320250660609370474'</t>
  </si>
  <si>
    <t>10186584   8007467287
PHARMACIES
CVS/PHARMACY #10612 000010612
MANHATTAN
NY
PHARMACIES
8007467287</t>
  </si>
  <si>
    <t>'320250660611585750'</t>
  </si>
  <si>
    <t>UUPOT800081 HELP@LEMONADE.COM
LEMONADE INSURANCE 529657
INTERNET
NY
HELP@LEMONADE.COM</t>
  </si>
  <si>
    <t>'320250650576014814'</t>
  </si>
  <si>
    <t>RC134732026CABLE SVC
SPECTRUM
855-707-7328
MO
CABLE SVC</t>
  </si>
  <si>
    <t>'320250650580732272'</t>
  </si>
  <si>
    <t>73011005064 ANDY@KALL8.COM
KALL8 000895900006429
SEATTLE
WA
ANDY@KALL8.COM</t>
  </si>
  <si>
    <t>'320250650592199618'</t>
  </si>
  <si>
    <t>73011005065DDC1F4EA497C4284910017
KIMBERLY MEEHAN, NP IN PS 316107142119
NEW YORK
NY
DDC1F4EA497C4284910017</t>
  </si>
  <si>
    <t>'320250660618530965'</t>
  </si>
  <si>
    <t>Z631ZJ919A8Z631ZJ919A8F     98052
A1010BUSD01
MSBILL.INFO
Z631ZJ919A8F     98052</t>
  </si>
  <si>
    <t>'320250630542653519'</t>
  </si>
  <si>
    <t>Z62FZJ9N0ZGZ62FZJ9N0ZGM     98052
A1010BUSD01
MSBILL.INFO
Z62FZJ9N0ZGM     98052</t>
  </si>
  <si>
    <t>'320250630542647866'</t>
  </si>
  <si>
    <t>Z634ZJL8JTWZ634ZJL8JTWZ     98052
A1010BUSD01
MSBILL.INFO
Z634ZJL8JTWZ     98052</t>
  </si>
  <si>
    <t>'320250630542653034'</t>
  </si>
  <si>
    <t>Z62DZJ6Z68ZZ62DZJ6Z68Z3     98052
A1010BUSD01
MSBILL.INFO
Z62DZJ6Z68Z3     98052</t>
  </si>
  <si>
    <t>'320250630542654789'</t>
  </si>
  <si>
    <t>Z632ZJLSM8HZ632ZJLSM8H2     98052
A1010BUSD01
MSBILL.INFO
Z632ZJLSM8H2     98052</t>
  </si>
  <si>
    <t>'320250630542684618'</t>
  </si>
  <si>
    <t>Z632ZJKONN9Z632ZJKONN90     98052
A1010BUSD01
REDMOND
Z632ZJKONN90     98052</t>
  </si>
  <si>
    <t>'320250630542677562'</t>
  </si>
  <si>
    <t>MR029210321 18885735727
FACTOR75
BATAVIA
IL
18885735727</t>
  </si>
  <si>
    <t>'320250630530081141'</t>
  </si>
  <si>
    <t>'320250630530890650'</t>
  </si>
  <si>
    <t>4H9R9HKA43E WEB SERVICES
Amazon Web Services
AWS.Amazon.com
WA
WEB SERVICES</t>
  </si>
  <si>
    <t>'320250610484878454'</t>
  </si>
  <si>
    <t>CH_3QXZS2E3 +13237459427
BS* BREAKINGSOUNDNYC B
WOODLAND HILLS
CA
+13237459427</t>
  </si>
  <si>
    <t>'320250610488680169'</t>
  </si>
  <si>
    <t>JACK'S COFFEE       NEW YORK            NY</t>
  </si>
  <si>
    <t>79937912   3760627          10001
RESTAURANT
JACK'S COFFEE
NEW YORK
NY
RESTAURANT
3760627          10001</t>
  </si>
  <si>
    <t>500 WEST 33RD ST</t>
  </si>
  <si>
    <t>'320250610484151013'</t>
  </si>
  <si>
    <t>00797780564 LOCAL TRANSPORTATION
NYCT PAYGO
NEW YORK
NY
LOCAL TRANSPORTATION</t>
  </si>
  <si>
    <t>'320250610478050143'</t>
  </si>
  <si>
    <t>TST* LADUREE - HUDSONEW YORK            NY</t>
  </si>
  <si>
    <t>21105175061 BAKERY
TST* LADUREE - HUDSON YAR 00079611
NEW YORK
NY
BAKERY</t>
  </si>
  <si>
    <t>396 WEST BROADWAY</t>
  </si>
  <si>
    <t>'320250610475982753'</t>
  </si>
  <si>
    <t>CH_3QXZDSAC +12102013197
COVERGIRL.MAXIM.COM
SAN ANTONIO
TX
+12102013197</t>
  </si>
  <si>
    <t>'320250600459468406'</t>
  </si>
  <si>
    <t>d8d5DazIRNg squareup.com/receipts
THE CLEANERS IO, LLC
New York
NY
squareup.com/receipts</t>
  </si>
  <si>
    <t>'320250590409683601'</t>
  </si>
  <si>
    <t>AITUBOART           HUNGHOM             HK</t>
  </si>
  <si>
    <t>NT_RQWO2WEA +8613810103680
AITUBOART
HUNGHOM
HK</t>
  </si>
  <si>
    <t>"ROOM A222, 3TH FLOOR, NO. 2G, HANG FUNG"
HUNGHOM</t>
  </si>
  <si>
    <t>'320250570356381740'</t>
  </si>
  <si>
    <t>NT_RQTO3WCA +12102013197
COVERGIRL.MAXIM.COM
SAN ANTONIO
TX
+12102013197</t>
  </si>
  <si>
    <t>'320250580381877071'</t>
  </si>
  <si>
    <t>10184074    8007467287
CVS/PHARMACY #10612 000010612
MANHATTAN
NY
Description : PHARMACIES Price : 0.27
8007467287</t>
  </si>
  <si>
    <t>'320250590422616253'</t>
  </si>
  <si>
    <t>35300009    858-453-7845
PETCO 3741 0374
NEW YORK
NY
Description : PETS/SUPPLIES/ACC Price : 0.00
858-453-7845</t>
  </si>
  <si>
    <t>'320250590421043242'</t>
  </si>
  <si>
    <t>NT_RQD2DIH1 +18009799850
CALENDLY
AVONDALE ESTATES
GA
+18009799850</t>
  </si>
  <si>
    <t>'320250580400578237'</t>
  </si>
  <si>
    <t>00797024511 LOCAL TRANSPORTATION
NYCT PAYGO
NEW YORK
NY
LOCAL TRANSPORTATION</t>
  </si>
  <si>
    <t>'320250580394672183'</t>
  </si>
  <si>
    <t>PRET A MANGER US0092NEW YORK            NY</t>
  </si>
  <si>
    <t>00049106   49106            10038
PRET A MANGER US0092 FU
PRET A MANGER US0092 US00
NEW YORK
NY
PRET A MANGER US0092 FU
49106            10038</t>
  </si>
  <si>
    <t>147 FULTON ST</t>
  </si>
  <si>
    <t>'320250580385992352'</t>
  </si>
  <si>
    <t>MR029200174 18885735727
FACTOR75
BATAVIA
IL
18885735727</t>
  </si>
  <si>
    <t>'320250560336546773'</t>
  </si>
  <si>
    <t>W15608102565854293656
WEGMANS ASTOR PLACE 156 000000156
NEW YORK
NY
5854293656</t>
  </si>
  <si>
    <t>'320250570365419943'</t>
  </si>
  <si>
    <t>ONEMED-FIDI FULTON SNEW YORK            NY</t>
  </si>
  <si>
    <t>73011385056 ADMIN@ONEMEDICAL.COM
ONEMED-FIDI FULTON STREET 000875000140
NEW YORK
NY
ADMIN@ONEMEDICAL.COM</t>
  </si>
  <si>
    <t>185 BROADWAY
2ND FLOOR</t>
  </si>
  <si>
    <t>'320250560350715238'</t>
  </si>
  <si>
    <t>'320250550303696282'</t>
  </si>
  <si>
    <t>NT_RPNNDS1P +12102013197
COVERGIRL.MAXIM.COM
SAN ANTONIO
TX
+12102013197</t>
  </si>
  <si>
    <t>'320250540279615228'</t>
  </si>
  <si>
    <t>99999995055NONE             10003
PHARMACIES
DUANE READE #14468 000014468
NEW YORK
NY
PHARMACIES
NONE             10003</t>
  </si>
  <si>
    <t>'320250550317478332'</t>
  </si>
  <si>
    <t>EATALY NY CATAPULT  NEW YORK            NY</t>
  </si>
  <si>
    <t>00720038449 212-229-2560
EATALY NY CATAPULT
NEW YORK
NY
Description : GROCERIES/SUNDRIES Price : 0.00
212-229-2560</t>
  </si>
  <si>
    <t>FRONT 200 5TH AVE</t>
  </si>
  <si>
    <t>'320250540294365208'</t>
  </si>
  <si>
    <t>TMPL ASTOR PLACE 000NEW YORK            NY</t>
  </si>
  <si>
    <t>62100007    917-877-1400
TMPL ASTOR PLACE 0000
NEW YORK
NY
Description : MEMBERSHIP FEES Price : 0.00
917-877-1400</t>
  </si>
  <si>
    <t>'320250530266725164'</t>
  </si>
  <si>
    <t>FS *TECHSMITH       877-327-8914        CA</t>
  </si>
  <si>
    <t>XXZLPSSQSTC8C1229756CAC0089 93101
FS *TECHSMITH
877-327-8914
CA
8C1229756CAC0089 93101</t>
  </si>
  <si>
    <t>'320250520247080810'</t>
  </si>
  <si>
    <t>NT_RODMLUB8 3235775423
SPLICE.COM
NEW YORK CITY
NY
3235775423</t>
  </si>
  <si>
    <t>'320250510209436177'</t>
  </si>
  <si>
    <t>LE REVEIL COFFEE COMNew York            NY</t>
  </si>
  <si>
    <t>VMd4VSTj3To squareup.com/receipts
LE REVEIL COFFEE COMPANY
New York
NY
squareup.com/receipts</t>
  </si>
  <si>
    <t>1322 2ND AVE</t>
  </si>
  <si>
    <t>'320250500184345257'</t>
  </si>
  <si>
    <t>SHAKESPEARE AND CO  NEW YORK            NY</t>
  </si>
  <si>
    <t>85340737    212-772-3400
SHAKESPEARE AND CO
NEW YORK
NY
Description : BUSINESS SERVICES Price : 0.00
212-772-3400</t>
  </si>
  <si>
    <t>939 LEXINGTON AVE</t>
  </si>
  <si>
    <t>'320250510220853629'</t>
  </si>
  <si>
    <t>MR029190026 18885735727
FACTOR75
BATAVIA
IL
18885735727</t>
  </si>
  <si>
    <t>'320250490158986548'</t>
  </si>
  <si>
    <t>73011005049DDC1F4EA497C4284910017
KIMBERLY MEEHAN, NP IN PS 316107142119
NEW YORK
NY
DDC1F4EA497C4284910017</t>
  </si>
  <si>
    <t>'320250500194626037'</t>
  </si>
  <si>
    <t>CVS/PHARMACY #10407 NEW YORK            NY</t>
  </si>
  <si>
    <t>10042964   8007467287
PHARMACIES
CVS/PHARMACY #10407 000010407
NEW YORK
NY
PHARMACIES
8007467287</t>
  </si>
  <si>
    <t>298 MULBERRY ST</t>
  </si>
  <si>
    <t>'320250480136051302'</t>
  </si>
  <si>
    <t>NT_RMKRV0TW 3235775423
SPLICE.COM
NEW YORK CITY
NY
3235775423</t>
  </si>
  <si>
    <t>'320250470102845599'</t>
  </si>
  <si>
    <t>######9qE6E INSURANCE SALES
LEMONADE INSURANCE COMPANY
NEW YORK
NY
INSURANCE SALES</t>
  </si>
  <si>
    <t>'320250450048320896'</t>
  </si>
  <si>
    <t>93ZH5X01381 SUPPORT@PATREON.COM
PATREON* MEMBERSHIP 523885
SAN FRANCISCO
CA
SUPPORT@PATREON.COM</t>
  </si>
  <si>
    <t>'320250450050665703'</t>
  </si>
  <si>
    <t>LINKEDIN SN P4231103MOUNTAIN VIEW</t>
  </si>
  <si>
    <t>P423110314  SUBSCRIPTIONS
LINKEDIN SN P423110314
MOUNTAIN VIEW
SUBSCRIPTIONS</t>
  </si>
  <si>
    <t>'320250440024587251'</t>
  </si>
  <si>
    <t>03295757194 8002896229
MACYS   .COM 000000129
MASON
OH
Description : 1400TC CVC BROOKLIN Price : 0.84
8002896229</t>
  </si>
  <si>
    <t>'320250450056658774'</t>
  </si>
  <si>
    <t>35500029    858-453-7845
PETCO 3741 0374
NEW YORK
NY
Description : PETS/SUPPLIES/ACC Price : 0.00
858-453-7845</t>
  </si>
  <si>
    <t>'320250450059709946'</t>
  </si>
  <si>
    <t>92505295883 DGTL CONTENT
FACEBK *META VERIFIED
FB.ME/CC
CA
DGTL CONTENT</t>
  </si>
  <si>
    <t>'320250440041945161'</t>
  </si>
  <si>
    <t>UNSIGNDONLY         6152514441          TN</t>
  </si>
  <si>
    <t>10172707740 6152514441
UNSIGNDONLY
6152514441
TN
Description : DEPARTMENT STORE Price : 0.00
6152514441</t>
  </si>
  <si>
    <t>3940 GALLATIN PIKE</t>
  </si>
  <si>
    <t>NASHVILLE
TN</t>
  </si>
  <si>
    <t>'320250440035987466'</t>
  </si>
  <si>
    <t>W15608200165854293656
WEGMANS ASTOR PLACE 156 000000156
NEW YORK
NY
5854293656</t>
  </si>
  <si>
    <t>'320250440032055213'</t>
  </si>
  <si>
    <t>572106323   www.adobe.com
ADOBE SYSTEMS Adobe Systems
SAN JOSE
CA
Description : 0 Price : 0.1999
www.adobe.com</t>
  </si>
  <si>
    <t>'320250430004470585'</t>
  </si>
  <si>
    <t>MR029179885 18885735727
FACTOR75
BATAVIA
IL
18885735727</t>
  </si>
  <si>
    <t>'320250420977296660'</t>
  </si>
  <si>
    <t>Z629Y6C9MZ1Z629Y6C9MZ16     98052
MICROSOFT
MSBILL.INFO
Z629Y6C9MZ16     98052</t>
  </si>
  <si>
    <t>'320250400929589748'</t>
  </si>
  <si>
    <t>W15640900655854293656
WEGMANS ASTOR PLACE 156 000000156
NEW YORK
NY
5854293656</t>
  </si>
  <si>
    <t>'320250410959801255'</t>
  </si>
  <si>
    <t>CVS/PHARMACY #10613 NEW YORK            NY</t>
  </si>
  <si>
    <t>10099734    8007467287
CVS/PHARMACY #10613 000010613
NEW YORK
NY
Description : PHARMACIES Price : 0.21
8007467287</t>
  </si>
  <si>
    <t>5 PENN PLZ FL 8</t>
  </si>
  <si>
    <t>'320250400934651369'</t>
  </si>
  <si>
    <t>P-032379159 SUBSRIPTION
D J*WSJ
800-568-7625
NJ
SUBSRIPTION</t>
  </si>
  <si>
    <t>'320250390913976819'</t>
  </si>
  <si>
    <t>######3yGOL DIGITAL GOODS: GAMES
ELECTRONIC ARTS INC.
REDWOOD CITY
CA
DIGITAL GOODS: GAMES</t>
  </si>
  <si>
    <t>'320250380888165351'</t>
  </si>
  <si>
    <t>00590493545 877-461-2631
IONOS
www.ionos.com
PA
877-461-2631</t>
  </si>
  <si>
    <t>'320250390913205626'</t>
  </si>
  <si>
    <t>LVWXKDQed3N squareup.com/receipts
THE CLEANERS IO, LLC
New York
NY
squareup.com/receipts</t>
  </si>
  <si>
    <t>'320250380870135104'</t>
  </si>
  <si>
    <t>W15608400815854293656
WEGMANS ASTOR PLACE 156 000000156
NEW YORK
NY
5854293656</t>
  </si>
  <si>
    <t>'320250390910497114'</t>
  </si>
  <si>
    <t>999999950382123434274
BEAUTY &amp; BARBER
BLVD   *ART AUTONOMY SALO 000000317
NEW YORK
NY
BEAUTY &amp; BARBER
2123434274</t>
  </si>
  <si>
    <t>'320250380880326630'</t>
  </si>
  <si>
    <t>73011005037DDC1F4EA497C4284910017
KIMBERLY MEEHAN, NP IN PS 316107142119
NEW YORK
NY
DDC1F4EA497C4284910017</t>
  </si>
  <si>
    <t>'320250380889616754'</t>
  </si>
  <si>
    <t>35UHOP00066 HELP@LEMONADE.COM
LEMONADE INSURANCE 529657
INTERNET
NY
HELP@LEMONADE.COM</t>
  </si>
  <si>
    <t>'320250370841166705'</t>
  </si>
  <si>
    <t>RC901253264CABLE SVC
SPECTRUM
855-707-7328
MO
CABLE SVC</t>
  </si>
  <si>
    <t>'320250370849131276'</t>
  </si>
  <si>
    <t>'150206050000513407'</t>
  </si>
  <si>
    <t>Z62ZXU7VYQGZ62ZXU7VYQGY     98052
A1010BUSD01
MSBILL.INFO
Z62ZXU7VYQGY     98052</t>
  </si>
  <si>
    <t>'320250350811161119'</t>
  </si>
  <si>
    <t>Z632XUAO4F6Z632XUAO4F6W     98052
A1010BUSD01
MSBILL.INFO
Z632XUAO4F6W     98052</t>
  </si>
  <si>
    <t>'320250350811157683'</t>
  </si>
  <si>
    <t>Z62EXU45H7YZ62EXU45H7Y4     98052
A1010BUSD01
MSBILL.INFO
Z62EXU45H7Y4     98052</t>
  </si>
  <si>
    <t>'320250350811161218'</t>
  </si>
  <si>
    <t>Z633XTR8QL2Z633XTR8QL2J     98052
A1010BUSD01
MSBILL.INFO
Z633XTR8QL2J     98052</t>
  </si>
  <si>
    <t>'320250350811162623'</t>
  </si>
  <si>
    <t>Z62BXUA9R53Z62BXUA9R53V     98052
A1010BUSD01
MSBILL.INFO
Z62BXUA9R53V     98052</t>
  </si>
  <si>
    <t>'320250350811197174'</t>
  </si>
  <si>
    <t>Z62XXU2C5KXZ62XXU2C5KXU     98052
A1010BUSD01
REDMOND
Z62XXU2C5KXU     98052</t>
  </si>
  <si>
    <t>'320250350811184473'</t>
  </si>
  <si>
    <t>00026750205 8662387323
BARNES NOBLE
NEW YORK
NY
Description : REFER TO RECEIPT Price : 0.00
8662387323</t>
  </si>
  <si>
    <t>'320250360823163643'</t>
  </si>
  <si>
    <t>MR029169733 18885735727
FACTOR75
BATAVIA
IL
18885735727</t>
  </si>
  <si>
    <t>'320250350798082210'</t>
  </si>
  <si>
    <t>'320250350800131136'</t>
  </si>
  <si>
    <t>73011005034 ANDY@KALL8.COM
KALL8 000895900006429
SEATTLE
WA
ANDY@KALL8.COM</t>
  </si>
  <si>
    <t>'320250350808786142'</t>
  </si>
  <si>
    <t>W15608201065854293656
WEGMANS ASTOR PLACE 156 000000156
NEW YORK
NY
5854293656</t>
  </si>
  <si>
    <t>'320250350801975154'</t>
  </si>
  <si>
    <t>######3qF9D DIGITAL GOODS: GAMES
ELECTRONIC ARTS INC.
REDWOOD CITY
CA
DIGITAL GOODS: GAMES</t>
  </si>
  <si>
    <t>'320250340784943406'</t>
  </si>
  <si>
    <t>5N6ET1GOHLO WEB SERVICES
Amazon Web Services
AWS.Amazon.com
WA
WEB SERVICES</t>
  </si>
  <si>
    <t>'320250330756886674'</t>
  </si>
  <si>
    <t>NYS THRUWAY AUTO REPSTATEN ISLAND       NY</t>
  </si>
  <si>
    <t>1P-83482884 TOLL &amp; BRIDGE FEE
NYS THRUWAY AUTO REPLEN
STATEN ISLAND
NY
Description : FOR BILLING QUESTIO Price : 0.00
Description : ACCT: 1P-834828845 Price : 0.00
TOLL &amp; BRIDGE FEE</t>
  </si>
  <si>
    <t>1 EDGEWATER ST STE 308</t>
  </si>
  <si>
    <t>STATEN ISLAND
NY</t>
  </si>
  <si>
    <t>10305-4900</t>
  </si>
  <si>
    <t>'320250300667809353'</t>
  </si>
  <si>
    <t>34600063    858-453-7845
PETCO 3741 0374
NEW YORK
NY
Description : PETS/SUPPLIES/ACC Price : 0.00
858-453-7845</t>
  </si>
  <si>
    <t>'320250310697436680'</t>
  </si>
  <si>
    <t>VUV8agaHtcy squareup.com/receipts
THE CLEANERS IO, LLC
New York
NY
squareup.com/receipts</t>
  </si>
  <si>
    <t>'320250300666501005'</t>
  </si>
  <si>
    <t>73011005029DDC1F4EA497C4284910017
KIMBERLY MEEHAN, NP IN PS 316107142119
NEW YORK
NY
DDC1F4EA497C4284910017</t>
  </si>
  <si>
    <t>'320250300680573298'</t>
  </si>
  <si>
    <t>10085463    8007467287
CVS/PHARMACY #10612 000010612
MANHATTAN
NY
Description : PHARMACIES Price : 0.5682
8007467287</t>
  </si>
  <si>
    <t>'320250290648209204'</t>
  </si>
  <si>
    <t>FACTOR75            NEW YORK            NY</t>
  </si>
  <si>
    <t>GJCZQSKZ    18885735727
FACTOR75
NEW YORK
NY
18885735727</t>
  </si>
  <si>
    <t>'320250280617583780'</t>
  </si>
  <si>
    <t>NT_RF120UU3 +18009799850
CALENDLY
AVONDALE ESTATES
GA
+18009799850</t>
  </si>
  <si>
    <t>'320250270603776701'</t>
  </si>
  <si>
    <t>'320250260559537067'</t>
  </si>
  <si>
    <t>W15608700875854293656
WEGMANS ASTOR PLACE 156 000000156
NEW YORK
NY
5854293656</t>
  </si>
  <si>
    <t>'320250260574267348'</t>
  </si>
  <si>
    <t>10176850   8007467287
PHARMACIES
CVS PHARMACY
NEW YORK
NY
PHARMACIES
8007467287</t>
  </si>
  <si>
    <t>'320250250546960411'</t>
  </si>
  <si>
    <t>73011005024DDC1F4EA497C4284910017
KIMBERLY MEEHAN, NP IN PS 316107142119
NEW YORK
NY
DDC1F4EA497C4284910017</t>
  </si>
  <si>
    <t>'320250250557996171'</t>
  </si>
  <si>
    <t>62300010    917-877-1400
TMPL ASTOR PLACE 0000
NEW YORK
NY
Description : MEMBERSHIP FEES Price : 0.00
917-877-1400</t>
  </si>
  <si>
    <t>'320250250551476778'</t>
  </si>
  <si>
    <t>10084051   8007467287
PHARMACIES
CVS/PHARMACY #10612 000010612
MANHATTAN
NY
PHARMACIES
8007467287</t>
  </si>
  <si>
    <t>'320250240521906081'</t>
  </si>
  <si>
    <t>MR029149442 18885735727
FACTOR75
BATAVIA
IL
18885735727</t>
  </si>
  <si>
    <t>'320250210444525546'</t>
  </si>
  <si>
    <t>'320250210436627702'</t>
  </si>
  <si>
    <t>'320250210436633632'</t>
  </si>
  <si>
    <t>MS* MAKEMESURPRISE  WALNUT              CA</t>
  </si>
  <si>
    <t>NT_RCNPN8QZ 8332226883
MS* MAKEMESURPRISE
WALNUT
CA
8332226883</t>
  </si>
  <si>
    <t>340 SOUTH LEMON AVE
3159</t>
  </si>
  <si>
    <t>WALNUT
CA</t>
  </si>
  <si>
    <t>'320250210451773828'</t>
  </si>
  <si>
    <t>1P-83240939 TOLL &amp; BRIDGE FEE
NYS THRUWAY AUTO REPLEN
STATEN ISLAND
NY
Description : FOR BILLING QUESTIO Price : 0.00
Description : ACCT: 1P-832409396 Price : 0.00
TOLL &amp; BRIDGE FEE</t>
  </si>
  <si>
    <t>'320250200422515828'</t>
  </si>
  <si>
    <t>NT_RCBM9V3Z 3235775423
SPLICE.COM
NEW YORK CITY
NY
3235775423</t>
  </si>
  <si>
    <t>'320250200420302666'</t>
  </si>
  <si>
    <t>BcgpcW8E9jl squareup.com/receipts
THE CLEANERS IO, LLC
New York
NY
squareup.com/receipts</t>
  </si>
  <si>
    <t>'320250200417808285'</t>
  </si>
  <si>
    <t>MR029139295 18885735727
FACTOR75
BATAVIA
IL
18885735727</t>
  </si>
  <si>
    <t>'320250210445619784'</t>
  </si>
  <si>
    <t>MR029139306 18885735727
FACTOR75
BATAVIA
IL
18885735727</t>
  </si>
  <si>
    <t>'320250210445601194'</t>
  </si>
  <si>
    <t>BANANAREPUBLIC US 63NEW YORK            NY</t>
  </si>
  <si>
    <t>805254     0000000000000000010003
BANANAREPUBLIC US 63
NEW YORK
NY
0000000000000000010003</t>
  </si>
  <si>
    <t>105 5TH AVE</t>
  </si>
  <si>
    <t>'320250200427753786'</t>
  </si>
  <si>
    <t>UNIQLO 5TH AVE      NEW YORK            NY</t>
  </si>
  <si>
    <t>C91BEB35-44 FAMILY CLOTHING
UNIQLO 5TH AVE
NEW YORK
NY
FAMILY CLOTHING</t>
  </si>
  <si>
    <t>666 5TH AVE
FRNT 9</t>
  </si>
  <si>
    <t>10103-0029</t>
  </si>
  <si>
    <t>'320250190391173789'</t>
  </si>
  <si>
    <t>DUOLINGO PLUS 12 MONPITTSBURGH          PA</t>
  </si>
  <si>
    <t>NT_RBUH16VJ +14125676602
DUOLINGO PLUS 12 MONTH
PITTSBURGH
PA
+14125676602</t>
  </si>
  <si>
    <t>5900 PENN AVE</t>
  </si>
  <si>
    <t>PITTSBURGH
PA</t>
  </si>
  <si>
    <t>'320250180364632138'</t>
  </si>
  <si>
    <t>PETCO.COM 6989 0698 SAN DIEGO           CA</t>
  </si>
  <si>
    <t>14888690559 858-453-7845
PETCO.COM 6989 0698
SAN DIEGO
CA
Description : PETS/SUPPLIES/ACC Price : 0.00
858-453-7845</t>
  </si>
  <si>
    <t>10850 VIA FRONTERA</t>
  </si>
  <si>
    <t>'320250190401162038'</t>
  </si>
  <si>
    <t>10186013    8007467287
CVS PHARMACY
NEW YORK
NY
Description : PHARMACIES Price : 0.1683
8007467287</t>
  </si>
  <si>
    <t>'320250180376610675'</t>
  </si>
  <si>
    <t>KALL8 08487000633357SEATTLE             WA</t>
  </si>
  <si>
    <t>004317822624317822629       981191
KALL8 084870006333577
SEATTLE
WA
4317822629       981191</t>
  </si>
  <si>
    <t>417 2ND AVE WEST</t>
  </si>
  <si>
    <t>'320250180384383438'</t>
  </si>
  <si>
    <t>NT_RB8R0ADK 3235775423
SPLICE.COM
NEW YORK CITY
NY
3235775423</t>
  </si>
  <si>
    <t>817 BROADWAY 4TH
FLOOR</t>
  </si>
  <si>
    <t>'320250160313491858'</t>
  </si>
  <si>
    <t>W15639500475854293656
WEGMANS ASTOR PLACE 156 000000156
NEW YORK
NY
5854293656</t>
  </si>
  <si>
    <t>'320250170349399169'</t>
  </si>
  <si>
    <t>TST* ELIS NIGHTSHIFTNEW YORK            NY</t>
  </si>
  <si>
    <t>21105175016 RESTAURANT
TST* ELIS NIGHTSHIFT 00055845
NEW YORK
NY
RESTAURANT</t>
  </si>
  <si>
    <t>1390 THIRD AVE</t>
  </si>
  <si>
    <t>'320250160319748672'</t>
  </si>
  <si>
    <t>'320250160319791823'</t>
  </si>
  <si>
    <t>'320250140266087960'</t>
  </si>
  <si>
    <t>'320250140265806913'</t>
  </si>
  <si>
    <t>014IAAGAST48289             100033
IN *HEIDI KLING, PHD
NEW YORK
NY
8289             100033</t>
  </si>
  <si>
    <t>'320250140261104869'</t>
  </si>
  <si>
    <t>O8LQZO01079 HELP@LEMONADE.COM
LEMONADE INSURANCE 529657
INTERNET
NY
HELP@LEMONADE.COM</t>
  </si>
  <si>
    <t>'320250140262399923'</t>
  </si>
  <si>
    <t>I2DMCP00098 SUPPORT@PATREON.COM
PATREON* MEMBERSHIP 523885
SAN FRANCISCO
CA
SUPPORT@PATREON.COM</t>
  </si>
  <si>
    <t>'320250140261791654'</t>
  </si>
  <si>
    <t>LINKEDIN SN P3704854MOUNTAIN VIEW</t>
  </si>
  <si>
    <t>P370485424  SUBSCRIPTIONS
LINKEDIN SN P370485424
MOUNTAIN VIEW
SUBSCRIPTIONS</t>
  </si>
  <si>
    <t>'320250130237878130'</t>
  </si>
  <si>
    <t>'320250130233557937'</t>
  </si>
  <si>
    <t>92545376346 DGTL CONTENT
FACEBK *META VERIFIED
FB.ME/CC
CA
DGTL CONTENT</t>
  </si>
  <si>
    <t>'320250120231674656'</t>
  </si>
  <si>
    <t>W15608601385854293656
WEGMANS ASTOR PLACE 156 000000156
NEW YORK
NY
5854293656</t>
  </si>
  <si>
    <t>'320250130246487755'</t>
  </si>
  <si>
    <t>567960456   www.adobe.com
ADOBE SYSTEMS Adobe Systems
SAN JOSE
CA
Description : 0 Price : 0.1999
www.adobe.com</t>
  </si>
  <si>
    <t>'320250120216930217'</t>
  </si>
  <si>
    <t>AMEXPLATINUM</t>
  </si>
  <si>
    <t>Posting Date</t>
  </si>
  <si>
    <t>Document Type</t>
  </si>
  <si>
    <t>Document No.</t>
  </si>
  <si>
    <t>G/L Account No.</t>
  </si>
  <si>
    <t>Bal. Account Type</t>
  </si>
  <si>
    <t>Bal. Account No.</t>
  </si>
  <si>
    <t>Transaction No.</t>
  </si>
  <si>
    <t>Entry No.</t>
  </si>
  <si>
    <t>Reference Text</t>
  </si>
  <si>
    <t>Invoice</t>
  </si>
  <si>
    <t>G27271</t>
  </si>
  <si>
    <t>HOUSTONST2573 2573  HOUSTON             TX</t>
  </si>
  <si>
    <t>Vendor</t>
  </si>
  <si>
    <t>MISC</t>
  </si>
  <si>
    <t>'320250040028119422'</t>
  </si>
  <si>
    <t>G27272</t>
  </si>
  <si>
    <t>IAH 1362U KPRC CHAN Houston             TX</t>
  </si>
  <si>
    <t>'320250040032810577'</t>
  </si>
  <si>
    <t>G27274</t>
  </si>
  <si>
    <t>NYX=VENDINGCUSTOMERSCHULA VISTA         CA</t>
  </si>
  <si>
    <t>'320250040036686356'</t>
  </si>
  <si>
    <t>G26198</t>
  </si>
  <si>
    <t>PEACOCK*BDB79 PREMIUNEW YORK CITY       NY</t>
  </si>
  <si>
    <t>'320250040020001922'</t>
  </si>
  <si>
    <t>G27281</t>
  </si>
  <si>
    <t>GRUBHUB*BLUESTONELANNEW YORK            NY</t>
  </si>
  <si>
    <t>'320250050042458629'</t>
  </si>
  <si>
    <t>G27282</t>
  </si>
  <si>
    <t>'320250060066833190'</t>
  </si>
  <si>
    <t>G26207</t>
  </si>
  <si>
    <t>'320250090139451228'</t>
  </si>
  <si>
    <t>G27284</t>
  </si>
  <si>
    <t>'320250070094272994'</t>
  </si>
  <si>
    <t>G27285</t>
  </si>
  <si>
    <t>'320250070094268611'</t>
  </si>
  <si>
    <t>G27289</t>
  </si>
  <si>
    <t>'320250110201785519'</t>
  </si>
  <si>
    <t>G27291</t>
  </si>
  <si>
    <t>'320250100167393657'</t>
  </si>
  <si>
    <t>G28131-1</t>
  </si>
  <si>
    <t>G28130-1</t>
  </si>
  <si>
    <t>G28135</t>
  </si>
  <si>
    <t>G28133</t>
  </si>
  <si>
    <t>G28134</t>
  </si>
  <si>
    <t>G28136</t>
  </si>
  <si>
    <t>G28137</t>
  </si>
  <si>
    <t>G28138</t>
  </si>
  <si>
    <t>G28139</t>
  </si>
  <si>
    <t>G27389</t>
  </si>
  <si>
    <t>G28142</t>
  </si>
  <si>
    <t>G28141</t>
  </si>
  <si>
    <t>G28143</t>
  </si>
  <si>
    <t>G28144</t>
  </si>
  <si>
    <t>G28145</t>
  </si>
  <si>
    <t>G28146</t>
  </si>
  <si>
    <t>G28147</t>
  </si>
  <si>
    <t>Credit Memo</t>
  </si>
  <si>
    <t>G28152</t>
  </si>
  <si>
    <t>G28153</t>
  </si>
  <si>
    <t>G28150</t>
  </si>
  <si>
    <t>G28148</t>
  </si>
  <si>
    <t>G28154</t>
  </si>
  <si>
    <t>G28155</t>
  </si>
  <si>
    <t>G28158</t>
  </si>
  <si>
    <t>G28157</t>
  </si>
  <si>
    <t>G28156</t>
  </si>
  <si>
    <t>G28159</t>
  </si>
  <si>
    <t>G27403</t>
  </si>
  <si>
    <t>G28162</t>
  </si>
  <si>
    <t>G28161</t>
  </si>
  <si>
    <t>G28163</t>
  </si>
  <si>
    <t>G28165</t>
  </si>
  <si>
    <t>G28168</t>
  </si>
  <si>
    <t>G28171</t>
  </si>
  <si>
    <t>G27420</t>
  </si>
  <si>
    <t>G28179</t>
  </si>
  <si>
    <t>G28178</t>
  </si>
  <si>
    <t>G27424</t>
  </si>
  <si>
    <t>G28182</t>
  </si>
  <si>
    <t>G28183</t>
  </si>
  <si>
    <t>G28181</t>
  </si>
  <si>
    <t>G27432</t>
  </si>
  <si>
    <t>G28189</t>
  </si>
  <si>
    <t>G28186</t>
  </si>
  <si>
    <t>G28190</t>
  </si>
  <si>
    <t>G28192</t>
  </si>
  <si>
    <t>G28194</t>
  </si>
  <si>
    <t>G27442</t>
  </si>
  <si>
    <t>G28197</t>
  </si>
  <si>
    <t>G28195</t>
  </si>
  <si>
    <t>G28196</t>
  </si>
  <si>
    <t>G27446</t>
  </si>
  <si>
    <t>G27445</t>
  </si>
  <si>
    <t>G28200</t>
  </si>
  <si>
    <t>G28199</t>
  </si>
  <si>
    <t>G28201</t>
  </si>
  <si>
    <t>G28202</t>
  </si>
  <si>
    <t>G28204</t>
  </si>
  <si>
    <t>G28203</t>
  </si>
  <si>
    <t>G28205</t>
  </si>
  <si>
    <t>G28206</t>
  </si>
  <si>
    <t>G28207</t>
  </si>
  <si>
    <t>G28208</t>
  </si>
  <si>
    <t>G28210</t>
  </si>
  <si>
    <t>G28209</t>
  </si>
  <si>
    <t>G28211</t>
  </si>
  <si>
    <t>G28212</t>
  </si>
  <si>
    <t>G28213</t>
  </si>
  <si>
    <t>G28214</t>
  </si>
  <si>
    <t>G28217</t>
  </si>
  <si>
    <t>G28216</t>
  </si>
  <si>
    <t>G27468</t>
  </si>
  <si>
    <t>G28220</t>
  </si>
  <si>
    <t>G28224</t>
  </si>
  <si>
    <t>G28222</t>
  </si>
  <si>
    <t>G28223</t>
  </si>
  <si>
    <t>G28221</t>
  </si>
  <si>
    <t>G28225</t>
  </si>
  <si>
    <t>G28228</t>
  </si>
  <si>
    <t>G28229</t>
  </si>
  <si>
    <t>G28231</t>
  </si>
  <si>
    <t>G27485</t>
  </si>
  <si>
    <t>G28239</t>
  </si>
  <si>
    <t>G28241</t>
  </si>
  <si>
    <t>G27500</t>
  </si>
  <si>
    <t>G28244</t>
  </si>
  <si>
    <t>G28242</t>
  </si>
  <si>
    <t>G28243</t>
  </si>
  <si>
    <t>G27507</t>
  </si>
  <si>
    <t>G28248</t>
  </si>
  <si>
    <t>G28250</t>
  </si>
  <si>
    <t>G28252</t>
  </si>
  <si>
    <t>G28256</t>
  </si>
  <si>
    <t>G28257</t>
  </si>
  <si>
    <t>G28258</t>
  </si>
  <si>
    <t>G27523</t>
  </si>
  <si>
    <t>G28260</t>
  </si>
  <si>
    <t>G28261</t>
  </si>
  <si>
    <t>G28263</t>
  </si>
  <si>
    <t>G28264</t>
  </si>
  <si>
    <t>G28265</t>
  </si>
  <si>
    <t>G28266</t>
  </si>
  <si>
    <t>G28268</t>
  </si>
  <si>
    <t>G28269</t>
  </si>
  <si>
    <t>G28267</t>
  </si>
  <si>
    <t>G28272</t>
  </si>
  <si>
    <t>G28271</t>
  </si>
  <si>
    <t>G28273</t>
  </si>
  <si>
    <t>G28274</t>
  </si>
  <si>
    <t>G28275</t>
  </si>
  <si>
    <t>G28277</t>
  </si>
  <si>
    <t>G27541</t>
  </si>
  <si>
    <t>G28281</t>
  </si>
  <si>
    <t>G28280</t>
  </si>
  <si>
    <t>G28282</t>
  </si>
  <si>
    <t>G27553</t>
  </si>
  <si>
    <t>G27554</t>
  </si>
  <si>
    <t>G28284</t>
  </si>
  <si>
    <t>G28286</t>
  </si>
  <si>
    <t>G28289</t>
  </si>
  <si>
    <t>G28287</t>
  </si>
  <si>
    <t>G27566</t>
  </si>
  <si>
    <t>G27572</t>
  </si>
  <si>
    <t>G28298</t>
  </si>
  <si>
    <t>G28302</t>
  </si>
  <si>
    <t>G28300</t>
  </si>
  <si>
    <t>G28301</t>
  </si>
  <si>
    <t>G28299</t>
  </si>
  <si>
    <t>G28307</t>
  </si>
  <si>
    <t>G28308</t>
  </si>
  <si>
    <t>G28309</t>
  </si>
  <si>
    <t>G28310</t>
  </si>
  <si>
    <t>G28312</t>
  </si>
  <si>
    <t>G28313</t>
  </si>
  <si>
    <t>G28314</t>
  </si>
  <si>
    <t>G28316</t>
  </si>
  <si>
    <t>G28317</t>
  </si>
  <si>
    <t>G27603</t>
  </si>
  <si>
    <t>G28323</t>
  </si>
  <si>
    <t>G28324</t>
  </si>
  <si>
    <t>G28325</t>
  </si>
  <si>
    <t>G28328</t>
  </si>
  <si>
    <t>G28329</t>
  </si>
  <si>
    <t>G28327</t>
  </si>
  <si>
    <t>G28331</t>
  </si>
  <si>
    <t>G28332</t>
  </si>
  <si>
    <t>G28330</t>
  </si>
  <si>
    <t>G28335</t>
  </si>
  <si>
    <t>G28336</t>
  </si>
  <si>
    <t>G28339</t>
  </si>
  <si>
    <t>G28337</t>
  </si>
  <si>
    <t>G27620</t>
  </si>
  <si>
    <t>G28340</t>
  </si>
  <si>
    <t>G28341</t>
  </si>
  <si>
    <t>G28343</t>
  </si>
  <si>
    <t>G28342</t>
  </si>
  <si>
    <t>G28344</t>
  </si>
  <si>
    <t>G28347</t>
  </si>
  <si>
    <t>G28345</t>
  </si>
  <si>
    <t>G28346</t>
  </si>
  <si>
    <t>G28349</t>
  </si>
  <si>
    <t>G28350</t>
  </si>
  <si>
    <t>G28351</t>
  </si>
  <si>
    <t>G28352</t>
  </si>
  <si>
    <t>G28353</t>
  </si>
  <si>
    <t>G27642</t>
  </si>
  <si>
    <t>G27650</t>
  </si>
  <si>
    <t>G27651</t>
  </si>
  <si>
    <t>G28357</t>
  </si>
  <si>
    <t>G28356</t>
  </si>
  <si>
    <t>G28358</t>
  </si>
  <si>
    <t>G28360</t>
  </si>
  <si>
    <t>G28361</t>
  </si>
  <si>
    <t>G28359</t>
  </si>
  <si>
    <t>G28365</t>
  </si>
  <si>
    <t>G28362</t>
  </si>
  <si>
    <t>G28363</t>
  </si>
  <si>
    <t>G28364</t>
  </si>
  <si>
    <t>G28367</t>
  </si>
  <si>
    <t>G28366</t>
  </si>
  <si>
    <t>G28368</t>
  </si>
  <si>
    <t>G27668</t>
  </si>
  <si>
    <t>G28374</t>
  </si>
  <si>
    <t>G27671</t>
  </si>
  <si>
    <t>G28376</t>
  </si>
  <si>
    <t>G28379</t>
  </si>
  <si>
    <t>G28375</t>
  </si>
  <si>
    <t>G28378</t>
  </si>
  <si>
    <t>G27677</t>
  </si>
  <si>
    <t>G28386</t>
  </si>
  <si>
    <t>G28387</t>
  </si>
  <si>
    <t>G28388</t>
  </si>
  <si>
    <t>G28389</t>
  </si>
  <si>
    <t>G28390</t>
  </si>
  <si>
    <t>G28396</t>
  </si>
  <si>
    <t>G28394</t>
  </si>
  <si>
    <t>G28395</t>
  </si>
  <si>
    <t>G28393</t>
  </si>
  <si>
    <t>G28391</t>
  </si>
  <si>
    <t>G28392</t>
  </si>
  <si>
    <t>G28397</t>
  </si>
  <si>
    <t>G28402</t>
  </si>
  <si>
    <t>G28401</t>
  </si>
  <si>
    <t>G28400</t>
  </si>
  <si>
    <t>G28406</t>
  </si>
  <si>
    <t>G28407</t>
  </si>
  <si>
    <t>G28408</t>
  </si>
  <si>
    <t>G28410</t>
  </si>
  <si>
    <t>G27713</t>
  </si>
  <si>
    <t>G27712</t>
  </si>
  <si>
    <t>G27715</t>
  </si>
  <si>
    <t>G28413</t>
  </si>
  <si>
    <t>G28414</t>
  </si>
  <si>
    <t>G28412</t>
  </si>
  <si>
    <t>G28415</t>
  </si>
  <si>
    <t>G28416</t>
  </si>
  <si>
    <t>G28419</t>
  </si>
  <si>
    <t>G27721</t>
  </si>
  <si>
    <t>G27722</t>
  </si>
  <si>
    <t>G27723</t>
  </si>
  <si>
    <t>G27724</t>
  </si>
  <si>
    <t>G27725</t>
  </si>
  <si>
    <t>G27726</t>
  </si>
  <si>
    <t>G27727</t>
  </si>
  <si>
    <t>G27728</t>
  </si>
  <si>
    <t>G27729</t>
  </si>
  <si>
    <t>G28423</t>
  </si>
  <si>
    <t>G28421</t>
  </si>
  <si>
    <t>G28422</t>
  </si>
  <si>
    <t>G28420</t>
  </si>
  <si>
    <t>G27739</t>
  </si>
  <si>
    <t>G28428</t>
  </si>
  <si>
    <t>G28426</t>
  </si>
  <si>
    <t>G28424</t>
  </si>
  <si>
    <t>G28425</t>
  </si>
  <si>
    <t>G28427</t>
  </si>
  <si>
    <t>G28429</t>
  </si>
  <si>
    <t>G28430</t>
  </si>
  <si>
    <t>G28431</t>
  </si>
  <si>
    <t>G28432</t>
  </si>
  <si>
    <t>G28435</t>
  </si>
  <si>
    <t>G28434</t>
  </si>
  <si>
    <t>G28433</t>
  </si>
  <si>
    <t>G27758</t>
  </si>
  <si>
    <t>G27759</t>
  </si>
  <si>
    <t>G28436</t>
  </si>
  <si>
    <t>G27763</t>
  </si>
  <si>
    <t>G27764</t>
  </si>
  <si>
    <t>G27765</t>
  </si>
  <si>
    <t>G28437</t>
  </si>
  <si>
    <t>G28439</t>
  </si>
  <si>
    <t>G28438</t>
  </si>
  <si>
    <t>G28440</t>
  </si>
  <si>
    <t>G28441</t>
  </si>
  <si>
    <t>G27768</t>
  </si>
  <si>
    <t>G27769</t>
  </si>
  <si>
    <t>G27770</t>
  </si>
  <si>
    <t>G27771</t>
  </si>
  <si>
    <t>G27772</t>
  </si>
  <si>
    <t>G27773</t>
  </si>
  <si>
    <t>G27774</t>
  </si>
  <si>
    <t>G28443</t>
  </si>
  <si>
    <t>G28442</t>
  </si>
  <si>
    <t>G27776</t>
  </si>
  <si>
    <t>G27777</t>
  </si>
  <si>
    <t>G27778</t>
  </si>
  <si>
    <t>G27779</t>
  </si>
  <si>
    <t>G27780</t>
  </si>
  <si>
    <t>G27781</t>
  </si>
  <si>
    <t>G27782</t>
  </si>
  <si>
    <t>G27783</t>
  </si>
  <si>
    <t>G27784</t>
  </si>
  <si>
    <t>G27785</t>
  </si>
  <si>
    <t>G27786</t>
  </si>
  <si>
    <t>G27787</t>
  </si>
  <si>
    <t>G28446</t>
  </si>
  <si>
    <t>G28447</t>
  </si>
  <si>
    <t>G28445</t>
  </si>
  <si>
    <t>G27792</t>
  </si>
  <si>
    <t>G28449</t>
  </si>
  <si>
    <t>G28448</t>
  </si>
  <si>
    <t>G28450</t>
  </si>
  <si>
    <t>G28451</t>
  </si>
  <si>
    <t>G27798</t>
  </si>
  <si>
    <t>G28458</t>
  </si>
  <si>
    <t>G28454</t>
  </si>
  <si>
    <t>G28455</t>
  </si>
  <si>
    <t>G28457</t>
  </si>
  <si>
    <t>G27799</t>
  </si>
  <si>
    <t>G28460</t>
  </si>
  <si>
    <t>G28461</t>
  </si>
  <si>
    <t>G28462</t>
  </si>
  <si>
    <t>G28465</t>
  </si>
  <si>
    <t>G28464</t>
  </si>
  <si>
    <t>G28463</t>
  </si>
  <si>
    <t>G28466</t>
  </si>
  <si>
    <t>G28467</t>
  </si>
  <si>
    <t>G28468</t>
  </si>
  <si>
    <t>G27809</t>
  </si>
  <si>
    <t>G27810</t>
  </si>
  <si>
    <t>G27811</t>
  </si>
  <si>
    <t>G28470</t>
  </si>
  <si>
    <t>G28469</t>
  </si>
  <si>
    <t>G28476</t>
  </si>
  <si>
    <t>G28471</t>
  </si>
  <si>
    <t>G28475</t>
  </si>
  <si>
    <t>G28477</t>
  </si>
  <si>
    <t>G28479</t>
  </si>
  <si>
    <t>G28480</t>
  </si>
  <si>
    <t>G28481</t>
  </si>
  <si>
    <t>G28483</t>
  </si>
  <si>
    <t>G28482</t>
  </si>
  <si>
    <t>G28484</t>
  </si>
  <si>
    <t>G28486</t>
  </si>
  <si>
    <t>G28492</t>
  </si>
  <si>
    <t>G28488</t>
  </si>
  <si>
    <t>G28485</t>
  </si>
  <si>
    <t>G28489</t>
  </si>
  <si>
    <t>G28493</t>
  </si>
  <si>
    <t>G28494</t>
  </si>
  <si>
    <t>G28495</t>
  </si>
  <si>
    <t>G27823</t>
  </si>
  <si>
    <t>G28502</t>
  </si>
  <si>
    <t>G28505</t>
  </si>
  <si>
    <t>G28506</t>
  </si>
  <si>
    <t>G28500</t>
  </si>
  <si>
    <t>G28501</t>
  </si>
  <si>
    <t>G28507</t>
  </si>
  <si>
    <t>G28508</t>
  </si>
  <si>
    <t>G28509</t>
  </si>
  <si>
    <t>G28510</t>
  </si>
  <si>
    <t>G28519</t>
  </si>
  <si>
    <t>G28516</t>
  </si>
  <si>
    <t>G28511</t>
  </si>
  <si>
    <t>G28512</t>
  </si>
  <si>
    <t>G28515</t>
  </si>
  <si>
    <t>G28513</t>
  </si>
  <si>
    <t>G28517</t>
  </si>
  <si>
    <t>G27832</t>
  </si>
  <si>
    <t>G27833</t>
  </si>
  <si>
    <t>G28524</t>
  </si>
  <si>
    <t>G28522</t>
  </si>
  <si>
    <t>G27837</t>
  </si>
  <si>
    <t>G28526</t>
  </si>
  <si>
    <t>G28527</t>
  </si>
  <si>
    <t>G28530</t>
  </si>
  <si>
    <t>G28529</t>
  </si>
  <si>
    <t>G28531</t>
  </si>
  <si>
    <t>G28534</t>
  </si>
  <si>
    <t>G28535</t>
  </si>
  <si>
    <t>G28536</t>
  </si>
  <si>
    <t>G28538</t>
  </si>
  <si>
    <t>G28539</t>
  </si>
  <si>
    <t>G28541</t>
  </si>
  <si>
    <t>G28540</t>
  </si>
  <si>
    <t>G28543</t>
  </si>
  <si>
    <t>G28544</t>
  </si>
  <si>
    <t>G28547</t>
  </si>
  <si>
    <t>G28546</t>
  </si>
  <si>
    <t>G28550</t>
  </si>
  <si>
    <t>G28545</t>
  </si>
  <si>
    <t>G28553</t>
  </si>
  <si>
    <t>G28551</t>
  </si>
  <si>
    <t>G28552</t>
  </si>
  <si>
    <t>G28554</t>
  </si>
  <si>
    <t>G28555</t>
  </si>
  <si>
    <t>G28557</t>
  </si>
  <si>
    <t>G28556</t>
  </si>
  <si>
    <t>G28558</t>
  </si>
  <si>
    <t>G28559</t>
  </si>
  <si>
    <t>G28564</t>
  </si>
  <si>
    <t>G28562</t>
  </si>
  <si>
    <t>G28560</t>
  </si>
  <si>
    <t>G28568</t>
  </si>
  <si>
    <t>G28569</t>
  </si>
  <si>
    <t>G28567</t>
  </si>
  <si>
    <t>G28572</t>
  </si>
  <si>
    <t>G28570</t>
  </si>
  <si>
    <t>G28571</t>
  </si>
  <si>
    <t>G28573</t>
  </si>
  <si>
    <t>G27880</t>
  </si>
  <si>
    <t>G28574</t>
  </si>
  <si>
    <t>G27881</t>
  </si>
  <si>
    <t>G28578</t>
  </si>
  <si>
    <t>G28579</t>
  </si>
  <si>
    <t>G28575</t>
  </si>
  <si>
    <t>G28582</t>
  </si>
  <si>
    <t>G28584</t>
  </si>
  <si>
    <t>G28586</t>
  </si>
  <si>
    <t>G28585</t>
  </si>
  <si>
    <t>G28587</t>
  </si>
  <si>
    <t>G28588</t>
  </si>
  <si>
    <t>G28589</t>
  </si>
  <si>
    <t>G28590</t>
  </si>
  <si>
    <t>G28592</t>
  </si>
  <si>
    <t>G27892</t>
  </si>
  <si>
    <t>G27893</t>
  </si>
  <si>
    <t>G27894</t>
  </si>
  <si>
    <t>G28594</t>
  </si>
  <si>
    <t>G28593</t>
  </si>
  <si>
    <t>G27902</t>
  </si>
  <si>
    <t>G27903</t>
  </si>
  <si>
    <t>G27904</t>
  </si>
  <si>
    <t>G28597</t>
  </si>
  <si>
    <t>G28595</t>
  </si>
  <si>
    <t>G28599</t>
  </si>
  <si>
    <t>G28598</t>
  </si>
  <si>
    <t>G28602</t>
  </si>
  <si>
    <t>G28600</t>
  </si>
  <si>
    <t>G27921</t>
  </si>
  <si>
    <t>G28611</t>
  </si>
  <si>
    <t>G28610</t>
  </si>
  <si>
    <t>G28609</t>
  </si>
  <si>
    <t>G28612</t>
  </si>
  <si>
    <t>G27928</t>
  </si>
  <si>
    <t>G27929</t>
  </si>
  <si>
    <t>G28620</t>
  </si>
  <si>
    <t>G28614</t>
  </si>
  <si>
    <t>G28615</t>
  </si>
  <si>
    <t>G28616</t>
  </si>
  <si>
    <t>G28617</t>
  </si>
  <si>
    <t>G28618</t>
  </si>
  <si>
    <t>G28619</t>
  </si>
  <si>
    <t>G28621</t>
  </si>
  <si>
    <t>G28624</t>
  </si>
  <si>
    <t>G28623</t>
  </si>
  <si>
    <t>G28625</t>
  </si>
  <si>
    <t>G27933</t>
  </si>
  <si>
    <t>G28628</t>
  </si>
  <si>
    <t>G27935</t>
  </si>
  <si>
    <t>G27936</t>
  </si>
  <si>
    <t>G27937</t>
  </si>
  <si>
    <t>G28629</t>
  </si>
  <si>
    <t>G28630</t>
  </si>
  <si>
    <t>G27940</t>
  </si>
  <si>
    <t>G28634</t>
  </si>
  <si>
    <t>G28635</t>
  </si>
  <si>
    <t>G28637</t>
  </si>
  <si>
    <t>G28639</t>
  </si>
  <si>
    <t>G28641</t>
  </si>
  <si>
    <t>G28642</t>
  </si>
  <si>
    <t>G27948</t>
  </si>
  <si>
    <t>G28644</t>
  </si>
  <si>
    <t>G28648</t>
  </si>
  <si>
    <t>G28649</t>
  </si>
  <si>
    <t>G28647</t>
  </si>
  <si>
    <t>G28646</t>
  </si>
  <si>
    <t>G28645</t>
  </si>
  <si>
    <t>G28650</t>
  </si>
  <si>
    <t>G28652</t>
  </si>
  <si>
    <t>G28651</t>
  </si>
  <si>
    <t>G27951</t>
  </si>
  <si>
    <t>G28657</t>
  </si>
  <si>
    <t>G28653</t>
  </si>
  <si>
    <t>G28654</t>
  </si>
  <si>
    <t>G28655</t>
  </si>
  <si>
    <t>G28656</t>
  </si>
  <si>
    <t>G28660</t>
  </si>
  <si>
    <t>G28659</t>
  </si>
  <si>
    <t>G28661</t>
  </si>
  <si>
    <t>G28662</t>
  </si>
  <si>
    <t>G28663</t>
  </si>
  <si>
    <t>G28664</t>
  </si>
  <si>
    <t>G28665</t>
  </si>
  <si>
    <t>G28666</t>
  </si>
  <si>
    <t>G28668</t>
  </si>
  <si>
    <t>G27956</t>
  </si>
  <si>
    <t>G28670</t>
  </si>
  <si>
    <t>G28671</t>
  </si>
  <si>
    <t>G28672</t>
  </si>
  <si>
    <t>G28673</t>
  </si>
  <si>
    <t>G28674</t>
  </si>
  <si>
    <t>G27958</t>
  </si>
  <si>
    <t>G27959</t>
  </si>
  <si>
    <t>G27961</t>
  </si>
  <si>
    <t>G27962</t>
  </si>
  <si>
    <t>G28675</t>
  </si>
  <si>
    <t>G28676</t>
  </si>
  <si>
    <t>G28678</t>
  </si>
  <si>
    <t>G27967</t>
  </si>
  <si>
    <t>G27966</t>
  </si>
  <si>
    <t>G28685</t>
  </si>
  <si>
    <t>G28681</t>
  </si>
  <si>
    <t>G28682</t>
  </si>
  <si>
    <t>G28679</t>
  </si>
  <si>
    <t>G28683</t>
  </si>
  <si>
    <t>G28690</t>
  </si>
  <si>
    <t>G28689</t>
  </si>
  <si>
    <t>G28692</t>
  </si>
  <si>
    <t>G28694</t>
  </si>
  <si>
    <t>G28693</t>
  </si>
  <si>
    <t>G28695</t>
  </si>
  <si>
    <t>G28696</t>
  </si>
  <si>
    <t>G27978</t>
  </si>
  <si>
    <t>G28702</t>
  </si>
  <si>
    <t>G28698</t>
  </si>
  <si>
    <t>G28699</t>
  </si>
  <si>
    <t>G28700</t>
  </si>
  <si>
    <t>G28704</t>
  </si>
  <si>
    <t>G28703</t>
  </si>
  <si>
    <t>G28707</t>
  </si>
  <si>
    <t>G28706</t>
  </si>
  <si>
    <t>G28708</t>
  </si>
  <si>
    <t>G27986</t>
  </si>
  <si>
    <t>G28720</t>
  </si>
  <si>
    <t>G28717</t>
  </si>
  <si>
    <t>G28715</t>
  </si>
  <si>
    <t>G28718</t>
  </si>
  <si>
    <t>G28716</t>
  </si>
  <si>
    <t>G28722</t>
  </si>
  <si>
    <t>G28721</t>
  </si>
  <si>
    <t>G28729</t>
  </si>
  <si>
    <t>G28726</t>
  </si>
  <si>
    <t>G28727</t>
  </si>
  <si>
    <t>G28724</t>
  </si>
  <si>
    <t>G28725</t>
  </si>
  <si>
    <t>G28728</t>
  </si>
  <si>
    <t>G28732</t>
  </si>
  <si>
    <t>G28730</t>
  </si>
  <si>
    <t>G28733</t>
  </si>
  <si>
    <t>G28734</t>
  </si>
  <si>
    <t>G28736</t>
  </si>
  <si>
    <t>G28738</t>
  </si>
  <si>
    <t>G28737</t>
  </si>
  <si>
    <t>G28739</t>
  </si>
  <si>
    <t>G28751</t>
  </si>
  <si>
    <t>G28752</t>
  </si>
  <si>
    <t>G28750</t>
  </si>
  <si>
    <t>G28755</t>
  </si>
  <si>
    <t>G28754</t>
  </si>
  <si>
    <t>G28761</t>
  </si>
  <si>
    <t>G28759</t>
  </si>
  <si>
    <t>G28757</t>
  </si>
  <si>
    <t>G28758</t>
  </si>
  <si>
    <t>G28765</t>
  </si>
  <si>
    <t>G28766</t>
  </si>
  <si>
    <t>G28764</t>
  </si>
  <si>
    <t>G28763</t>
  </si>
  <si>
    <t>G28762</t>
  </si>
  <si>
    <t>G28770</t>
  </si>
  <si>
    <t>G28767</t>
  </si>
  <si>
    <t>G28768</t>
  </si>
  <si>
    <t>G28769</t>
  </si>
  <si>
    <t>G28771</t>
  </si>
  <si>
    <t>G28773</t>
  </si>
  <si>
    <t>G28782</t>
  </si>
  <si>
    <t>G28780</t>
  </si>
  <si>
    <t>G28781</t>
  </si>
  <si>
    <t>G28792</t>
  </si>
  <si>
    <t>G28789</t>
  </si>
  <si>
    <t>G28790</t>
  </si>
  <si>
    <t>G28016</t>
  </si>
  <si>
    <t>G28793</t>
  </si>
  <si>
    <t>G28794</t>
  </si>
  <si>
    <t>G28800</t>
  </si>
  <si>
    <t>G28801</t>
  </si>
  <si>
    <t>G28799</t>
  </si>
  <si>
    <t>G28796</t>
  </si>
  <si>
    <t>G28797</t>
  </si>
  <si>
    <t>G28798</t>
  </si>
  <si>
    <t>G28803</t>
  </si>
  <si>
    <t>G28805</t>
  </si>
  <si>
    <t>G28802</t>
  </si>
  <si>
    <t>G28804</t>
  </si>
  <si>
    <t>G28811</t>
  </si>
  <si>
    <t>G28809</t>
  </si>
  <si>
    <t>G28810</t>
  </si>
  <si>
    <t>G28807</t>
  </si>
  <si>
    <t>G28812</t>
  </si>
  <si>
    <t>G28814</t>
  </si>
  <si>
    <t>G28817</t>
  </si>
  <si>
    <t>G28818</t>
  </si>
  <si>
    <t>G28819</t>
  </si>
  <si>
    <t>G28820</t>
  </si>
  <si>
    <t>G28822</t>
  </si>
  <si>
    <t>G28823</t>
  </si>
  <si>
    <t>G28825</t>
  </si>
  <si>
    <t>G28826</t>
  </si>
  <si>
    <t>G28827</t>
  </si>
  <si>
    <t>G28021</t>
  </si>
  <si>
    <t>G28830</t>
  </si>
  <si>
    <t>G28831</t>
  </si>
  <si>
    <t>G28834</t>
  </si>
  <si>
    <t>G28828</t>
  </si>
  <si>
    <t>G28832</t>
  </si>
  <si>
    <t>G28835</t>
  </si>
  <si>
    <t>G28836</t>
  </si>
  <si>
    <t>G28837</t>
  </si>
  <si>
    <t>G28842</t>
  </si>
  <si>
    <t>G28838</t>
  </si>
  <si>
    <t>G28839</t>
  </si>
  <si>
    <t>G28847</t>
  </si>
  <si>
    <t>G28848</t>
  </si>
  <si>
    <t>G28849</t>
  </si>
  <si>
    <t>G28855</t>
  </si>
  <si>
    <t>G28854</t>
  </si>
  <si>
    <t>G28857</t>
  </si>
  <si>
    <t>G28856</t>
  </si>
  <si>
    <t>G28858</t>
  </si>
  <si>
    <t>G28860</t>
  </si>
  <si>
    <t>G28862</t>
  </si>
  <si>
    <t>G28861</t>
  </si>
  <si>
    <t>G28863</t>
  </si>
  <si>
    <t>G28864</t>
  </si>
  <si>
    <t>G28870</t>
  </si>
  <si>
    <t>G28035</t>
  </si>
  <si>
    <t>G28880</t>
  </si>
  <si>
    <t>G28875</t>
  </si>
  <si>
    <t>G28883</t>
  </si>
  <si>
    <t>G28881</t>
  </si>
  <si>
    <t>G28882</t>
  </si>
  <si>
    <t>G28876</t>
  </si>
  <si>
    <t>G28879</t>
  </si>
  <si>
    <t>G28887</t>
  </si>
  <si>
    <t>G28888</t>
  </si>
  <si>
    <t>G28886</t>
  </si>
  <si>
    <t>G28898</t>
  </si>
  <si>
    <t>G28896</t>
  </si>
  <si>
    <t>G28897</t>
  </si>
  <si>
    <t>G28894</t>
  </si>
  <si>
    <t>G28903</t>
  </si>
  <si>
    <t>G28893</t>
  </si>
  <si>
    <t>G28895</t>
  </si>
  <si>
    <t>G28899</t>
  </si>
  <si>
    <t>G28900</t>
  </si>
  <si>
    <t>G28041</t>
  </si>
  <si>
    <t>G28907</t>
  </si>
  <si>
    <t>G28906</t>
  </si>
  <si>
    <t>G28043</t>
  </si>
  <si>
    <t>G28046</t>
  </si>
  <si>
    <t>G28050</t>
  </si>
  <si>
    <t>G28911</t>
  </si>
  <si>
    <t>G28912</t>
  </si>
  <si>
    <t>G28909</t>
  </si>
  <si>
    <t>G28917</t>
  </si>
  <si>
    <t>G28922</t>
  </si>
  <si>
    <t>G28918</t>
  </si>
  <si>
    <t>G28920</t>
  </si>
  <si>
    <t>G28925</t>
  </si>
  <si>
    <t>G28923</t>
  </si>
  <si>
    <t>G28924</t>
  </si>
  <si>
    <t>G28929</t>
  </si>
  <si>
    <t>G28928</t>
  </si>
  <si>
    <t>G28057</t>
  </si>
  <si>
    <t>G28930</t>
  </si>
  <si>
    <t>G28931</t>
  </si>
  <si>
    <t>G28932</t>
  </si>
  <si>
    <t>G28933</t>
  </si>
  <si>
    <t>G28938</t>
  </si>
  <si>
    <t>G28939</t>
  </si>
  <si>
    <t>G28936</t>
  </si>
  <si>
    <t>G28937</t>
  </si>
  <si>
    <t>G28060</t>
  </si>
  <si>
    <t>G28940</t>
  </si>
  <si>
    <t>G28943</t>
  </si>
  <si>
    <t>G28941</t>
  </si>
  <si>
    <t>G28942</t>
  </si>
  <si>
    <t>G28945</t>
  </si>
  <si>
    <t>G28061</t>
  </si>
  <si>
    <t>G28946</t>
  </si>
  <si>
    <t>G28954</t>
  </si>
  <si>
    <t>G28956</t>
  </si>
  <si>
    <t>G28952</t>
  </si>
  <si>
    <t>G28950</t>
  </si>
  <si>
    <t>G28951</t>
  </si>
  <si>
    <t>G28955</t>
  </si>
  <si>
    <t>G28065</t>
  </si>
  <si>
    <t>G28959</t>
  </si>
  <si>
    <t>G28958</t>
  </si>
  <si>
    <t>G28963</t>
  </si>
  <si>
    <t>G28965</t>
  </si>
  <si>
    <t>G28964</t>
  </si>
  <si>
    <t>G28966</t>
  </si>
  <si>
    <t>G28967</t>
  </si>
  <si>
    <t>G28066</t>
  </si>
  <si>
    <t>G28971</t>
  </si>
  <si>
    <t>G28069</t>
  </si>
  <si>
    <t>G28975</t>
  </si>
  <si>
    <t>G28972</t>
  </si>
  <si>
    <t>G28973</t>
  </si>
  <si>
    <t>G28070</t>
  </si>
  <si>
    <t>G28976</t>
  </si>
  <si>
    <t>G28977</t>
  </si>
  <si>
    <t>G28979</t>
  </si>
  <si>
    <t>G28978</t>
  </si>
  <si>
    <t>G28984</t>
  </si>
  <si>
    <t>G28982</t>
  </si>
  <si>
    <t>G28983</t>
  </si>
  <si>
    <t>G28981</t>
  </si>
  <si>
    <t>G28990</t>
  </si>
  <si>
    <t>G28986</t>
  </si>
  <si>
    <t>G28985</t>
  </si>
  <si>
    <t>G28987</t>
  </si>
  <si>
    <t>G28988</t>
  </si>
  <si>
    <t>G28989</t>
  </si>
  <si>
    <t>G28074</t>
  </si>
  <si>
    <t>G28992</t>
  </si>
  <si>
    <t>G28076</t>
  </si>
  <si>
    <t>G28998</t>
  </si>
  <si>
    <t>G28996</t>
  </si>
  <si>
    <t>G28997</t>
  </si>
  <si>
    <t>G29001</t>
  </si>
  <si>
    <t>G28999</t>
  </si>
  <si>
    <t>G29000</t>
  </si>
  <si>
    <t>G29004</t>
  </si>
  <si>
    <t>G29002</t>
  </si>
  <si>
    <t>G29007</t>
  </si>
  <si>
    <t>G29005</t>
  </si>
  <si>
    <t>G28086</t>
  </si>
  <si>
    <t>G29010</t>
  </si>
  <si>
    <t>G29009</t>
  </si>
  <si>
    <t>G29012</t>
  </si>
  <si>
    <t>G29008</t>
  </si>
  <si>
    <t>G29011</t>
  </si>
  <si>
    <t>G28090</t>
  </si>
  <si>
    <t>G29013</t>
  </si>
  <si>
    <t>G29015</t>
  </si>
  <si>
    <t>G29016</t>
  </si>
  <si>
    <t>G28092</t>
  </si>
  <si>
    <t>G29023</t>
  </si>
  <si>
    <t>G28093</t>
  </si>
  <si>
    <t>G28094</t>
  </si>
  <si>
    <t>G29030</t>
  </si>
  <si>
    <t>G29027</t>
  </si>
  <si>
    <t>G29026</t>
  </si>
  <si>
    <t>G28095</t>
  </si>
  <si>
    <t>G29043</t>
  </si>
  <si>
    <t>G29037</t>
  </si>
  <si>
    <t>G29034</t>
  </si>
  <si>
    <t>G29038</t>
  </si>
  <si>
    <t>G29042</t>
  </si>
  <si>
    <t>G29031</t>
  </si>
  <si>
    <t>G29032</t>
  </si>
  <si>
    <t>G29041</t>
  </si>
  <si>
    <t>G29045</t>
  </si>
  <si>
    <t>G29046</t>
  </si>
  <si>
    <t>G29051</t>
  </si>
  <si>
    <t>G29047</t>
  </si>
  <si>
    <t>G29053</t>
  </si>
  <si>
    <t>G29052</t>
  </si>
  <si>
    <t>G29056</t>
  </si>
  <si>
    <t>G29055</t>
  </si>
  <si>
    <t>G29054</t>
  </si>
  <si>
    <t>G29057</t>
  </si>
  <si>
    <t>G29058</t>
  </si>
  <si>
    <t>G29059</t>
  </si>
  <si>
    <t>G29061</t>
  </si>
  <si>
    <t>G28104</t>
  </si>
  <si>
    <t>G29065</t>
  </si>
  <si>
    <t>G29063</t>
  </si>
  <si>
    <t>G29067</t>
  </si>
  <si>
    <t>G29068</t>
  </si>
  <si>
    <t>G29066</t>
  </si>
  <si>
    <t>G28109</t>
  </si>
  <si>
    <t>G29076</t>
  </si>
  <si>
    <t>G29072</t>
  </si>
  <si>
    <t>G28114</t>
  </si>
  <si>
    <t>G29079</t>
  </si>
  <si>
    <t>G29077</t>
  </si>
  <si>
    <t>G29080</t>
  </si>
  <si>
    <t>G29078</t>
  </si>
  <si>
    <t>G29081</t>
  </si>
  <si>
    <t>G29082</t>
  </si>
  <si>
    <t>G29084</t>
  </si>
  <si>
    <t>G29083</t>
  </si>
  <si>
    <t>G29089</t>
  </si>
  <si>
    <t>G29091</t>
  </si>
  <si>
    <t>G29090</t>
  </si>
  <si>
    <t>G29086</t>
  </si>
  <si>
    <t>G29088</t>
  </si>
  <si>
    <t>G28122</t>
  </si>
  <si>
    <t>G29096</t>
  </si>
  <si>
    <t>G29092</t>
  </si>
  <si>
    <t>G29097</t>
  </si>
  <si>
    <t>G29101</t>
  </si>
  <si>
    <t>G29094</t>
  </si>
  <si>
    <t>G29095</t>
  </si>
  <si>
    <t>G29098</t>
  </si>
  <si>
    <t>G29099</t>
  </si>
  <si>
    <t>G29100</t>
  </si>
  <si>
    <t>G29103</t>
  </si>
  <si>
    <t>G28123</t>
  </si>
  <si>
    <t>G29105</t>
  </si>
  <si>
    <t>G29106</t>
  </si>
  <si>
    <t>G29112</t>
  </si>
  <si>
    <t>G29108</t>
  </si>
  <si>
    <t>G29111</t>
  </si>
  <si>
    <t>G29107</t>
  </si>
  <si>
    <t>G29109</t>
  </si>
  <si>
    <t>G29110</t>
  </si>
  <si>
    <t>G29114</t>
  </si>
  <si>
    <t>G29117</t>
  </si>
  <si>
    <t>G29124</t>
  </si>
  <si>
    <t>G29122</t>
  </si>
  <si>
    <t>G29119</t>
  </si>
  <si>
    <t>G29121</t>
  </si>
  <si>
    <t>G29125</t>
  </si>
  <si>
    <t>G28130</t>
  </si>
  <si>
    <t>G29131</t>
  </si>
  <si>
    <t>G28131</t>
  </si>
  <si>
    <t>G29133</t>
  </si>
  <si>
    <t>G28132</t>
  </si>
  <si>
    <t>G28198</t>
  </si>
  <si>
    <t>G27479</t>
  </si>
  <si>
    <t>G28255</t>
  </si>
  <si>
    <t>G28259</t>
  </si>
  <si>
    <t>G28279</t>
  </si>
  <si>
    <t>G27562</t>
  </si>
  <si>
    <t>G28326</t>
  </si>
  <si>
    <t>G27630</t>
  </si>
  <si>
    <t>G28417</t>
  </si>
  <si>
    <t>G28542</t>
  </si>
  <si>
    <t>G28643</t>
  </si>
  <si>
    <t>G28760</t>
  </si>
  <si>
    <t>G28813</t>
  </si>
  <si>
    <t>G28877</t>
  </si>
  <si>
    <t>G28927</t>
  </si>
  <si>
    <t>G28083</t>
  </si>
  <si>
    <t>G28088</t>
  </si>
  <si>
    <t>G29073</t>
  </si>
  <si>
    <t>G27487</t>
  </si>
  <si>
    <t>G27595</t>
  </si>
  <si>
    <t>G27596</t>
  </si>
  <si>
    <t>G27597</t>
  </si>
  <si>
    <t>G27601</t>
  </si>
  <si>
    <t>G27602</t>
  </si>
  <si>
    <t>G27605</t>
  </si>
  <si>
    <t>G27611</t>
  </si>
  <si>
    <t>G27664</t>
  </si>
  <si>
    <t>G27665</t>
  </si>
  <si>
    <t>G27666</t>
  </si>
  <si>
    <t>G27717</t>
  </si>
  <si>
    <t>G27718</t>
  </si>
  <si>
    <t>G27731</t>
  </si>
  <si>
    <t>G27732</t>
  </si>
  <si>
    <t>G27740</t>
  </si>
  <si>
    <t>G27741</t>
  </si>
  <si>
    <t>G27751</t>
  </si>
  <si>
    <t>G28821</t>
  </si>
  <si>
    <t>G28045</t>
  </si>
  <si>
    <t>G28080</t>
  </si>
  <si>
    <t>G28125</t>
  </si>
  <si>
    <t>G27482</t>
  </si>
  <si>
    <t>G27483</t>
  </si>
  <si>
    <t>G27489</t>
  </si>
  <si>
    <t>G27490</t>
  </si>
  <si>
    <t>G27491</t>
  </si>
  <si>
    <t>G27492</t>
  </si>
  <si>
    <t>G27495</t>
  </si>
  <si>
    <t>G27496</t>
  </si>
  <si>
    <t>G27621</t>
  </si>
  <si>
    <t>G27622</t>
  </si>
  <si>
    <t>G27623</t>
  </si>
  <si>
    <t>G27624</t>
  </si>
  <si>
    <t>G27625</t>
  </si>
  <si>
    <t>G27626</t>
  </si>
  <si>
    <t>G27628</t>
  </si>
  <si>
    <t>G27629</t>
  </si>
  <si>
    <t>G27678</t>
  </si>
  <si>
    <t>G27680</t>
  </si>
  <si>
    <t>G27681</t>
  </si>
  <si>
    <t>G27682</t>
  </si>
  <si>
    <t>G27691</t>
  </si>
  <si>
    <t>G27692</t>
  </si>
  <si>
    <t>G27684</t>
  </si>
  <si>
    <t>G27685</t>
  </si>
  <si>
    <t>G27686</t>
  </si>
  <si>
    <t>G27688</t>
  </si>
  <si>
    <t>G27689</t>
  </si>
  <si>
    <t>G27690</t>
  </si>
  <si>
    <t>G27693</t>
  </si>
  <si>
    <t>G27694</t>
  </si>
  <si>
    <t>G27695</t>
  </si>
  <si>
    <t>G27696</t>
  </si>
  <si>
    <t>G27697</t>
  </si>
  <si>
    <t>G27698</t>
  </si>
  <si>
    <t>G27699</t>
  </si>
  <si>
    <t>G27704</t>
  </si>
  <si>
    <t>G27701</t>
  </si>
  <si>
    <t>G27702</t>
  </si>
  <si>
    <t>G27703</t>
  </si>
  <si>
    <t>G27706</t>
  </si>
  <si>
    <t>G27707</t>
  </si>
  <si>
    <t>G27709</t>
  </si>
  <si>
    <t>G27716</t>
  </si>
  <si>
    <t>G27734</t>
  </si>
  <si>
    <t>G27749</t>
  </si>
  <si>
    <t>G27756</t>
  </si>
  <si>
    <t>G27757</t>
  </si>
  <si>
    <t>G27761</t>
  </si>
  <si>
    <t>G27800</t>
  </si>
  <si>
    <t>G27838</t>
  </si>
  <si>
    <t>G27839</t>
  </si>
  <si>
    <t>G27840</t>
  </si>
  <si>
    <t>G27841</t>
  </si>
  <si>
    <t>G27844</t>
  </si>
  <si>
    <t>G27845</t>
  </si>
  <si>
    <t>G27874</t>
  </si>
  <si>
    <t>G26194</t>
  </si>
  <si>
    <t>'320250030993947348'</t>
  </si>
  <si>
    <t>G26195</t>
  </si>
  <si>
    <t>'320250030993924733'</t>
  </si>
  <si>
    <t>G26196</t>
  </si>
  <si>
    <t>'320250030994652143'</t>
  </si>
  <si>
    <t>G26199</t>
  </si>
  <si>
    <t>'320250040023194053'</t>
  </si>
  <si>
    <t>G26200</t>
  </si>
  <si>
    <t>'320250040023237801'</t>
  </si>
  <si>
    <t>G26201</t>
  </si>
  <si>
    <t>'320250040023274963'</t>
  </si>
  <si>
    <t>G26202</t>
  </si>
  <si>
    <t>'320250040023754582'</t>
  </si>
  <si>
    <t>G26205</t>
  </si>
  <si>
    <t>'320250050046604183'</t>
  </si>
  <si>
    <t>G26206</t>
  </si>
  <si>
    <t>'320250050046709386'</t>
  </si>
  <si>
    <t>G27386</t>
  </si>
  <si>
    <t>G27394</t>
  </si>
  <si>
    <t>G27395</t>
  </si>
  <si>
    <t>G27398</t>
  </si>
  <si>
    <t>G27407</t>
  </si>
  <si>
    <t>G27409</t>
  </si>
  <si>
    <t>G27411</t>
  </si>
  <si>
    <t>G27414</t>
  </si>
  <si>
    <t>G27415</t>
  </si>
  <si>
    <t>G27417</t>
  </si>
  <si>
    <t>G27421</t>
  </si>
  <si>
    <t>G27425</t>
  </si>
  <si>
    <t>G27426</t>
  </si>
  <si>
    <t>G27428</t>
  </si>
  <si>
    <t>G27429</t>
  </si>
  <si>
    <t>G27434</t>
  </si>
  <si>
    <t>G27435</t>
  </si>
  <si>
    <t>G27436</t>
  </si>
  <si>
    <t>G27437</t>
  </si>
  <si>
    <t>G27444</t>
  </si>
  <si>
    <t>G27450</t>
  </si>
  <si>
    <t>G27452</t>
  </si>
  <si>
    <t>G27454</t>
  </si>
  <si>
    <t>G27455</t>
  </si>
  <si>
    <t>G27456</t>
  </si>
  <si>
    <t>G27459</t>
  </si>
  <si>
    <t>G27460</t>
  </si>
  <si>
    <t>G27467</t>
  </si>
  <si>
    <t>G27470</t>
  </si>
  <si>
    <t>G27475</t>
  </si>
  <si>
    <t>G27497</t>
  </si>
  <si>
    <t>G27517</t>
  </si>
  <si>
    <t>G27524</t>
  </si>
  <si>
    <t>G27525</t>
  </si>
  <si>
    <t>G27532</t>
  </si>
  <si>
    <t>G27533</t>
  </si>
  <si>
    <t>G27535</t>
  </si>
  <si>
    <t>G27540</t>
  </si>
  <si>
    <t>G27544</t>
  </si>
  <si>
    <t>G27545</t>
  </si>
  <si>
    <t>G27559</t>
  </si>
  <si>
    <t>G27563</t>
  </si>
  <si>
    <t>G27564</t>
  </si>
  <si>
    <t>G27569</t>
  </si>
  <si>
    <t>G27570</t>
  </si>
  <si>
    <t>G27576</t>
  </si>
  <si>
    <t>G27581</t>
  </si>
  <si>
    <t>G27578</t>
  </si>
  <si>
    <t>G27582</t>
  </si>
  <si>
    <t>G27592</t>
  </si>
  <si>
    <t>G27600</t>
  </si>
  <si>
    <t>G27607</t>
  </si>
  <si>
    <t>G27609</t>
  </si>
  <si>
    <t>G27610</t>
  </si>
  <si>
    <t>G27615</t>
  </si>
  <si>
    <t>G27616</t>
  </si>
  <si>
    <t>G27638</t>
  </si>
  <si>
    <t>G27639</t>
  </si>
  <si>
    <t>G27640</t>
  </si>
  <si>
    <t>G27644</t>
  </si>
  <si>
    <t>G27645</t>
  </si>
  <si>
    <t>G27646</t>
  </si>
  <si>
    <t>G27647</t>
  </si>
  <si>
    <t>G27648</t>
  </si>
  <si>
    <t>G27649</t>
  </si>
  <si>
    <t>G27652</t>
  </si>
  <si>
    <t>G27655</t>
  </si>
  <si>
    <t>G27656</t>
  </si>
  <si>
    <t>G27657</t>
  </si>
  <si>
    <t>G27658</t>
  </si>
  <si>
    <t>G27659</t>
  </si>
  <si>
    <t>G27662</t>
  </si>
  <si>
    <t>G27669</t>
  </si>
  <si>
    <t>G27670</t>
  </si>
  <si>
    <t>G27674</t>
  </si>
  <si>
    <t>G27675</t>
  </si>
  <si>
    <t>G27705</t>
  </si>
  <si>
    <t>G27710</t>
  </si>
  <si>
    <t>G27711</t>
  </si>
  <si>
    <t>G27719</t>
  </si>
  <si>
    <t>G27735</t>
  </si>
  <si>
    <t>G27736</t>
  </si>
  <si>
    <t>G27737</t>
  </si>
  <si>
    <t>G27738</t>
  </si>
  <si>
    <t>G27744</t>
  </si>
  <si>
    <t>G27753</t>
  </si>
  <si>
    <t>G27754</t>
  </si>
  <si>
    <t>G27755</t>
  </si>
  <si>
    <t>G27762</t>
  </si>
  <si>
    <t>G27789</t>
  </si>
  <si>
    <t>G27794</t>
  </si>
  <si>
    <t>G27795</t>
  </si>
  <si>
    <t>G27796</t>
  </si>
  <si>
    <t>G27797</t>
  </si>
  <si>
    <t>G27802</t>
  </si>
  <si>
    <t>G27803</t>
  </si>
  <si>
    <t>G27804</t>
  </si>
  <si>
    <t>G27806</t>
  </si>
  <si>
    <t>G27807</t>
  </si>
  <si>
    <t>G27808</t>
  </si>
  <si>
    <t>G27814</t>
  </si>
  <si>
    <t>G27826</t>
  </si>
  <si>
    <t>G27827</t>
  </si>
  <si>
    <t>G27829</t>
  </si>
  <si>
    <t>G27830</t>
  </si>
  <si>
    <t>G27836</t>
  </si>
  <si>
    <t>G27846</t>
  </si>
  <si>
    <t>G27847</t>
  </si>
  <si>
    <t>G27851</t>
  </si>
  <si>
    <t>G27852</t>
  </si>
  <si>
    <t>G27854</t>
  </si>
  <si>
    <t>G27855</t>
  </si>
  <si>
    <t>G27856</t>
  </si>
  <si>
    <t>G27866</t>
  </si>
  <si>
    <t>G27867</t>
  </si>
  <si>
    <t>G27869</t>
  </si>
  <si>
    <t>G27870</t>
  </si>
  <si>
    <t>G27871</t>
  </si>
  <si>
    <t>G27872</t>
  </si>
  <si>
    <t>G27876</t>
  </si>
  <si>
    <t>G27877</t>
  </si>
  <si>
    <t>G27878</t>
  </si>
  <si>
    <t>G27882</t>
  </si>
  <si>
    <t>G27883</t>
  </si>
  <si>
    <t>G27884</t>
  </si>
  <si>
    <t>G27885</t>
  </si>
  <si>
    <t>G27886</t>
  </si>
  <si>
    <t>G27887</t>
  </si>
  <si>
    <t>G27888</t>
  </si>
  <si>
    <t>G27889</t>
  </si>
  <si>
    <t>G27890</t>
  </si>
  <si>
    <t>G27891</t>
  </si>
  <si>
    <t>G27895</t>
  </si>
  <si>
    <t>G27896</t>
  </si>
  <si>
    <t>G27897</t>
  </si>
  <si>
    <t>G27898</t>
  </si>
  <si>
    <t>G27899</t>
  </si>
  <si>
    <t>G27900</t>
  </si>
  <si>
    <t>G27901</t>
  </si>
  <si>
    <t>G27905</t>
  </si>
  <si>
    <t>G27906</t>
  </si>
  <si>
    <t>G27907</t>
  </si>
  <si>
    <t>G27908</t>
  </si>
  <si>
    <t>G27913</t>
  </si>
  <si>
    <t>G27914</t>
  </si>
  <si>
    <t>G27915</t>
  </si>
  <si>
    <t>G27916</t>
  </si>
  <si>
    <t>G27918</t>
  </si>
  <si>
    <t>G27919</t>
  </si>
  <si>
    <t>G27922</t>
  </si>
  <si>
    <t>G27923</t>
  </si>
  <si>
    <t>G27924</t>
  </si>
  <si>
    <t>G27925</t>
  </si>
  <si>
    <t>G27926</t>
  </si>
  <si>
    <t>G27930</t>
  </si>
  <si>
    <t>G27942</t>
  </si>
  <si>
    <t>G27943</t>
  </si>
  <si>
    <t>G27952</t>
  </si>
  <si>
    <t>G27955</t>
  </si>
  <si>
    <t>G27960</t>
  </si>
  <si>
    <t>G27965</t>
  </si>
  <si>
    <t>G27974</t>
  </si>
  <si>
    <t>G27975</t>
  </si>
  <si>
    <t>G27976</t>
  </si>
  <si>
    <t>G27991</t>
  </si>
  <si>
    <t>G27992</t>
  </si>
  <si>
    <t>G27993</t>
  </si>
  <si>
    <t>G27998</t>
  </si>
  <si>
    <t>G27999</t>
  </si>
  <si>
    <t>G28002</t>
  </si>
  <si>
    <t>G28744</t>
  </si>
  <si>
    <t>G28745</t>
  </si>
  <si>
    <t>G28746</t>
  </si>
  <si>
    <t>G28747</t>
  </si>
  <si>
    <t>G28748</t>
  </si>
  <si>
    <t>G28774</t>
  </si>
  <si>
    <t>G28775</t>
  </si>
  <si>
    <t>G28776</t>
  </si>
  <si>
    <t>G28777</t>
  </si>
  <si>
    <t>G28778</t>
  </si>
  <si>
    <t>G28779</t>
  </si>
  <si>
    <t>G28783</t>
  </si>
  <si>
    <t>G28784</t>
  </si>
  <si>
    <t>G28785</t>
  </si>
  <si>
    <t>G28786</t>
  </si>
  <si>
    <t>G28787</t>
  </si>
  <si>
    <t>G28788</t>
  </si>
  <si>
    <t>G28791</t>
  </si>
  <si>
    <t>G28844</t>
  </si>
  <si>
    <t>G28845</t>
  </si>
  <si>
    <t>G28846</t>
  </si>
  <si>
    <t>G28851</t>
  </si>
  <si>
    <t>G28852</t>
  </si>
  <si>
    <t>G28853</t>
  </si>
  <si>
    <t>G28865</t>
  </si>
  <si>
    <t>G28869</t>
  </si>
  <si>
    <t>G28889</t>
  </si>
  <si>
    <t>G28890</t>
  </si>
  <si>
    <t>G28891</t>
  </si>
  <si>
    <t>G28908</t>
  </si>
  <si>
    <t>G28913</t>
  </si>
  <si>
    <t>G28914</t>
  </si>
  <si>
    <t>G28915</t>
  </si>
  <si>
    <t>G28926</t>
  </si>
  <si>
    <t>G28934</t>
  </si>
  <si>
    <t>G28935</t>
  </si>
  <si>
    <t>G28947</t>
  </si>
  <si>
    <t>G28948</t>
  </si>
  <si>
    <t>G28949</t>
  </si>
  <si>
    <t>G28953</t>
  </si>
  <si>
    <t>G28960</t>
  </si>
  <si>
    <t>G28961</t>
  </si>
  <si>
    <t>G28962</t>
  </si>
  <si>
    <t>G28968</t>
  </si>
  <si>
    <t>G29028</t>
  </si>
  <si>
    <t>G29029</t>
  </si>
  <si>
    <t>G29049</t>
  </si>
  <si>
    <t>G29050</t>
  </si>
  <si>
    <t>G29069</t>
  </si>
  <si>
    <t>G29070</t>
  </si>
  <si>
    <t>G29071</t>
  </si>
  <si>
    <t>G29074</t>
  </si>
  <si>
    <t>G29075</t>
  </si>
  <si>
    <t>G29102</t>
  </si>
  <si>
    <t>G29104</t>
  </si>
  <si>
    <t>G29118</t>
  </si>
  <si>
    <t>G29123</t>
  </si>
  <si>
    <t>G29126</t>
  </si>
  <si>
    <t>G29127</t>
  </si>
  <si>
    <t>G29128</t>
  </si>
  <si>
    <t>G29129</t>
  </si>
  <si>
    <t>G29130</t>
  </si>
  <si>
    <t>G29134</t>
  </si>
  <si>
    <t>G26192</t>
  </si>
  <si>
    <t>PARKFAST PAYMENT    NEWARK              NJ</t>
  </si>
  <si>
    <t>'320250010944540760'</t>
  </si>
  <si>
    <t>G28149</t>
  </si>
  <si>
    <t>G27404</t>
  </si>
  <si>
    <t>G27405</t>
  </si>
  <si>
    <t>G28164</t>
  </si>
  <si>
    <t>G27413</t>
  </si>
  <si>
    <t>G27438</t>
  </si>
  <si>
    <t>G27440</t>
  </si>
  <si>
    <t>G27443</t>
  </si>
  <si>
    <t>G27448</t>
  </si>
  <si>
    <t>G27457</t>
  </si>
  <si>
    <t>G27469</t>
  </si>
  <si>
    <t>G27472</t>
  </si>
  <si>
    <t>G27480</t>
  </si>
  <si>
    <t>G27484</t>
  </si>
  <si>
    <t>G27499</t>
  </si>
  <si>
    <t>G27506</t>
  </si>
  <si>
    <t>G27510</t>
  </si>
  <si>
    <t>G27511</t>
  </si>
  <si>
    <t>G27515</t>
  </si>
  <si>
    <t>G27520</t>
  </si>
  <si>
    <t>G27521</t>
  </si>
  <si>
    <t>G27522</t>
  </si>
  <si>
    <t>G27526</t>
  </si>
  <si>
    <t>G27529</t>
  </si>
  <si>
    <t>G27536</t>
  </si>
  <si>
    <t>G27538</t>
  </si>
  <si>
    <t>G27542</t>
  </si>
  <si>
    <t>G27549</t>
  </si>
  <si>
    <t>G27551</t>
  </si>
  <si>
    <t>G27586</t>
  </si>
  <si>
    <t>G27617</t>
  </si>
  <si>
    <t>G27618</t>
  </si>
  <si>
    <t>G27631</t>
  </si>
  <si>
    <t>G27672</t>
  </si>
  <si>
    <t>G27730</t>
  </si>
  <si>
    <t>G27745</t>
  </si>
  <si>
    <t>G27750</t>
  </si>
  <si>
    <t>G27760</t>
  </si>
  <si>
    <t>G27766</t>
  </si>
  <si>
    <t>G27793</t>
  </si>
  <si>
    <t>G27813</t>
  </si>
  <si>
    <t>G27818</t>
  </si>
  <si>
    <t>G27825</t>
  </si>
  <si>
    <t>G27835</t>
  </si>
  <si>
    <t>G27862</t>
  </si>
  <si>
    <t>G27863</t>
  </si>
  <si>
    <t>G27864</t>
  </si>
  <si>
    <t>G27868</t>
  </si>
  <si>
    <t>G27879</t>
  </si>
  <si>
    <t>G27910</t>
  </si>
  <si>
    <t>G27947</t>
  </si>
  <si>
    <t>G27954</t>
  </si>
  <si>
    <t>G27968</t>
  </si>
  <si>
    <t>G27972</t>
  </si>
  <si>
    <t>G27973</t>
  </si>
  <si>
    <t>G27977</t>
  </si>
  <si>
    <t>G27987</t>
  </si>
  <si>
    <t>G28004</t>
  </si>
  <si>
    <t>G28009</t>
  </si>
  <si>
    <t>G28015</t>
  </si>
  <si>
    <t>G28017</t>
  </si>
  <si>
    <t>G28022</t>
  </si>
  <si>
    <t>G28023</t>
  </si>
  <si>
    <t>G28024</t>
  </si>
  <si>
    <t>G28031</t>
  </si>
  <si>
    <t>G28033</t>
  </si>
  <si>
    <t>G28052</t>
  </si>
  <si>
    <t>G28053</t>
  </si>
  <si>
    <t>G28056</t>
  </si>
  <si>
    <t>G28058</t>
  </si>
  <si>
    <t>G28062</t>
  </si>
  <si>
    <t>G28071</t>
  </si>
  <si>
    <t>G28077</t>
  </si>
  <si>
    <t>G28081</t>
  </si>
  <si>
    <t>G28096</t>
  </si>
  <si>
    <t>G28105</t>
  </si>
  <si>
    <t>G28118</t>
  </si>
  <si>
    <t>G28121</t>
  </si>
  <si>
    <t>G28126</t>
  </si>
  <si>
    <t>G28127</t>
  </si>
  <si>
    <t>G28219</t>
  </si>
  <si>
    <t>G28230</t>
  </si>
  <si>
    <t>G28452</t>
  </si>
  <si>
    <t>G28453</t>
  </si>
  <si>
    <t>G28456</t>
  </si>
  <si>
    <t>G28504</t>
  </si>
  <si>
    <t>G28548</t>
  </si>
  <si>
    <t>G28549</t>
  </si>
  <si>
    <t>G28686</t>
  </si>
  <si>
    <t>G28687</t>
  </si>
  <si>
    <t>G28824</t>
  </si>
  <si>
    <t>G28843</t>
  </si>
  <si>
    <t>G28910</t>
  </si>
  <si>
    <t>G28993</t>
  </si>
  <si>
    <t>G28994</t>
  </si>
  <si>
    <t>G27577</t>
  </si>
  <si>
    <t>G27587</t>
  </si>
  <si>
    <t>G27589</t>
  </si>
  <si>
    <t>G27590</t>
  </si>
  <si>
    <t>G27399</t>
  </si>
  <si>
    <t>G27400</t>
  </si>
  <si>
    <t>G27406</t>
  </si>
  <si>
    <t>G27410</t>
  </si>
  <si>
    <t>G27419</t>
  </si>
  <si>
    <t>G27427</t>
  </si>
  <si>
    <t>G27449</t>
  </si>
  <si>
    <t>G27453</t>
  </si>
  <si>
    <t>G27458</t>
  </si>
  <si>
    <t>G27461</t>
  </si>
  <si>
    <t>G27462</t>
  </si>
  <si>
    <t>G27471</t>
  </si>
  <si>
    <t>G27486</t>
  </si>
  <si>
    <t>G27505</t>
  </si>
  <si>
    <t>G27513</t>
  </si>
  <si>
    <t>G27516</t>
  </si>
  <si>
    <t>G27527</t>
  </si>
  <si>
    <t>G27528</t>
  </si>
  <si>
    <t>G27530</t>
  </si>
  <si>
    <t>G27531</t>
  </si>
  <si>
    <t>G27537</t>
  </si>
  <si>
    <t>G27548</t>
  </si>
  <si>
    <t>G27556</t>
  </si>
  <si>
    <t>G27557</t>
  </si>
  <si>
    <t>G27567</t>
  </si>
  <si>
    <t>G27573</t>
  </si>
  <si>
    <t>G27574</t>
  </si>
  <si>
    <t>G27575</t>
  </si>
  <si>
    <t>G27579</t>
  </si>
  <si>
    <t>G27580</t>
  </si>
  <si>
    <t>G27585</t>
  </si>
  <si>
    <t>G27588</t>
  </si>
  <si>
    <t>G27591</t>
  </si>
  <si>
    <t>G27594</t>
  </si>
  <si>
    <t>G27598</t>
  </si>
  <si>
    <t>G27599</t>
  </si>
  <si>
    <t>G28320</t>
  </si>
  <si>
    <t>G28321</t>
  </si>
  <si>
    <t>G28322</t>
  </si>
  <si>
    <t>G27613</t>
  </si>
  <si>
    <t>G27614</t>
  </si>
  <si>
    <t>G27632</t>
  </si>
  <si>
    <t>G27636</t>
  </si>
  <si>
    <t>G27641</t>
  </si>
  <si>
    <t>G27653</t>
  </si>
  <si>
    <t>G27654</t>
  </si>
  <si>
    <t>G27733</t>
  </si>
  <si>
    <t>G27743</t>
  </si>
  <si>
    <t>G27746</t>
  </si>
  <si>
    <t>G27747</t>
  </si>
  <si>
    <t>G27748</t>
  </si>
  <si>
    <t>G27752</t>
  </si>
  <si>
    <t>G27801</t>
  </si>
  <si>
    <t>G27805</t>
  </si>
  <si>
    <t>G27812</t>
  </si>
  <si>
    <t>G27820</t>
  </si>
  <si>
    <t>G27821</t>
  </si>
  <si>
    <t>G28532</t>
  </si>
  <si>
    <t>G28580</t>
  </si>
  <si>
    <t>G28581</t>
  </si>
  <si>
    <t>G28632</t>
  </si>
  <si>
    <t>G28688</t>
  </si>
  <si>
    <t>G28691</t>
  </si>
  <si>
    <t>G27989</t>
  </si>
  <si>
    <t>G28742</t>
  </si>
  <si>
    <t>G28743</t>
  </si>
  <si>
    <t>G28006</t>
  </si>
  <si>
    <t>G28012</t>
  </si>
  <si>
    <t>G28772</t>
  </si>
  <si>
    <t>G28833</t>
  </si>
  <si>
    <t>G28025</t>
  </si>
  <si>
    <t>G28841</t>
  </si>
  <si>
    <t>G28026</t>
  </si>
  <si>
    <t>G28850</t>
  </si>
  <si>
    <t>G28039</t>
  </si>
  <si>
    <t>G28921</t>
  </si>
  <si>
    <t>G28063</t>
  </si>
  <si>
    <t>G28064</t>
  </si>
  <si>
    <t>G28100</t>
  </si>
  <si>
    <t>G28108</t>
  </si>
  <si>
    <t>G28110</t>
  </si>
  <si>
    <t>G29087</t>
  </si>
  <si>
    <t>G27391</t>
  </si>
  <si>
    <t>G27393</t>
  </si>
  <si>
    <t>G27401</t>
  </si>
  <si>
    <t>G27402</t>
  </si>
  <si>
    <t>G27433</t>
  </si>
  <si>
    <t>G27477</t>
  </si>
  <si>
    <t>G27504</t>
  </si>
  <si>
    <t>G27509</t>
  </si>
  <si>
    <t>G27546</t>
  </si>
  <si>
    <t>G27619</t>
  </si>
  <si>
    <t>G27627</t>
  </si>
  <si>
    <t>G27767</t>
  </si>
  <si>
    <t>G27775</t>
  </si>
  <si>
    <t>G27859</t>
  </si>
  <si>
    <t>G27970</t>
  </si>
  <si>
    <t>G28019</t>
  </si>
  <si>
    <t>G28042</t>
  </si>
  <si>
    <t>G28075</t>
  </si>
  <si>
    <t>G28078</t>
  </si>
  <si>
    <t>G28124</t>
  </si>
  <si>
    <t>G27269</t>
  </si>
  <si>
    <t>'320250020977867060'</t>
  </si>
  <si>
    <t>G27273</t>
  </si>
  <si>
    <t>MSFT * E0500UVFU3 00MSBILL.INFO         WA</t>
  </si>
  <si>
    <t>'320250040035107873'</t>
  </si>
  <si>
    <t>G26197</t>
  </si>
  <si>
    <t>MSFT * E0800UV33O   MSBILL.INFO</t>
  </si>
  <si>
    <t>'320250030010841517'</t>
  </si>
  <si>
    <t>G27276</t>
  </si>
  <si>
    <t>MSFT * E0500UV3HF   MSBILL.INFO</t>
  </si>
  <si>
    <t>'320250030011481174'</t>
  </si>
  <si>
    <t>G27277</t>
  </si>
  <si>
    <t>MSFT * E0500UVFU4   MSBILL.INFO</t>
  </si>
  <si>
    <t>'320250030011496950'</t>
  </si>
  <si>
    <t>G27278</t>
  </si>
  <si>
    <t>MSFT * E0500UVFUM   MSBILL.INFO</t>
  </si>
  <si>
    <t>'320250030010829021'</t>
  </si>
  <si>
    <t>G27279</t>
  </si>
  <si>
    <t>MSFT * E0500UVGSM   MSBILL.INFO</t>
  </si>
  <si>
    <t>'320250030011483266'</t>
  </si>
  <si>
    <t>G27280</t>
  </si>
  <si>
    <t>MSFT+*+E0500UVGSN   REDMOND</t>
  </si>
  <si>
    <t>'320250030011488580'</t>
  </si>
  <si>
    <t>G26203</t>
  </si>
  <si>
    <t>'320250050042718188'</t>
  </si>
  <si>
    <t>G26204</t>
  </si>
  <si>
    <t>MSFT * E0500UVUTP   MSBILL.INFO</t>
  </si>
  <si>
    <t>'320250040015453717'</t>
  </si>
  <si>
    <t>G26208</t>
  </si>
  <si>
    <t>MSFT * E0100UWGT0   MSBILL.INFO</t>
  </si>
  <si>
    <t>'320250060084528362'</t>
  </si>
  <si>
    <t>G27286</t>
  </si>
  <si>
    <t>'320250080131648461'</t>
  </si>
  <si>
    <t>G26209</t>
  </si>
  <si>
    <t>MICROSOFT#G073362052MSBILL.INFO         WA</t>
  </si>
  <si>
    <t>'320250090140978594'</t>
  </si>
  <si>
    <t>G27288</t>
  </si>
  <si>
    <t>'320250090139852047'</t>
  </si>
  <si>
    <t>G27385</t>
  </si>
  <si>
    <t>G28129-1</t>
  </si>
  <si>
    <t>G27388</t>
  </si>
  <si>
    <t>G27392</t>
  </si>
  <si>
    <t>G27396</t>
  </si>
  <si>
    <t>G28160</t>
  </si>
  <si>
    <t>G27418</t>
  </si>
  <si>
    <t>G28172</t>
  </si>
  <si>
    <t>G28173</t>
  </si>
  <si>
    <t>G28174</t>
  </si>
  <si>
    <t>G28175</t>
  </si>
  <si>
    <t>G28176</t>
  </si>
  <si>
    <t>G28177</t>
  </si>
  <si>
    <t>G27422</t>
  </si>
  <si>
    <t>G27423</t>
  </si>
  <si>
    <t>G27430</t>
  </si>
  <si>
    <t>G27431</t>
  </si>
  <si>
    <t>G28187</t>
  </si>
  <si>
    <t>G27439</t>
  </si>
  <si>
    <t>G28191</t>
  </si>
  <si>
    <t>G27441</t>
  </si>
  <si>
    <t>G28193</t>
  </si>
  <si>
    <t>G27451</t>
  </si>
  <si>
    <t>G27463</t>
  </si>
  <si>
    <t>G27464</t>
  </si>
  <si>
    <t>G27465</t>
  </si>
  <si>
    <t>G28218</t>
  </si>
  <si>
    <t>G27473</t>
  </si>
  <si>
    <t>G27481</t>
  </si>
  <si>
    <t>G28233</t>
  </si>
  <si>
    <t>G28234</t>
  </si>
  <si>
    <t>G28235</t>
  </si>
  <si>
    <t>G28236</t>
  </si>
  <si>
    <t>G28237</t>
  </si>
  <si>
    <t>G28238</t>
  </si>
  <si>
    <t>G27488</t>
  </si>
  <si>
    <t>G27494</t>
  </si>
  <si>
    <t>G27493</t>
  </si>
  <si>
    <t>G27498</t>
  </si>
  <si>
    <t>G27501</t>
  </si>
  <si>
    <t>G27503</t>
  </si>
  <si>
    <t>G27502</t>
  </si>
  <si>
    <t>G28247</t>
  </si>
  <si>
    <t>G27508</t>
  </si>
  <si>
    <t>G28249</t>
  </si>
  <si>
    <t>G28251</t>
  </si>
  <si>
    <t>G27514</t>
  </si>
  <si>
    <t>G27519</t>
  </si>
  <si>
    <t>G28270</t>
  </si>
  <si>
    <t>G27534</t>
  </si>
  <si>
    <t>G27539</t>
  </si>
  <si>
    <t>G28278</t>
  </si>
  <si>
    <t>G27561</t>
  </si>
  <si>
    <t>G27565</t>
  </si>
  <si>
    <t>G28290</t>
  </si>
  <si>
    <t>G28291</t>
  </si>
  <si>
    <t>G28292</t>
  </si>
  <si>
    <t>G28293</t>
  </si>
  <si>
    <t>G28294</t>
  </si>
  <si>
    <t>G28295</t>
  </si>
  <si>
    <t>G27571</t>
  </si>
  <si>
    <t>G27583</t>
  </si>
  <si>
    <t>G27584</t>
  </si>
  <si>
    <t>G28305</t>
  </si>
  <si>
    <t>G28304</t>
  </si>
  <si>
    <t>G27593</t>
  </si>
  <si>
    <t>G28315</t>
  </si>
  <si>
    <t>G28318</t>
  </si>
  <si>
    <t>G28319</t>
  </si>
  <si>
    <t>G27606</t>
  </si>
  <si>
    <t>G27612</t>
  </si>
  <si>
    <t>G28348</t>
  </si>
  <si>
    <t>G27634</t>
  </si>
  <si>
    <t>G27635</t>
  </si>
  <si>
    <t>G27633</t>
  </si>
  <si>
    <t>G28355</t>
  </si>
  <si>
    <t>G27660</t>
  </si>
  <si>
    <t>G27673</t>
  </si>
  <si>
    <t>G27676</t>
  </si>
  <si>
    <t>G28380</t>
  </si>
  <si>
    <t>G28381</t>
  </si>
  <si>
    <t>G28382</t>
  </si>
  <si>
    <t>G28383</t>
  </si>
  <si>
    <t>G28384</t>
  </si>
  <si>
    <t>G28385</t>
  </si>
  <si>
    <t>G27679</t>
  </si>
  <si>
    <t>G27683</t>
  </si>
  <si>
    <t>G27687</t>
  </si>
  <si>
    <t>G28399</t>
  </si>
  <si>
    <t>G27700</t>
  </si>
  <si>
    <t>G28404</t>
  </si>
  <si>
    <t>G27708</t>
  </si>
  <si>
    <t>G28409</t>
  </si>
  <si>
    <t>G28411</t>
  </si>
  <si>
    <t>G27714</t>
  </si>
  <si>
    <t>G27742</t>
  </si>
  <si>
    <t>G28444</t>
  </si>
  <si>
    <t>G27791</t>
  </si>
  <si>
    <t>G27790</t>
  </si>
  <si>
    <t>G28459</t>
  </si>
  <si>
    <t>G27816</t>
  </si>
  <si>
    <t>G27819</t>
  </si>
  <si>
    <t>G28490</t>
  </si>
  <si>
    <t>G28491</t>
  </si>
  <si>
    <t>G27822</t>
  </si>
  <si>
    <t>G28496</t>
  </si>
  <si>
    <t>G28497</t>
  </si>
  <si>
    <t>G28498</t>
  </si>
  <si>
    <t>G28499</t>
  </si>
  <si>
    <t>G27824</t>
  </si>
  <si>
    <t>G27828</t>
  </si>
  <si>
    <t>G28520</t>
  </si>
  <si>
    <t>G28521</t>
  </si>
  <si>
    <t>G27831</t>
  </si>
  <si>
    <t>G27834</t>
  </si>
  <si>
    <t>G28523</t>
  </si>
  <si>
    <t>G28525</t>
  </si>
  <si>
    <t>G28528</t>
  </si>
  <si>
    <t>G27842</t>
  </si>
  <si>
    <t>G27843</t>
  </si>
  <si>
    <t>G27848</t>
  </si>
  <si>
    <t>G27850</t>
  </si>
  <si>
    <t>G28533</t>
  </si>
  <si>
    <t>G28537</t>
  </si>
  <si>
    <t>G27853</t>
  </si>
  <si>
    <t>G27860</t>
  </si>
  <si>
    <t>G27861</t>
  </si>
  <si>
    <t>G27865</t>
  </si>
  <si>
    <t>G28561</t>
  </si>
  <si>
    <t>G27875</t>
  </si>
  <si>
    <t>G28565</t>
  </si>
  <si>
    <t>G28566</t>
  </si>
  <si>
    <t>G28576</t>
  </si>
  <si>
    <t>G27911</t>
  </si>
  <si>
    <t>G27917</t>
  </si>
  <si>
    <t>G27920</t>
  </si>
  <si>
    <t>G28603</t>
  </si>
  <si>
    <t>G28604</t>
  </si>
  <si>
    <t>G28605</t>
  </si>
  <si>
    <t>G28606</t>
  </si>
  <si>
    <t>G28607</t>
  </si>
  <si>
    <t>G28608</t>
  </si>
  <si>
    <t>G27927</t>
  </si>
  <si>
    <t>G27931</t>
  </si>
  <si>
    <t>G27932</t>
  </si>
  <si>
    <t>G28627</t>
  </si>
  <si>
    <t>G27934</t>
  </si>
  <si>
    <t>G27938</t>
  </si>
  <si>
    <t>G27939</t>
  </si>
  <si>
    <t>G27941</t>
  </si>
  <si>
    <t>G27945</t>
  </si>
  <si>
    <t>G28638</t>
  </si>
  <si>
    <t>G28640</t>
  </si>
  <si>
    <t>G27946</t>
  </si>
  <si>
    <t>G27950</t>
  </si>
  <si>
    <t>G27953</t>
  </si>
  <si>
    <t>G28667</t>
  </si>
  <si>
    <t>G28669</t>
  </si>
  <si>
    <t>G27957</t>
  </si>
  <si>
    <t>G28680</t>
  </si>
  <si>
    <t>G27969</t>
  </si>
  <si>
    <t>G27980</t>
  </si>
  <si>
    <t>G27982</t>
  </si>
  <si>
    <t>G27985</t>
  </si>
  <si>
    <t>G27984</t>
  </si>
  <si>
    <t>G28709</t>
  </si>
  <si>
    <t>G28710</t>
  </si>
  <si>
    <t>G28711</t>
  </si>
  <si>
    <t>G28712</t>
  </si>
  <si>
    <t>G28713</t>
  </si>
  <si>
    <t>G28714</t>
  </si>
  <si>
    <t>G27988</t>
  </si>
  <si>
    <t>G27990</t>
  </si>
  <si>
    <t>G27994</t>
  </si>
  <si>
    <t>G28735</t>
  </si>
  <si>
    <t>G27995</t>
  </si>
  <si>
    <t>G27996</t>
  </si>
  <si>
    <t>G28000</t>
  </si>
  <si>
    <t>G28001</t>
  </si>
  <si>
    <t>G28003</t>
  </si>
  <si>
    <t>G28005</t>
  </si>
  <si>
    <t>G28749</t>
  </si>
  <si>
    <t>G28753</t>
  </si>
  <si>
    <t>G28007</t>
  </si>
  <si>
    <t>G28011</t>
  </si>
  <si>
    <t>G28808</t>
  </si>
  <si>
    <t>G28018</t>
  </si>
  <si>
    <t>G28816</t>
  </si>
  <si>
    <t>G28829</t>
  </si>
  <si>
    <t>G28028</t>
  </si>
  <si>
    <t>G28032</t>
  </si>
  <si>
    <t>G28867</t>
  </si>
  <si>
    <t>G28868</t>
  </si>
  <si>
    <t>G28034</t>
  </si>
  <si>
    <t>G28871</t>
  </si>
  <si>
    <t>G28872</t>
  </si>
  <si>
    <t>G28873</t>
  </si>
  <si>
    <t>G28874</t>
  </si>
  <si>
    <t>G28036</t>
  </si>
  <si>
    <t>G28037</t>
  </si>
  <si>
    <t>G28884</t>
  </si>
  <si>
    <t>G28885</t>
  </si>
  <si>
    <t>G28038</t>
  </si>
  <si>
    <t>G28892</t>
  </si>
  <si>
    <t>G28040</t>
  </si>
  <si>
    <t>G28904</t>
  </si>
  <si>
    <t>G28044</t>
  </si>
  <si>
    <t>G28047</t>
  </si>
  <si>
    <t>G28048</t>
  </si>
  <si>
    <t>G28051</t>
  </si>
  <si>
    <t>G28916</t>
  </si>
  <si>
    <t>G28919</t>
  </si>
  <si>
    <t>G28054</t>
  </si>
  <si>
    <t>G28059</t>
  </si>
  <si>
    <t>G28969</t>
  </si>
  <si>
    <t>G28970</t>
  </si>
  <si>
    <t>G28068</t>
  </si>
  <si>
    <t>G28974</t>
  </si>
  <si>
    <t>G28980</t>
  </si>
  <si>
    <t>G28991</t>
  </si>
  <si>
    <t>G28079</t>
  </si>
  <si>
    <t>G28085</t>
  </si>
  <si>
    <t>G28089</t>
  </si>
  <si>
    <t>G28091</t>
  </si>
  <si>
    <t>G29017</t>
  </si>
  <si>
    <t>G29018</t>
  </si>
  <si>
    <t>G29019</t>
  </si>
  <si>
    <t>G29020</t>
  </si>
  <si>
    <t>G29021</t>
  </si>
  <si>
    <t>G29022</t>
  </si>
  <si>
    <t>G29024</t>
  </si>
  <si>
    <t>G29025</t>
  </si>
  <si>
    <t>G28097</t>
  </si>
  <si>
    <t>G29039</t>
  </si>
  <si>
    <t>G29035</t>
  </si>
  <si>
    <t>G29033</t>
  </si>
  <si>
    <t>G28098</t>
  </si>
  <si>
    <t>G28099</t>
  </si>
  <si>
    <t>G29044</t>
  </si>
  <si>
    <t>G28101</t>
  </si>
  <si>
    <t>G28102</t>
  </si>
  <si>
    <t>G28103</t>
  </si>
  <si>
    <t>G28106</t>
  </si>
  <si>
    <t>G29062</t>
  </si>
  <si>
    <t>G29064</t>
  </si>
  <si>
    <t>G28107</t>
  </si>
  <si>
    <t>G28113</t>
  </si>
  <si>
    <t>G28112</t>
  </si>
  <si>
    <t>G28119</t>
  </si>
  <si>
    <t>G29113</t>
  </si>
  <si>
    <t>G29115</t>
  </si>
  <si>
    <t>G29116</t>
  </si>
  <si>
    <t>G28128</t>
  </si>
  <si>
    <t>G29120</t>
  </si>
  <si>
    <t>G28167</t>
  </si>
  <si>
    <t>G28227</t>
  </si>
  <si>
    <t>G28283</t>
  </si>
  <si>
    <t>G28369</t>
  </si>
  <si>
    <t>G28478</t>
  </si>
  <si>
    <t>G28596</t>
  </si>
  <si>
    <t>G28697</t>
  </si>
  <si>
    <t>G28010</t>
  </si>
  <si>
    <t>G28859</t>
  </si>
  <si>
    <t>G29006</t>
  </si>
  <si>
    <t>G27390</t>
  </si>
  <si>
    <t>G27408</t>
  </si>
  <si>
    <t>G27416</t>
  </si>
  <si>
    <t>G27478</t>
  </si>
  <si>
    <t>G27547</t>
  </si>
  <si>
    <t>G27558</t>
  </si>
  <si>
    <t>G27604</t>
  </si>
  <si>
    <t>G27643</t>
  </si>
  <si>
    <t>G27667</t>
  </si>
  <si>
    <t>G27817</t>
  </si>
  <si>
    <t>G27912</t>
  </si>
  <si>
    <t>G27981</t>
  </si>
  <si>
    <t>G28030</t>
  </si>
  <si>
    <t>G28067</t>
  </si>
  <si>
    <t>G28087</t>
  </si>
  <si>
    <t>G27474</t>
  </si>
  <si>
    <t>G27275</t>
  </si>
  <si>
    <t>STATE FARM INSURANCEBLOOMINGTON         IL</t>
  </si>
  <si>
    <t>'320250030988788564'</t>
  </si>
  <si>
    <t>G27397</t>
  </si>
  <si>
    <t>G27466</t>
  </si>
  <si>
    <t>G27512</t>
  </si>
  <si>
    <t>G28276</t>
  </si>
  <si>
    <t>G27550</t>
  </si>
  <si>
    <t>G27560</t>
  </si>
  <si>
    <t>G27661</t>
  </si>
  <si>
    <t>G27858</t>
  </si>
  <si>
    <t>G28013</t>
  </si>
  <si>
    <t>G28014</t>
  </si>
  <si>
    <t>G27283</t>
  </si>
  <si>
    <t>'320250060070402668'</t>
  </si>
  <si>
    <t>G28334</t>
  </si>
  <si>
    <t>G27944</t>
  </si>
  <si>
    <t>G28636</t>
  </si>
  <si>
    <t>G28658</t>
  </si>
  <si>
    <t>G27971</t>
  </si>
  <si>
    <t>G29085</t>
  </si>
  <si>
    <t>G26193</t>
  </si>
  <si>
    <t>'320250010950448554'</t>
  </si>
  <si>
    <t>G27387</t>
  </si>
  <si>
    <t>G28140</t>
  </si>
  <si>
    <t>G27412</t>
  </si>
  <si>
    <t>G28170</t>
  </si>
  <si>
    <t>G28184</t>
  </si>
  <si>
    <t>G27447</t>
  </si>
  <si>
    <t>G27476</t>
  </si>
  <si>
    <t>G28240</t>
  </si>
  <si>
    <t>G28245</t>
  </si>
  <si>
    <t>G27518</t>
  </si>
  <si>
    <t>G27555</t>
  </si>
  <si>
    <t>G28297</t>
  </si>
  <si>
    <t>G28303</t>
  </si>
  <si>
    <t>G27608</t>
  </si>
  <si>
    <t>G27663</t>
  </si>
  <si>
    <t>G28371</t>
  </si>
  <si>
    <t>G28398</t>
  </si>
  <si>
    <t>G27720</t>
  </si>
  <si>
    <t>G27815</t>
  </si>
  <si>
    <t>G28503</t>
  </si>
  <si>
    <t>G28518</t>
  </si>
  <si>
    <t>G27857</t>
  </si>
  <si>
    <t>G27909</t>
  </si>
  <si>
    <t>G28613</t>
  </si>
  <si>
    <t>G28626</t>
  </si>
  <si>
    <t>G27949</t>
  </si>
  <si>
    <t>G27979</t>
  </si>
  <si>
    <t>G28719</t>
  </si>
  <si>
    <t>G28731</t>
  </si>
  <si>
    <t>G28008</t>
  </si>
  <si>
    <t>G28027</t>
  </si>
  <si>
    <t>G28878</t>
  </si>
  <si>
    <t>G28901</t>
  </si>
  <si>
    <t>G28055</t>
  </si>
  <si>
    <t>G28084</t>
  </si>
  <si>
    <t>G29040</t>
  </si>
  <si>
    <t>G29036</t>
  </si>
  <si>
    <t>G28111</t>
  </si>
  <si>
    <t>G27270</t>
  </si>
  <si>
    <t>'320250040025658875'</t>
  </si>
  <si>
    <t>G27290</t>
  </si>
  <si>
    <t>'320250100164304345'</t>
  </si>
  <si>
    <t>G28151</t>
  </si>
  <si>
    <t>G28166</t>
  </si>
  <si>
    <t>G28169</t>
  </si>
  <si>
    <t>G28188</t>
  </si>
  <si>
    <t>G28185</t>
  </si>
  <si>
    <t>G28215</t>
  </si>
  <si>
    <t>G28226</t>
  </si>
  <si>
    <t>G28232</t>
  </si>
  <si>
    <t>G28246</t>
  </si>
  <si>
    <t>G28253</t>
  </si>
  <si>
    <t>G28254</t>
  </si>
  <si>
    <t>G28262</t>
  </si>
  <si>
    <t>G27543</t>
  </si>
  <si>
    <t>G27552</t>
  </si>
  <si>
    <t>G28288</t>
  </si>
  <si>
    <t>G27568</t>
  </si>
  <si>
    <t>G28296</t>
  </si>
  <si>
    <t>G28311</t>
  </si>
  <si>
    <t>G28333</t>
  </si>
  <si>
    <t>G28338</t>
  </si>
  <si>
    <t>G27637</t>
  </si>
  <si>
    <t>G28354</t>
  </si>
  <si>
    <t>G28370</t>
  </si>
  <si>
    <t>G28373</t>
  </si>
  <si>
    <t>G28372</t>
  </si>
  <si>
    <t>G28377</t>
  </si>
  <si>
    <t>G28405</t>
  </si>
  <si>
    <t>G28418</t>
  </si>
  <si>
    <t>G27788</t>
  </si>
  <si>
    <t>G28474</t>
  </si>
  <si>
    <t>G28472</t>
  </si>
  <si>
    <t>G28473</t>
  </si>
  <si>
    <t>G28487</t>
  </si>
  <si>
    <t>G27849</t>
  </si>
  <si>
    <t>G27873</t>
  </si>
  <si>
    <t>G28563</t>
  </si>
  <si>
    <t>G28577</t>
  </si>
  <si>
    <t>G28583</t>
  </si>
  <si>
    <t>G28591</t>
  </si>
  <si>
    <t>G28601</t>
  </si>
  <si>
    <t>G28622</t>
  </si>
  <si>
    <t>G28677</t>
  </si>
  <si>
    <t>G28684</t>
  </si>
  <si>
    <t>G28701</t>
  </si>
  <si>
    <t>G28705</t>
  </si>
  <si>
    <t>G27983</t>
  </si>
  <si>
    <t>G28723</t>
  </si>
  <si>
    <t>G27997</t>
  </si>
  <si>
    <t>G28741</t>
  </si>
  <si>
    <t>G28756</t>
  </si>
  <si>
    <t>G28795</t>
  </si>
  <si>
    <t>G28806</t>
  </si>
  <si>
    <t>G28815</t>
  </si>
  <si>
    <t>G28840</t>
  </si>
  <si>
    <t>G28029</t>
  </si>
  <si>
    <t>G28866</t>
  </si>
  <si>
    <t>G28902</t>
  </si>
  <si>
    <t>G28944</t>
  </si>
  <si>
    <t>G28957</t>
  </si>
  <si>
    <t>G28073</t>
  </si>
  <si>
    <t>G28995</t>
  </si>
  <si>
    <t>G29003</t>
  </si>
  <si>
    <t>G29014</t>
  </si>
  <si>
    <t>G29060</t>
  </si>
  <si>
    <t>G28115</t>
  </si>
  <si>
    <t>G28116</t>
  </si>
  <si>
    <t>G28117</t>
  </si>
  <si>
    <t>G29093</t>
  </si>
  <si>
    <t>G29132</t>
  </si>
  <si>
    <t>G27287</t>
  </si>
  <si>
    <t>'150109040000512099'</t>
  </si>
  <si>
    <t>G28180</t>
  </si>
  <si>
    <t>G28285</t>
  </si>
  <si>
    <t>G28306</t>
  </si>
  <si>
    <t>G28403</t>
  </si>
  <si>
    <t>G28514</t>
  </si>
  <si>
    <t>G28631</t>
  </si>
  <si>
    <t>G28633</t>
  </si>
  <si>
    <t>G27963</t>
  </si>
  <si>
    <t>G27964</t>
  </si>
  <si>
    <t>G28740</t>
  </si>
  <si>
    <t>G28020</t>
  </si>
  <si>
    <t>G28905</t>
  </si>
  <si>
    <t>G28072</t>
  </si>
  <si>
    <t>G29048</t>
  </si>
  <si>
    <t>G28129</t>
  </si>
  <si>
    <t>320250120218752716'</t>
  </si>
  <si>
    <t>Row Labels</t>
  </si>
  <si>
    <t>#N/A</t>
  </si>
  <si>
    <t>Grand Total</t>
  </si>
  <si>
    <t>Sum of Amount</t>
  </si>
  <si>
    <t>Ref Clean</t>
  </si>
  <si>
    <t>G/L Account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</si>
</sst>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11" fontId="0" fillId="0" borderId="0" xfId="0" applyNumberFormat="1" applyAlignment="1">
      <alignment wrapText="1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nicola" refreshedDate="46055.020173495373" createdVersion="8" refreshedVersion="8" minRefreshableVersion="3" recordCount="1810" xr:uid="{9C061AF0-573F-4736-9B0D-173CDD3BA39E}">
  <cacheSource type="worksheet">
    <worksheetSource ref="A1:M1811" sheet="CC"/>
  </cacheSource>
  <cacheFields count="13">
    <cacheField name="Date" numFmtId="14">
      <sharedItems containsSemiMixedTypes="0" containsNonDate="0" containsDate="1" containsString="0" minDate="2025-01-11T00:00:00" maxDate="2025-10-26T00:00:00"/>
    </cacheField>
    <cacheField name="Description" numFmtId="0">
      <sharedItems/>
    </cacheField>
    <cacheField name="Amount" numFmtId="0">
      <sharedItems containsSemiMixedTypes="0" containsString="0" containsNumber="1" minValue="-21000" maxValue="5665"/>
    </cacheField>
    <cacheField name="Extended Details" numFmtId="0">
      <sharedItems longText="1"/>
    </cacheField>
    <cacheField name="Appears On Your Statement As" numFmtId="0">
      <sharedItems/>
    </cacheField>
    <cacheField name="Address" numFmtId="0">
      <sharedItems containsBlank="1"/>
    </cacheField>
    <cacheField name="City/State" numFmtId="0">
      <sharedItems containsBlank="1"/>
    </cacheField>
    <cacheField name="Zip Code" numFmtId="0">
      <sharedItems containsBlank="1" containsMixedTypes="1" containsNumber="1" containsInteger="1" minValue="0" maxValue="98373"/>
    </cacheField>
    <cacheField name="Country" numFmtId="0">
      <sharedItems containsBlank="1"/>
    </cacheField>
    <cacheField name="Reference" numFmtId="0">
      <sharedItems/>
    </cacheField>
    <cacheField name="Category" numFmtId="0">
      <sharedItems containsBlank="1"/>
    </cacheField>
    <cacheField name="CC Name" numFmtId="0">
      <sharedItems/>
    </cacheField>
    <cacheField name="G/L Account No" numFmtId="0">
      <sharedItems containsMixedTypes="1" containsNumber="1" containsInteger="1" minValue="54820" maxValue="80100" count="20">
        <e v="#N/A"/>
        <n v="64100"/>
        <n v="61130"/>
        <n v="54820"/>
        <n v="61100"/>
        <n v="65700"/>
        <n v="64200"/>
        <n v="63100"/>
        <n v="67500"/>
        <n v="61131"/>
        <n v="65505"/>
        <n v="61215"/>
        <n v="64101"/>
        <n v="80100"/>
        <n v="61133"/>
        <n v="64210"/>
        <n v="61120"/>
        <n v="61110"/>
        <n v="61200"/>
        <n v="65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0">
  <r>
    <d v="2025-01-11T00:00:00"/>
    <s v="ONLINE PAYMENT - THANK YOU"/>
    <n v="-12021.51"/>
    <s v="ONLINE PAYMENT - THANK YOU"/>
    <s v="ONLINE PAYMENT - THANK YOU"/>
    <m/>
    <m/>
    <m/>
    <m/>
    <s v="'320250110186972138'"/>
    <m/>
    <s v="DELTARESERVE"/>
    <x v="0"/>
  </r>
  <r>
    <d v="2025-01-11T00:00:00"/>
    <s v="ADOBE SYSTEMS Adobe SAN JOSE            CA"/>
    <n v="21.64"/>
    <s v="567960456   www.adobe.com_x000a_ADOBE SYSTEMS Adobe Systems_x000a_SAN JOSE_x000a_CA_x000a_Description : 0 Price : 0.1999_x000a_www.adobe.com"/>
    <s v="ADOBE SYSTEMS Adobe SAN JOSE            CA"/>
    <s v="801 N 34TH ST"/>
    <s v="SEATTLE_x000a_WA"/>
    <n v="98103"/>
    <s v="UNITED STATES"/>
    <s v="'320250120216930217'"/>
    <s v="Merchandise &amp; Supplies-Mail Order"/>
    <s v="AMEXPLATINUM"/>
    <x v="1"/>
  </r>
  <r>
    <d v="2025-01-11T00:00:00"/>
    <s v="GOOGLE *ISHARINGSOFT G.CO/HELPPAY#      CA"/>
    <n v="16.04"/>
    <s v="A0YWKMVS    DIGITAL GOODS: APPS_x000a_GOOGLE *ISHARINGSOFT_x000a_G.CO/HELPPAY#_x000a_CA_x000a_DIGITAL GOODS: APPS"/>
    <s v="GOOGLE *ISHARINGSOFT G.CO/HELPPAY#      CA"/>
    <s v="1600 AMPHITHEATRE PKWY"/>
    <s v="MOUNTAIN VIEW_x000a_CA"/>
    <s v="94043-1351"/>
    <s v="UNITED STATES"/>
    <s v="320250120218752716'"/>
    <s v="Business Services-Internet Services"/>
    <s v="DELTARESERVE"/>
    <x v="1"/>
  </r>
  <r>
    <d v="2025-01-12T00:00:00"/>
    <s v="UBER"/>
    <n v="28.32"/>
    <s v="FG9QDJ8X   LM5CYPCR         10013_x000a_Uber Trip_x000a_help.uber.com_x000a_CA_x000a_LM5CYPCR         10013"/>
    <s v="Uber Trip           help.uber.com       CA"/>
    <s v="1455 MARKET ST_x000a_4TH FLOOR"/>
    <s v="SAN FRANCISCO_x000a_CA"/>
    <n v="94103"/>
    <s v="UNITED STATES"/>
    <s v="'320250120213109403'"/>
    <s v="Transportation-Taxis &amp; Coach"/>
    <s v="DELTARESERVE"/>
    <x v="2"/>
  </r>
  <r>
    <d v="2025-01-12T00:00:00"/>
    <s v="FACEBK *META VERIFIEFB.ME/CC            CA"/>
    <n v="11.99"/>
    <s v="92545376346 DGTL CONTENT_x000a_FACEBK *META VERIFIED_x000a_FB.ME/CC_x000a_CA_x000a_DGTL CONTENT"/>
    <s v="FACEBK *META VERIFIEFB.ME/CC            CA"/>
    <s v="1 HACKER WAY"/>
    <s v="MENLO PARK_x000a_CA"/>
    <n v="94025"/>
    <s v="UNITED STATES"/>
    <s v="'320250120231674656'"/>
    <s v="Business Services-Office Supplies"/>
    <s v="AMEXPLATINUM"/>
    <x v="3"/>
  </r>
  <r>
    <d v="2025-01-12T00:00:00"/>
    <s v="WEGMANS ASTOR PLACE NEW YORK            NY"/>
    <n v="63.09"/>
    <s v="W15608601385854293656_x000a_WEGMANS ASTOR PLACE 156 000000156_x000a_NEW YORK_x000a_NY_x000a_5854293656"/>
    <s v="WEGMANS ASTOR PLACE NEW YORK            NY"/>
    <s v="770 BROADWAY"/>
    <s v="NEW YORK_x000a_NY"/>
    <n v="10003"/>
    <s v="UNITED STATES"/>
    <s v="'320250130246487755'"/>
    <s v="Merchandise &amp; Supplies-Groceries"/>
    <s v="AMEXPLATINUM"/>
    <x v="3"/>
  </r>
  <r>
    <d v="2025-01-13T00:00:00"/>
    <s v="ONLINE PAYMENT - THANK YOU"/>
    <n v="-3000"/>
    <s v="ONLINE PAYMENT - THANK YOU"/>
    <s v="ONLINE PAYMENT - THANK YOU"/>
    <m/>
    <m/>
    <m/>
    <m/>
    <s v="'320250130233557937'"/>
    <m/>
    <s v="AMEXPLATINUM"/>
    <x v="0"/>
  </r>
  <r>
    <d v="2025-01-13T00:00:00"/>
    <s v="LINKEDIN SN P3704854MOUNTAIN VIEW"/>
    <n v="40.58"/>
    <s v="P370485424  SUBSCRIPTIONS_x000a_LINKEDIN SN P370485424_x000a_MOUNTAIN VIEW_x000a_SUBSCRIPTIONS"/>
    <s v="LINKEDIN SN P3704854MOUNTAIN VIEW"/>
    <s v="2029 STIERLIN CT_x000a_STE 200"/>
    <s v="MOUNTAIN VIEW_x000a_CA"/>
    <s v="94043-4655"/>
    <s v="UNITED STATES"/>
    <s v="'320250130237878130'"/>
    <s v="Merchandise &amp; Supplies-Internet Purchase"/>
    <s v="AMEXPLATINUM"/>
    <x v="4"/>
  </r>
  <r>
    <d v="2025-01-14T00:00:00"/>
    <s v="IN *HEIDI KLING, PHDNEW YORK            NY"/>
    <n v="300"/>
    <s v="014IAAGAST48289             100033_x000a_IN *HEIDI KLING, PHD_x000a_NEW YORK_x000a_NY_x000a_8289             100033"/>
    <s v="IN *HEIDI KLING, PHDNEW YORK            NY"/>
    <s v="18 EAST 16TH ST_x000a_RM 503"/>
    <s v="NEW YORK_x000a_NY"/>
    <s v="10003-3111"/>
    <s v="UNITED STATES"/>
    <s v="'320250140261104869'"/>
    <s v="Business Services-Health Care Services"/>
    <s v="AMEXPLATINUM"/>
    <x v="3"/>
  </r>
  <r>
    <d v="2025-01-14T00:00:00"/>
    <s v="PATREON* MEMBERSHIP SAN FRANCISCO       CA"/>
    <n v="20.18"/>
    <s v="I2DMCP00098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0140261791654'"/>
    <s v="Business Services-Office Supplies"/>
    <s v="AMEXPLATINUM"/>
    <x v="3"/>
  </r>
  <r>
    <d v="2025-01-14T00:00:00"/>
    <s v="LEMONADE INSURANCE 5INTERNET            NY"/>
    <n v="50.67"/>
    <s v="O8LQZO01079 HELP@LEMONADE.COM_x000a_LEMONADE INSURANCE 529657_x000a_INTERNET_x000a_NY_x000a_HELP@LEMONADE.COM"/>
    <s v="LEMONADE INSURANCE 5INTERNET            NY"/>
    <s v="5 CROSBY ST FL 3"/>
    <s v="NEW YORK_x000a_NY"/>
    <n v="10013"/>
    <s v="UNITED STATES"/>
    <s v="'320250140262399923'"/>
    <s v="Business Services-Insurance Services"/>
    <s v="AMEXPLATINUM"/>
    <x v="3"/>
  </r>
  <r>
    <d v="2025-01-14T00:00:00"/>
    <s v="FACTOR75            BATAVIA             IL"/>
    <n v="65.36"/>
    <s v="MR029139295 18885735727_x000a_FACTOR75_x000a_BATAVIA_x000a_IL_x000a_18885735727"/>
    <s v="FACTOR75            BATAVIA             IL"/>
    <s v="1853 SUNCAST LN"/>
    <s v="BATAVIA_x000a_IL"/>
    <n v="60510"/>
    <s v="UNITED STATES"/>
    <s v="'320250140265806913'"/>
    <s v="Merchandise &amp; Supplies-Groceries"/>
    <s v="AMEXPLATINUM"/>
    <x v="3"/>
  </r>
  <r>
    <d v="2025-01-14T00:00:00"/>
    <s v="FACTOR75            BATAVIA             IL"/>
    <n v="29.99"/>
    <s v="MR029139306 18885735727_x000a_FACTOR75_x000a_BATAVIA_x000a_IL_x000a_18885735727"/>
    <s v="FACTOR75            BATAVIA             IL"/>
    <s v="1853 SUNCAST LN"/>
    <s v="BATAVIA_x000a_IL"/>
    <n v="60510"/>
    <s v="UNITED STATES"/>
    <s v="'320250140266087960'"/>
    <s v="Merchandise &amp; Supplies-Groceries"/>
    <s v="AMEXPLATINUM"/>
    <x v="3"/>
  </r>
  <r>
    <d v="2025-01-14T00:00:00"/>
    <s v="AT&amp;T"/>
    <n v="104.33"/>
    <s v="48255058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0150296821107'"/>
    <s v="Communications-Mobile Telecom"/>
    <s v="DELTARESERVE"/>
    <x v="5"/>
  </r>
  <r>
    <d v="2025-01-15T00:00:00"/>
    <s v="TST* ELIS NIGHTSHIFTNEW YORK            NY"/>
    <n v="20.9"/>
    <s v="21105175016 RESTAURANT_x000a_TST* ELIS NIGHTSHIFT 00055845_x000a_NEW YORK_x000a_NY_x000a_RESTAURANT"/>
    <s v="TST* ELIS NIGHTSHIFTNEW YORK            NY"/>
    <s v="1390 THIRD AVE"/>
    <s v="NEW YORK_x000a_NY"/>
    <n v="10075"/>
    <s v="UNITED STATES"/>
    <s v="'320250160319748672'"/>
    <s v="Restaurant-Restaurant"/>
    <s v="AMEXPLATINUM"/>
    <x v="3"/>
  </r>
  <r>
    <d v="2025-01-15T00:00:00"/>
    <s v="TST* ELIS NIGHTSHIFTNEW YORK            NY"/>
    <n v="20.9"/>
    <s v="21105175016 RESTAURANT_x000a_TST* ELIS NIGHTSHIFT 00055845_x000a_NEW YORK_x000a_NY_x000a_RESTAURANT"/>
    <s v="TST* ELIS NIGHTSHIFTNEW YORK            NY"/>
    <s v="1390 THIRD AVE"/>
    <s v="NEW YORK_x000a_NY"/>
    <n v="10075"/>
    <s v="UNITED STATES"/>
    <s v="'320250160319791823'"/>
    <s v="Restaurant-Restaurant"/>
    <s v="AMEXPLATINUM"/>
    <x v="3"/>
  </r>
  <r>
    <d v="2025-01-15T00:00:00"/>
    <s v="TABULAR EDITOR APS  COPENHAGEN V        DK"/>
    <n v="10"/>
    <s v="NT_RASZWGMX +4553503099_x000a_TABULAR EDITOR APS_x000a_COPENHAGEN V_x000a_DK_x000a_+4553503099"/>
    <s v="TABULAR EDITOR APS  COPENHAGEN V        DK"/>
    <s v="SUNDKAJ 125_x000a_NORDHAVN"/>
    <m/>
    <n v="2150"/>
    <s v="DENMARK"/>
    <s v="'320250160323251142'"/>
    <s v="Merchandise &amp; Supplies-Computer Supplies"/>
    <s v="DELTARESERVE"/>
    <x v="1"/>
  </r>
  <r>
    <d v="2025-01-16T00:00:00"/>
    <s v="SPLICE.COM          NEW YORK CITY       NY"/>
    <n v="27.99"/>
    <s v="NT_RB8R0ADK 3235775423_x000a_SPLICE.COM_x000a_NEW YORK CITY_x000a_NY_x000a_3235775423"/>
    <s v="SPLICE.COM          NEW YORK CITY       NY"/>
    <s v="817 BROADWAY 4TH_x000a_FLOOR"/>
    <s v="NEW YORK_x000a_NY"/>
    <n v="10003"/>
    <s v="UNITED STATES"/>
    <s v="'320250160313491858'"/>
    <s v="Merchandise &amp; Supplies-Computer Supplies"/>
    <s v="AMEXPLATINUM"/>
    <x v="3"/>
  </r>
  <r>
    <d v="2025-01-16T00:00:00"/>
    <s v="UBER EATS           help.uber.com       CA"/>
    <n v="91.19"/>
    <s v="9V9NGXPX   5Z7BARTO         94103_x000a_UBER EATS_x000a_help.uber.com_x000a_CA_x000a_5Z7BARTO         94103"/>
    <s v="UBER EATS           help.uber.com       CA"/>
    <s v="1455 MARKET ST_x000a_-"/>
    <s v="SAN FRANCISCO_x000a_CA"/>
    <n v="94103"/>
    <s v="UNITED STATES"/>
    <s v="'320250160316131282'"/>
    <s v="Restaurant-Restaurant"/>
    <s v="DELTARESERVE"/>
    <x v="3"/>
  </r>
  <r>
    <d v="2025-01-16T00:00:00"/>
    <s v="UPWORK              SAN FRANCISCO"/>
    <n v="378.72"/>
    <s v="T771017188 11376536         12866_x000a_INVOICE CHARGE_x000a_UPWORK_x000a_SAN FRANCISCO_x000a_INVOICE CHARGE_x000a_11376536         12866"/>
    <s v="UPWORK              SAN FRANCISCO"/>
    <s v="475 BRANNAN ST SUITE 430"/>
    <s v="SAN FRANCISCO_x000a_CA"/>
    <n v="94107"/>
    <s v="UNITED STATES"/>
    <s v="'320250160329171458'"/>
    <s v="Other-Miscellaneous"/>
    <s v="DELTARESERVE"/>
    <x v="6"/>
  </r>
  <r>
    <d v="2025-01-16T00:00:00"/>
    <s v="WEGMANS ASTOR PLACE NEW YORK            NY"/>
    <n v="49.57"/>
    <s v="W15639500475854293656_x000a_WEGMANS ASTOR PLACE 156 000000156_x000a_NEW YORK_x000a_NY_x000a_5854293656"/>
    <s v="WEGMANS ASTOR PLACE NEW YORK            NY"/>
    <s v="770 BROADWAY"/>
    <s v="NEW YORK_x000a_NY"/>
    <n v="10003"/>
    <s v="UNITED STATES"/>
    <s v="'320250170349399169'"/>
    <s v="Merchandise &amp; Supplies-Groceries"/>
    <s v="AMEXPLATINUM"/>
    <x v="3"/>
  </r>
  <r>
    <d v="2025-01-16T00:00:00"/>
    <s v="KALL8 08487000633357SEATTLE             WA"/>
    <n v="15.41"/>
    <s v="004317822624317822629       981191_x000a_KALL8 084870006333577_x000a_SEATTLE_x000a_WA_x000a_4317822629       981191"/>
    <s v="KALL8 08487000633357SEATTLE             WA"/>
    <s v="417 2ND AVE WEST"/>
    <s v="SEATTLE_x000a_WA"/>
    <n v="98119"/>
    <s v="UNITED STATES"/>
    <s v="'320250180384383438'"/>
    <s v="Other-Miscellaneous"/>
    <s v="AMEXPLATINUM"/>
    <x v="5"/>
  </r>
  <r>
    <d v="2025-01-17T00:00:00"/>
    <s v="CVS PHARMACY        NEW YORK            NY"/>
    <n v="16.829999999999998"/>
    <s v="10186013    8007467287_x000a_CVS PHARMACY_x000a_NEW YORK_x000a_NY_x000a_Description : PHARMACIES Price : 0.1683_x000a_8007467287"/>
    <s v="CVS PHARMACY        NEW YORK            NY"/>
    <s v="158 BLEECKER ST"/>
    <s v="NEW YORK_x000a_NY"/>
    <n v="10012"/>
    <s v="UNITED STATES"/>
    <s v="'320250180376610675'"/>
    <s v="Merchandise &amp; Supplies-Pharmacies"/>
    <s v="AMEXPLATINUM"/>
    <x v="3"/>
  </r>
  <r>
    <d v="2025-01-18T00:00:00"/>
    <s v="DUOLINGO PLUS 12 MONPITTSBURGH          PA"/>
    <n v="83.99"/>
    <s v="NT_RBUH16VJ +14125676602_x000a_DUOLINGO PLUS 12 MONTH_x000a_PITTSBURGH_x000a_PA_x000a_+14125676602"/>
    <s v="DUOLINGO PLUS 12 MONPITTSBURGH          PA"/>
    <s v="5900 PENN AVE"/>
    <s v="PITTSBURGH_x000a_PA"/>
    <n v="15206"/>
    <s v="UNITED STATES"/>
    <s v="'320250180364632138'"/>
    <s v="Other-Education"/>
    <s v="AMEXPLATINUM"/>
    <x v="3"/>
  </r>
  <r>
    <d v="2025-01-18T00:00:00"/>
    <s v="PETCO.COM 6989 0698 SAN DIEGO           CA"/>
    <n v="61.75"/>
    <s v="14888690559 858-453-7845_x000a_PETCO.COM 6989 0698_x000a_SAN DIEGO_x000a_CA_x000a_Description : PETS/SUPPLIES/ACC Price : 0.00_x000a_858-453-7845"/>
    <s v="PETCO.COM 6989 0698 SAN DIEGO           CA"/>
    <s v="10850 VIA FRONTERA"/>
    <s v="SAN DIEGO_x000a_CA"/>
    <n v="92127"/>
    <s v="UNITED STATES"/>
    <s v="'320250190401162038'"/>
    <s v="Merchandise &amp; Supplies-Internet Purchase"/>
    <s v="AMEXPLATINUM"/>
    <x v="3"/>
  </r>
  <r>
    <d v="2025-01-18T00:00:00"/>
    <s v="EXXONMOBIL 9736     HANNACROIX          NY"/>
    <n v="43.18"/>
    <s v="00203155    518-756-9700_x000a_EXXONMOBIL 9736_x000a_HANNACROIX_x000a_NY_x000a_Description : 001 Price : 0.00_x000a_518-756-9700"/>
    <s v="EXXONMOBIL 9736     HANNACROIX          NY"/>
    <s v="-"/>
    <s v="(800) 243-9966_x000a_TX"/>
    <n v="77389"/>
    <s v="UNITED STATES"/>
    <s v="'320250190405707295'"/>
    <s v="Transportation-Fuel"/>
    <s v="DELTARESERVE"/>
    <x v="7"/>
  </r>
  <r>
    <d v="2025-01-19T00:00:00"/>
    <s v="UNIQLO 5TH AVE      NEW YORK            NY"/>
    <n v="124.3"/>
    <s v="C91BEB35-44 FAMILY CLOTHING_x000a_UNIQLO 5TH AVE_x000a_NEW YORK_x000a_NY_x000a_FAMILY CLOTHING"/>
    <s v="UNIQLO 5TH AVE      NEW YORK            NY"/>
    <s v="666 5TH AVE_x000a_FRNT 9"/>
    <s v="NEW YORK_x000a_NY"/>
    <s v="10103-0029"/>
    <s v="UNITED STATES"/>
    <s v="'320250190391173789'"/>
    <s v="Merchandise &amp; Supplies-Clothing Stores"/>
    <s v="AMEXPLATINUM"/>
    <x v="3"/>
  </r>
  <r>
    <d v="2025-01-19T00:00:00"/>
    <s v="BANANAREPUBLIC US 63NEW YORK            NY"/>
    <n v="608.6"/>
    <s v="805254     0000000000000000010003_x000a_BANANAREPUBLIC US 63_x000a_NEW YORK_x000a_NY_x000a_0000000000000000010003"/>
    <s v="BANANAREPUBLIC US 63NEW YORK            NY"/>
    <s v="105 5TH AVE"/>
    <s v="NEW YORK_x000a_NY"/>
    <n v="10003"/>
    <s v="UNITED STATES"/>
    <s v="'320250200427753786'"/>
    <s v="Merchandise &amp; Supplies-Clothing Stores"/>
    <s v="AMEXPLATINUM"/>
    <x v="3"/>
  </r>
  <r>
    <d v="2025-01-19T00:00:00"/>
    <s v="SKYPE               LUXEMBOURG"/>
    <n v="29.94"/>
    <s v="80640000067 TELECOM SERVICE_x000a_SKYPE_x000a_LUXEMBOURG_x000a_TELECOM SERVICE"/>
    <s v="SKYPE               LUXEMBOURG"/>
    <s v="SUBMISSIONS USD"/>
    <s v="USA_x000a_000"/>
    <s v="00000"/>
    <s v="UNITED STATES"/>
    <s v="'320250210446082211'"/>
    <s v="Communications-Telephone Comm"/>
    <s v="DELTARESERVE"/>
    <x v="1"/>
  </r>
  <r>
    <d v="2025-01-20T00:00:00"/>
    <s v="THE CLEANERS IO, LLCNew York            NY"/>
    <n v="46.9"/>
    <s v="BcgpcW8E9jl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200417808285'"/>
    <s v="Business Services-Other Services"/>
    <s v="AMEXPLATINUM"/>
    <x v="8"/>
  </r>
  <r>
    <d v="2025-01-20T00:00:00"/>
    <s v="SPLICE.COM          NEW YORK CITY       NY"/>
    <n v="8.5500000000000007"/>
    <s v="NT_RCBM9V3Z 3235775423_x000a_SPLICE.COM_x000a_NEW YORK CITY_x000a_NY_x000a_3235775423"/>
    <s v="SPLICE.COM          NEW YORK CITY       NY"/>
    <s v="817 BROADWAY FLOOR 4"/>
    <s v="NEW YORK_x000a_NY"/>
    <n v="10003"/>
    <s v="UNITED STATES"/>
    <s v="'320250200420302666'"/>
    <s v="Merchandise &amp; Supplies-Computer Supplies"/>
    <s v="AMEXPLATINUM"/>
    <x v="3"/>
  </r>
  <r>
    <d v="2025-01-20T00:00:00"/>
    <s v="UBER"/>
    <n v="41.72"/>
    <s v="HNKFEPZ5   WPCCSLXW         10012_x000a_Uber Trip_x000a_help.uber.com_x000a_CA_x000a_WPCCSLXW         10012"/>
    <s v="Uber Trip           help.uber.com       CA"/>
    <s v="1455 MARKET ST_x000a_4TH FLOOR"/>
    <s v="SAN FRANCISCO_x000a_CA"/>
    <n v="94103"/>
    <s v="UNITED STATES"/>
    <s v="'320250200421677863'"/>
    <s v="Transportation-Taxis &amp; Coach"/>
    <s v="DELTARESERVE"/>
    <x v="2"/>
  </r>
  <r>
    <d v="2025-01-20T00:00:00"/>
    <s v="UBER"/>
    <n v="35.67"/>
    <s v="JGV2DHJ2   TLT27AVX         10022_x000a_Uber Trip_x000a_help.uber.com_x000a_CA_x000a_TLT27AVX         10022"/>
    <s v="Uber Trip           help.uber.com       CA"/>
    <s v="1455 MARKET ST_x000a_4TH FLOOR"/>
    <s v="SAN FRANCISCO_x000a_CA"/>
    <n v="94103"/>
    <s v="UNITED STATES"/>
    <s v="'320250200421938841'"/>
    <s v="Transportation-Taxis &amp; Coach"/>
    <s v="DELTARESERVE"/>
    <x v="2"/>
  </r>
  <r>
    <d v="2025-01-20T00:00:00"/>
    <s v="NYS THRUWAY AUTO REPSTATEN ISLAND       NY"/>
    <n v="30"/>
    <s v="1P-83240939 TOLL &amp; BRIDGE FEE_x000a_NYS THRUWAY AUTO REPLEN_x000a_STATEN ISLAND_x000a_NY_x000a_Description : FOR BILLING QUESTIO Price : 0.00_x000a_Description : ACCT: 1P-832409396 Price : 0.00_x000a_TOLL &amp; BRIDGE FEE"/>
    <s v="NYS THRUWAY AUTO REPSTATEN ISLAND       NY"/>
    <s v="1 EDGEWATER ST STE 308"/>
    <s v="STATEN ISLAND_x000a_NY"/>
    <s v="10305-4900"/>
    <s v="UNITED STATES"/>
    <s v="'320250200422515828'"/>
    <s v="Transportation-Tolls &amp; Fees"/>
    <s v="AMEXPLATINUM"/>
    <x v="9"/>
  </r>
  <r>
    <d v="2025-01-20T00:00:00"/>
    <s v="FACTOR75            BATAVIA             IL"/>
    <n v="-29.99"/>
    <s v="MR029139306 18885735727_x000a_FACTOR75_x000a_BATAVIA_x000a_IL_x000a_18885735727"/>
    <s v="FACTOR75            BATAVIA             IL"/>
    <s v="1853 SUNCAST LN"/>
    <s v="BATAVIA_x000a_IL"/>
    <n v="60510"/>
    <s v="UNITED STATES"/>
    <s v="'320250210445601194'"/>
    <s v="Merchandise &amp; Supplies-Groceries"/>
    <s v="AMEXPLATINUM"/>
    <x v="3"/>
  </r>
  <r>
    <d v="2025-01-20T00:00:00"/>
    <s v="FACTOR75            BATAVIA             IL"/>
    <n v="-65.36"/>
    <s v="MR029139295 18885735727_x000a_FACTOR75_x000a_BATAVIA_x000a_IL_x000a_18885735727"/>
    <s v="FACTOR75            BATAVIA             IL"/>
    <s v="1853 SUNCAST LN"/>
    <s v="BATAVIA_x000a_IL"/>
    <n v="60510"/>
    <s v="UNITED STATES"/>
    <s v="'320250210445619784'"/>
    <s v="Merchandise &amp; Supplies-Groceries"/>
    <s v="AMEXPLATINUM"/>
    <x v="3"/>
  </r>
  <r>
    <d v="2025-01-20T00:00:00"/>
    <s v="MS* MAKEMESURPRISE  WALNUT              CA"/>
    <n v="37.83"/>
    <s v="NT_RCNPN8QZ 8332226883_x000a_MS* MAKEMESURPRISE_x000a_WALNUT_x000a_CA_x000a_8332226883"/>
    <s v="MS* MAKEMESURPRISE  WALNUT              CA"/>
    <s v="340 SOUTH LEMON AVE_x000a_3159"/>
    <s v="WALNUT_x000a_CA"/>
    <n v="91789"/>
    <s v="UNITED STATES"/>
    <s v="'320250210451773828'"/>
    <s v="Merchandise &amp; Supplies-Clothing Stores"/>
    <s v="AMEXPLATINUM"/>
    <x v="3"/>
  </r>
  <r>
    <d v="2025-01-20T00:00:00"/>
    <s v="EXXONMOBIL 9736     MALDEN ON HUD       NY"/>
    <n v="38.94"/>
    <s v="00704358    845-246-3510_x000a_EXXONMOBIL 9736_x000a_MALDEN ON HUD_x000a_NY_x000a_Description : 001 Price : 0.00_x000a_845-246-3510"/>
    <s v="EXXONMOBIL 9736     MALDEN ON HUD       NY"/>
    <s v="-"/>
    <s v="(800) 243-9966_x000a_TX"/>
    <n v="77389"/>
    <s v="UNITED STATES"/>
    <s v="'320250210453229075'"/>
    <s v="Transportation-Fuel"/>
    <s v="DELTARESERVE"/>
    <x v="7"/>
  </r>
  <r>
    <d v="2025-01-21T00:00:00"/>
    <s v="ONLINE PAYMENT - THANK YOU"/>
    <n v="-3000"/>
    <s v="ONLINE PAYMENT - THANK YOU"/>
    <s v="ONLINE PAYMENT - THANK YOU"/>
    <m/>
    <m/>
    <m/>
    <m/>
    <s v="'320250210436627702'"/>
    <m/>
    <s v="AMEXPLATINUM"/>
    <x v="0"/>
  </r>
  <r>
    <d v="2025-01-21T00:00:00"/>
    <s v="ONLINE PAYMENT - THANK YOU"/>
    <n v="-3000"/>
    <s v="ONLINE PAYMENT - THANK YOU"/>
    <s v="ONLINE PAYMENT - THANK YOU"/>
    <m/>
    <m/>
    <m/>
    <m/>
    <s v="'320250210436633632'"/>
    <m/>
    <s v="AMEXPLATINUM"/>
    <x v="0"/>
  </r>
  <r>
    <d v="2025-01-21T00:00:00"/>
    <s v="FACTOR75            BATAVIA             IL"/>
    <n v="65.36"/>
    <s v="MR029149442 18885735727_x000a_FACTOR75_x000a_BATAVIA_x000a_IL_x000a_18885735727"/>
    <s v="FACTOR75            BATAVIA             IL"/>
    <s v="1853 SUNCAST LN"/>
    <s v="BATAVIA_x000a_IL"/>
    <n v="60510"/>
    <s v="UNITED STATES"/>
    <s v="'320250210444525546'"/>
    <s v="Merchandise &amp; Supplies-Groceries"/>
    <s v="AMEXPLATINUM"/>
    <x v="3"/>
  </r>
  <r>
    <d v="2025-01-22T00:00:00"/>
    <s v="ROVEN LAW GROUP PC  NEW YORK CITY       NY"/>
    <n v="2500"/>
    <s v="######NB63Z PROFESSIONAL SERVICE_x000a_ROVEN LAW GROUP PC_x000a_NEW YORK CITY_x000a_NY_x000a_PROFESSIONAL SERVICE"/>
    <s v="ROVEN LAW GROUP PC  NEW YORK CITY       NY"/>
    <s v="3 PARK AVE"/>
    <s v="NEW YORK_x000a_NY"/>
    <n v="10016"/>
    <s v="UNITED STATES"/>
    <s v="'320250220480065707'"/>
    <s v="Business Services-Professional Services"/>
    <s v="DELTARESERVE"/>
    <x v="10"/>
  </r>
  <r>
    <d v="2025-01-22T00:00:00"/>
    <s v="OPENAI *CHATGPT SUBSSAN FRANCISCO       CA"/>
    <n v="21.4"/>
    <s v="NT_RDLGEZO3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0220480226117'"/>
    <s v="Merchandise &amp; Supplies-Computer Supplies"/>
    <s v="DELTARESERVE"/>
    <x v="1"/>
  </r>
  <r>
    <d v="2025-01-22T00:00:00"/>
    <s v="UBER"/>
    <n v="29.62"/>
    <s v="9J0EPAKN   YD5EE3PO         12866_x000a_Uber Trip_x000a_help.uber.com_x000a_CA_x000a_YD5EE3PO         12866"/>
    <s v="Uber Trip           help.uber.com       CA"/>
    <s v="1455 MARKET ST_x000a_4TH FLOOR"/>
    <s v="SAN FRANCISCO_x000a_CA"/>
    <n v="94103"/>
    <s v="UNITED STATES"/>
    <s v="'320250220480875757'"/>
    <s v="Transportation-Taxis &amp; Coach"/>
    <s v="DELTARESERVE"/>
    <x v="2"/>
  </r>
  <r>
    <d v="2025-01-23T00:00:00"/>
    <s v="SPO*PANZA'SRESTAURANSARATOGA SPRI       NY"/>
    <n v="320"/>
    <s v="99999995023 5185846882_x000a_SPO*PANZA'SRESTAURANT 000001432_x000a_SARATOGA SPRI_x000a_NY_x000a_5185846882"/>
    <s v="SPO*PANZA'SRESTAURANSARATOGA SPRI       NY"/>
    <s v="129 SOUTH BROADWAY"/>
    <s v="SARATOGA SPRINGS_x000a_NY"/>
    <s v="12866-4532"/>
    <s v="UNITED STATES"/>
    <s v="'320250230494615493'"/>
    <s v="Restaurant-Restaurant"/>
    <s v="DELTARESERVE"/>
    <x v="11"/>
  </r>
  <r>
    <d v="2025-01-23T00:00:00"/>
    <s v="CVS/PHARMACY #10612 MANHATTAN           NY"/>
    <n v="29.64"/>
    <s v="10084051   8007467287_x000a_PHARMACIES_x000a_CVS/PHARMACY #10612 000010612_x000a_MANHATTAN_x000a_NY_x000a_PHARMACIES_x000a_8007467287"/>
    <s v="CVS/PHARMACY #10612 MANHATTAN           NY"/>
    <s v="5TH AVE 14TH ST_x000a_SEC"/>
    <s v="MANHATTAN_x000a_NY"/>
    <n v="10011"/>
    <s v="UNITED STATES"/>
    <s v="'320250240521906081'"/>
    <s v="Merchandise &amp; Supplies-Pharmacies"/>
    <s v="AMEXPLATINUM"/>
    <x v="3"/>
  </r>
  <r>
    <d v="2025-01-24T00:00:00"/>
    <s v="GABRIEL KRREUTHER   NEW YORK            NY"/>
    <n v="816.56"/>
    <s v="NT_REAKIWYY +12122575826_x000a_GABRIEL KRREUTHER_x000a_NEW YORK_x000a_NY_x000a_+12122575826"/>
    <s v="GABRIEL KRREUTHER   NEW YORK            NY"/>
    <s v="1114 6TH AVE"/>
    <s v="NEW YORK_x000a_NY"/>
    <n v="10036"/>
    <s v="UNITED STATES"/>
    <s v="'320250240532351565'"/>
    <s v="Restaurant-Restaurant"/>
    <s v="DELTARESERVE"/>
    <x v="11"/>
  </r>
  <r>
    <d v="2025-01-24T00:00:00"/>
    <s v="CVS PHARMACY        NEW YORK            NY"/>
    <n v="99.96"/>
    <s v="10176850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0250546960411'"/>
    <s v="Merchandise &amp; Supplies-Pharmacies"/>
    <s v="AMEXPLATINUM"/>
    <x v="3"/>
  </r>
  <r>
    <d v="2025-01-24T00:00:00"/>
    <s v="SUNOCO 0528522600 05SARATOGA SPRI       NY"/>
    <n v="43.68"/>
    <s v="00122285    518-584-5380_x000a_SUNOCO 0528522600 0528_x000a_SARATOGA SPRI_x000a_NY_x000a_Description : Unleaded Plus (89 - Price : 0.00_x000a_518-584-5380"/>
    <s v="SUNOCO 0528522600 05SARATOGA SPRI       NY"/>
    <s v="-"/>
    <e v="#NAME?"/>
    <n v="75231"/>
    <s v="UNITED STATES"/>
    <s v="'320250250550225576'"/>
    <s v="Transportation-Fuel"/>
    <s v="DELTARESERVE"/>
    <x v="7"/>
  </r>
  <r>
    <d v="2025-01-24T00:00:00"/>
    <s v="TMPL ASTOR PLACE 000NEW YORK            NY"/>
    <n v="1045"/>
    <s v="62300010    917-877-1400_x000a_TMPL ASTOR PLACE 0000_x000a_NEW YORK_x000a_NY_x000a_Description : MEMBERSHIP FEES Price : 0.00_x000a_917-877-1400"/>
    <s v="TMPL ASTOR PLACE 000NEW YORK            NY"/>
    <s v="4 ASTOR PLACE"/>
    <s v="NEW YORK_x000a_NY"/>
    <n v="10003"/>
    <s v="UNITED STATES"/>
    <s v="'320250250551476778'"/>
    <s v="Entertainment-Associations"/>
    <s v="AMEXPLATINUM"/>
    <x v="3"/>
  </r>
  <r>
    <d v="2025-01-24T00:00:00"/>
    <s v="KIMBERLY MEEHAN, NP NEW YORK            NY"/>
    <n v="200"/>
    <s v="73011005024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0250557996171'"/>
    <s v="Business Services-Health Care Services"/>
    <s v="AMEXPLATINUM"/>
    <x v="3"/>
  </r>
  <r>
    <d v="2025-01-25T00:00:00"/>
    <s v="WEGMANS ASTOR PLACE NEW YORK            NY"/>
    <n v="152.76"/>
    <s v="W15608700875854293656_x000a_WEGMANS ASTOR PLACE 156 000000156_x000a_NEW YORK_x000a_NY_x000a_5854293656"/>
    <s v="WEGMANS ASTOR PLACE NEW YORK            NY"/>
    <s v="770 BROADWAY"/>
    <s v="NEW YORK_x000a_NY"/>
    <n v="10003"/>
    <s v="UNITED STATES"/>
    <s v="'320250260574267348'"/>
    <s v="Merchandise &amp; Supplies-Groceries"/>
    <s v="AMEXPLATINUM"/>
    <x v="3"/>
  </r>
  <r>
    <d v="2025-01-25T00:00:00"/>
    <s v="STEWARTS ICE CREAM  SARATOGA SPRINGS    NY"/>
    <n v="35.619999999999997"/>
    <s v="00251700027 5185811201_x000a_STEWARTS ICE CREAM_x000a_SARATOGA SPRINGS_x000a_NY_x000a_Description : AUTOMATED FUEL Price : 0.3562_x000a_5185811201"/>
    <s v="STEWARTS ICE CREAM  SARATOGA SPRINGS    NY"/>
    <s v="402 LK AVE"/>
    <s v="SARATOGA SPRINGS_x000a_NY"/>
    <n v="12866"/>
    <s v="UNITED STATES"/>
    <s v="'320250260574579021'"/>
    <s v="Transportation-Fuel"/>
    <s v="DELTARESERVE"/>
    <x v="7"/>
  </r>
  <r>
    <d v="2025-01-26T00:00:00"/>
    <s v="ONLINE PAYMENT - THANK YOU"/>
    <n v="-21000"/>
    <s v="ONLINE PAYMENT - THANK YOU"/>
    <s v="ONLINE PAYMENT - THANK YOU"/>
    <m/>
    <m/>
    <m/>
    <m/>
    <s v="'320250260559537067'"/>
    <m/>
    <s v="AMEXPLATINUM"/>
    <x v="0"/>
  </r>
  <r>
    <d v="2025-01-26T00:00:00"/>
    <s v="AMAZON MUSIC*ZG0OJ35888-802-3080        WA"/>
    <n v="9.99"/>
    <s v="3HYAPU9BQF9 DIGITAL_x000a_AMAZON MUSIC*ZG0OJ3561_x000a_888-802-3080_x000a_WA_x000a_DIGITAL"/>
    <s v="AMAZON MUSIC*ZG0OJ35888-802-3080        WA"/>
    <s v="1512 2ND AVE"/>
    <s v="SEATTLE_x000a_WA"/>
    <s v="98101-1508"/>
    <s v="UNITED STATES"/>
    <s v="'320250260566406754'"/>
    <s v="Merchandise &amp; Supplies-Internet Purchase"/>
    <s v="DELTARESERVE"/>
    <x v="3"/>
  </r>
  <r>
    <d v="2025-01-26T00:00:00"/>
    <s v="ENTERPRISE    023893SARATOGA SPRI       NY"/>
    <n v="338.76"/>
    <s v="018653145   518-5870687_x000a_ENTERPRISE    023893 01810023893_x000a_SARATOGA SPRI_x000a_NY"/>
    <s v="ENTERPRISE    023893SARATOGA SPRI       NY"/>
    <s v="182 SOUTH BROADWAY"/>
    <s v="SARATOGA SPRINGS_x000a_NY"/>
    <n v="12866"/>
    <s v="UNITED STATES"/>
    <s v="'320250270602570267'"/>
    <s v="Travel-Vehicle Rental"/>
    <s v="DELTARESERVE"/>
    <x v="9"/>
  </r>
  <r>
    <d v="2025-01-26T00:00:00"/>
    <s v="CALENDLY            AVONDALE ESTATES    GA"/>
    <n v="16.05"/>
    <s v="NT_RF120UU3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0270603776701'"/>
    <s v="Merchandise &amp; Supplies-Computer Supplies"/>
    <s v="AMEXPLATINUM"/>
    <x v="1"/>
  </r>
  <r>
    <d v="2025-01-28T00:00:00"/>
    <s v="FACTOR75            NEW YORK            NY"/>
    <n v="65.36"/>
    <s v="GJCZQSKZ    18885735727_x000a_FACTOR75_x000a_NEW YORK_x000a_NY_x000a_18885735727"/>
    <s v="FACTOR75            NEW YORK            NY"/>
    <s v="1853 SUNCAST LN"/>
    <s v="BATAVIA_x000a_IL"/>
    <n v="60510"/>
    <s v="UNITED STATES"/>
    <s v="'320250280617583780'"/>
    <s v="Merchandise &amp; Supplies-Groceries"/>
    <s v="AMEXPLATINUM"/>
    <x v="3"/>
  </r>
  <r>
    <d v="2025-01-28T00:00:00"/>
    <s v="PREM CAR RENTAL PROTECTION 800-326-2078"/>
    <n v="24.95"/>
    <s v="CRA018653145 01/25/2025 SARATOGA SPRINGS_x000a_PREM CAR RENTAL PROTECTION 800-326-2078"/>
    <s v="PREM CAR RENTAL PROTECTION 800-326-2078"/>
    <s v="200 VESEY STREET_x000a_43RD FLOOR"/>
    <s v="NEW YORK_x000a_NY"/>
    <n v="10285"/>
    <s v="UNITED STATES"/>
    <s v="'320250280631442372'"/>
    <s v="Business Services-Insurance Services"/>
    <s v="DELTARESERVE"/>
    <x v="9"/>
  </r>
  <r>
    <d v="2025-01-28T00:00:00"/>
    <s v="CVS/PHARMACY #10612 MANHATTAN           NY"/>
    <n v="56.82"/>
    <s v="10085463    8007467287_x000a_CVS/PHARMACY #10612 000010612_x000a_MANHATTAN_x000a_NY_x000a_Description : PHARMACIES Price : 0.5682_x000a_8007467287"/>
    <s v="CVS/PHARMACY #10612 MANHATTAN           NY"/>
    <s v="5TH AVE 14TH ST_x000a_SEC"/>
    <s v="MANHATTAN_x000a_NY"/>
    <n v="10011"/>
    <s v="UNITED STATES"/>
    <s v="'320250290648209204'"/>
    <s v="Merchandise &amp; Supplies-Pharmacies"/>
    <s v="AMEXPLATINUM"/>
    <x v="3"/>
  </r>
  <r>
    <d v="2025-01-28T00:00:00"/>
    <s v="TST* HUDSON YARDS - NEW YORK            NY"/>
    <n v="22.3"/>
    <s v="99999995028 3472848291_x000a_TST* HUDSON YARDS - ANA'S 300579326_x000a_NEW YORK_x000a_NY_x000a_Description : RESTAURANTS Price : 0.223_x000a_3472848291"/>
    <s v="TST* HUDSON YARDS - NEW YORK            NY"/>
    <s v="40 752861 74 000838_x000a_2ND FL"/>
    <s v="NEW YORK_x000a_NY"/>
    <n v="10001"/>
    <s v="UNITED STATES"/>
    <s v="'320250290654632618'"/>
    <s v="Restaurant-Restaurant"/>
    <s v="DELTARESERVE"/>
    <x v="11"/>
  </r>
  <r>
    <d v="2025-01-29T00:00:00"/>
    <s v="UBER"/>
    <n v="31.2"/>
    <s v="96Z0RAHG   O6NIT7BG         10001_x000a_Uber Trip_x000a_help.uber.com_x000a_CA_x000a_O6NIT7BG         10001"/>
    <s v="Uber Trip           help.uber.com       CA"/>
    <s v="1455 MARKET ST_x000a_4TH FLOOR"/>
    <s v="SAN FRANCISCO_x000a_CA"/>
    <n v="94103"/>
    <s v="UNITED STATES"/>
    <s v="'320250290642540993'"/>
    <s v="Transportation-Taxis &amp; Coach"/>
    <s v="DELTARESERVE"/>
    <x v="2"/>
  </r>
  <r>
    <d v="2025-01-29T00:00:00"/>
    <s v="KIMBERLY MEEHAN, NP NEW YORK            NY"/>
    <n v="200"/>
    <s v="73011005029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0300680573298'"/>
    <s v="Business Services-Health Care Services"/>
    <s v="AMEXPLATINUM"/>
    <x v="3"/>
  </r>
  <r>
    <d v="2025-01-30T00:00:00"/>
    <s v="UPWORK              SAN FRANCISCO"/>
    <n v="29.99"/>
    <s v="T775355857 11376536         12866_x000a_INVOICE CHARGE_x000a_UPWORK_x000a_SAN FRANCISCO_x000a_INVOICE CHARGE_x000a_11376536         12866"/>
    <s v="UPWORK              SAN FRANCISCO"/>
    <s v="475 BRANNAN ST SUITE 430"/>
    <s v="SAN FRANCISCO_x000a_CA"/>
    <n v="94107"/>
    <s v="UNITED STATES"/>
    <s v="'320250300664569912'"/>
    <s v="Other-Miscellaneous"/>
    <s v="DELTARESERVE"/>
    <x v="6"/>
  </r>
  <r>
    <d v="2025-01-30T00:00:00"/>
    <s v="THE CLEANERS IO, LLCNew York            NY"/>
    <n v="42.88"/>
    <s v="VUV8agaHtcy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300666501005'"/>
    <s v="Business Services-Other Services"/>
    <s v="AMEXPLATINUM"/>
    <x v="8"/>
  </r>
  <r>
    <d v="2025-01-30T00:00:00"/>
    <s v="NYS THRUWAY AUTO REPSTATEN ISLAND       NY"/>
    <n v="30"/>
    <s v="1P-83482884 TOLL &amp; BRIDGE FEE_x000a_NYS THRUWAY AUTO REPLEN_x000a_STATEN ISLAND_x000a_NY_x000a_Description : FOR BILLING QUESTIO Price : 0.00_x000a_Description : ACCT: 1P-834828845 Price : 0.00_x000a_TOLL &amp; BRIDGE FEE"/>
    <s v="NYS THRUWAY AUTO REPSTATEN ISLAND       NY"/>
    <s v="1 EDGEWATER ST STE 308"/>
    <s v="STATEN ISLAND_x000a_NY"/>
    <s v="10305-4900"/>
    <s v="UNITED STATES"/>
    <s v="'320250300667809353'"/>
    <s v="Transportation-Tolls &amp; Fees"/>
    <s v="AMEXPLATINUM"/>
    <x v="9"/>
  </r>
  <r>
    <d v="2025-01-30T00:00:00"/>
    <s v="UBER"/>
    <n v="51.51"/>
    <s v="3HBPPC49   4N5HBCBH         10004_x000a_Uber Trip_x000a_help.uber.com_x000a_CA_x000a_4N5HBCBH         10004"/>
    <s v="Uber Trip           help.uber.com       CA"/>
    <s v="1455 MARKET ST_x000a_4TH FLOOR"/>
    <s v="SAN FRANCISCO_x000a_CA"/>
    <n v="94103"/>
    <s v="UNITED STATES"/>
    <s v="'320250300668533536'"/>
    <s v="Transportation-Taxis &amp; Coach"/>
    <s v="DELTARESERVE"/>
    <x v="2"/>
  </r>
  <r>
    <d v="2025-01-30T00:00:00"/>
    <s v="PETCO 3741 0374     NEW YORK            NY"/>
    <n v="112.98"/>
    <s v="34600063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0310697436680'"/>
    <s v="Merchandise &amp; Supplies-General Retail"/>
    <s v="AMEXPLATINUM"/>
    <x v="3"/>
  </r>
  <r>
    <d v="2025-01-31T00:00:00"/>
    <s v="TST* FRENCHETTE RESTNEW YORK            NY"/>
    <n v="541"/>
    <s v="00143306022 RESTAURANT_x000a_TST* FRENCHETTE RESTAURAN 00143306_x000a_NEW YORK_x000a_NY_x000a_RESTAURANT"/>
    <s v="TST* FRENCHETTE RESTNEW YORK            NY"/>
    <s v="241 WEST BROADWAY"/>
    <s v="NEW YORK_x000a_NY"/>
    <n v="10013"/>
    <s v="UNITED STATES"/>
    <s v="'320250320729532597'"/>
    <s v="Restaurant-Restaurant"/>
    <s v="DELTARESERVE"/>
    <x v="11"/>
  </r>
  <r>
    <d v="2025-02-01T00:00:00"/>
    <s v="UBER"/>
    <n v="28.96"/>
    <s v="M031X7BB   VMSBAG74         10013_x000a_Uber Trip_x000a_help.uber.com_x000a_CA_x000a_VMSBAG74         10013"/>
    <s v="Uber Trip           help.uber.com       CA"/>
    <s v="1455 MARKET ST_x000a_4TH FLOOR"/>
    <s v="SAN FRANCISCO_x000a_CA"/>
    <n v="94103"/>
    <s v="UNITED STATES"/>
    <s v="'320250320718728174'"/>
    <s v="Transportation-Taxis &amp; Coach"/>
    <s v="DELTARESERVE"/>
    <x v="2"/>
  </r>
  <r>
    <d v="2025-02-01T00:00:00"/>
    <s v="VERIZON WRLS RCCRNG PMTS"/>
    <n v="223.34"/>
    <s v="N0000003872VZWRLSS*APOCC_x000a_VZW APO_x000a_800-922-0204_x000a_FL_x000a_VZWRLSS*APOCC"/>
    <s v="VZW APO             800-922-0204        FL"/>
    <s v="600 COOLIDGE DR"/>
    <s v="FOLSOM_x000a_CA"/>
    <s v="95630-3155"/>
    <s v="UNITED STATES"/>
    <s v="'320250320725416327'"/>
    <s v="Communications-Mobile Telecom"/>
    <s v="DELTARESERVE"/>
    <x v="5"/>
  </r>
  <r>
    <d v="2025-02-01T00:00:00"/>
    <s v="Amazon Web Services AWS.Amazon.com      WA"/>
    <n v="2067.61"/>
    <s v="5N6ET1GOHLO WEB SERVICES_x000a_Amazon Web Services_x000a_AWS.Amazon.com_x000a_WA_x000a_WEB SERVICES"/>
    <s v="Amazon Web Services AWS.Amazon.com      WA"/>
    <s v="1512 2ND AVE"/>
    <s v="SEATTLE_x000a_WA"/>
    <n v="98101"/>
    <s v="UNITED STATES"/>
    <s v="'320250330756886674'"/>
    <s v="Merchandise &amp; Supplies-Internet Purchase"/>
    <s v="AMEXPLATINUM"/>
    <x v="12"/>
  </r>
  <r>
    <d v="2025-02-02T00:00:00"/>
    <s v="UBER"/>
    <n v="83.98"/>
    <s v="GW8A7WFK   WJMIFRYD         10012_x000a_Uber Trip_x000a_help.uber.com_x000a_CA_x000a_WJMIFRYD         10012"/>
    <s v="Uber Trip           help.uber.com       CA"/>
    <s v="1455 MARKET ST_x000a_4TH FLOOR"/>
    <s v="SAN FRANCISCO_x000a_CA"/>
    <n v="94103"/>
    <s v="UNITED STATES"/>
    <s v="'320250330744556782'"/>
    <s v="Transportation-Taxis &amp; Coach"/>
    <s v="DELTARESERVE"/>
    <x v="2"/>
  </r>
  <r>
    <d v="2025-02-02T00:00:00"/>
    <s v="UBER"/>
    <n v="62.63"/>
    <s v="9Y9ZD05G   EUJW3MYR         10028_x000a_Uber Trip_x000a_help.uber.com_x000a_CA_x000a_EUJW3MYR         10028"/>
    <s v="Uber Trip           help.uber.com       CA"/>
    <s v="1455 MARKET ST_x000a_4TH FLOOR"/>
    <s v="SAN FRANCISCO_x000a_CA"/>
    <n v="94103"/>
    <s v="UNITED STATES"/>
    <s v="'320250330745180767'"/>
    <s v="Transportation-Taxis &amp; Coach"/>
    <s v="DELTARESERVE"/>
    <x v="2"/>
  </r>
  <r>
    <d v="2025-02-02T00:00:00"/>
    <s v="ERACTOLL 71MMFD     877-860-1258        NY"/>
    <n v="23.75"/>
    <s v="T186468032  877-860-1258_x000a_ERACTOLL 71MMFD_x000a_877-860-1258_x000a_NY_x000a_Description : ERACTOLL 71MMFD Price : 0.00_x000a_877-860-1258"/>
    <s v="ERACTOLL 71MMFD     877-860-1258        NY"/>
    <s v="-"/>
    <e v="#NAME?"/>
    <n v="11577"/>
    <s v="UNITED STATES"/>
    <s v="'320250340774825564'"/>
    <s v="Transportation-Tolls &amp; Fees"/>
    <s v="DELTARESERVE"/>
    <x v="9"/>
  </r>
  <r>
    <d v="2025-02-02T00:00:00"/>
    <s v="ELECTRONIC ARTS INC.REDWOOD CITY        CA"/>
    <n v="42.79"/>
    <s v="######3qF9D DIGITAL GOODS: GAMES_x000a_ELECTRONIC ARTS INC._x000a_REDWOOD CITY_x000a_CA_x000a_DIGITAL GOODS: GAMES"/>
    <s v="ELECTRONIC ARTS INC.REDWOOD CITY        CA"/>
    <s v="209 REDWOOD SHRS PKWY"/>
    <s v="REDWOOD CITY_x000a_CA"/>
    <n v="94065"/>
    <s v="UNITED STATES"/>
    <s v="'320250340784943406'"/>
    <s v="Business Services-Employment Agencies"/>
    <s v="AMEXPLATINUM"/>
    <x v="3"/>
  </r>
  <r>
    <d v="2025-02-03T00:00:00"/>
    <s v="UBER"/>
    <n v="27.68"/>
    <s v="CTQJZV62   GVSUYXOH         10012_x000a_Uber Trip_x000a_help.uber.com_x000a_CA_x000a_GVSUYXOH         10012"/>
    <s v="Uber Trip           help.uber.com       CA"/>
    <s v="1455 MARKET ST_x000a_4TH FLOOR"/>
    <s v="SAN FRANCISCO_x000a_CA"/>
    <n v="94103"/>
    <s v="UNITED STATES"/>
    <s v="'320250340770771156'"/>
    <s v="Transportation-Taxis &amp; Coach"/>
    <s v="DELTARESERVE"/>
    <x v="2"/>
  </r>
  <r>
    <d v="2025-02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0350800131136'"/>
    <s v="Business Services-Other Services"/>
    <s v="AMEXPLATINUM"/>
    <x v="8"/>
  </r>
  <r>
    <d v="2025-02-03T00:00:00"/>
    <s v="WEGMANS ASTOR PLACE NEW YORK            NY"/>
    <n v="143.78"/>
    <s v="W15608201065854293656_x000a_WEGMANS ASTOR PLACE 156 000000156_x000a_NEW YORK_x000a_NY_x000a_5854293656"/>
    <s v="WEGMANS ASTOR PLACE NEW YORK            NY"/>
    <s v="770 BROADWAY"/>
    <s v="NEW YORK_x000a_NY"/>
    <n v="10003"/>
    <s v="UNITED STATES"/>
    <s v="'320250350801975154'"/>
    <s v="Merchandise &amp; Supplies-Groceries"/>
    <s v="AMEXPLATINUM"/>
    <x v="3"/>
  </r>
  <r>
    <d v="2025-02-03T00:00:00"/>
    <s v="KALL8 00089590000642SEATTLE             WA"/>
    <n v="9.3800000000000008"/>
    <s v="73011005034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0350808786142'"/>
    <s v="Other-Miscellaneous"/>
    <s v="AMEXPLATINUM"/>
    <x v="5"/>
  </r>
  <r>
    <d v="2025-02-03T00:00:00"/>
    <s v="TOPTAL.COM          SAN FRANCISCO       CA"/>
    <n v="79"/>
    <s v="NT_RHZIIYWZ +18886043188_x000a_TOPTAL.COM_x000a_SAN FRANCISCO_x000a_CA_x000a_+18886043188"/>
    <s v="TOPTAL.COM          SAN FRANCISCO       CA"/>
    <s v="548 MARKET ST 36879"/>
    <s v="SAN FRANCISCO_x000a_CA"/>
    <n v="94104"/>
    <s v="UNITED STATES"/>
    <s v="'320250350811109214'"/>
    <s v="Merchandise &amp; Supplies-Computer Supplies"/>
    <s v="DELTARESERVE"/>
    <x v="6"/>
  </r>
  <r>
    <d v="2025-02-04T00:00:00"/>
    <s v="UBER"/>
    <n v="56.35"/>
    <s v="NKS60560   UIE7GEDQ         10018_x000a_Uber Trip_x000a_help.uber.com_x000a_CA_x000a_UIE7GEDQ         10018"/>
    <s v="Uber Trip           help.uber.com       CA"/>
    <s v="1455 MARKET ST_x000a_4TH FLOOR"/>
    <s v="SAN FRANCISCO_x000a_CA"/>
    <n v="94103"/>
    <s v="UNITED STATES"/>
    <s v="'320250350794490919'"/>
    <s v="Transportation-Taxis &amp; Coach"/>
    <s v="DELTARESERVE"/>
    <x v="2"/>
  </r>
  <r>
    <d v="2025-02-04T00:00:00"/>
    <s v="PEACOCK             NEW YORK CITY       NY"/>
    <n v="7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0350796145377'"/>
    <s v="Communications-Cable &amp; Internet Comm"/>
    <s v="DELTARESERVE"/>
    <x v="3"/>
  </r>
  <r>
    <d v="2025-02-04T00:00:00"/>
    <s v="FACTOR75            BATAVIA             IL"/>
    <n v="65.36"/>
    <s v="MR029169733 18885735727_x000a_FACTOR75_x000a_BATAVIA_x000a_IL_x000a_18885735727"/>
    <s v="FACTOR75            BATAVIA             IL"/>
    <s v="1853 SUNCAST LN"/>
    <s v="BATAVIA_x000a_IL"/>
    <n v="60510"/>
    <s v="UNITED STATES"/>
    <s v="'320250350798082210'"/>
    <s v="Merchandise &amp; Supplies-Groceries"/>
    <s v="AMEXPLATINUM"/>
    <x v="3"/>
  </r>
  <r>
    <d v="2025-02-04T00:00:00"/>
    <s v="A1010BUSD01         MSBILL.INFO"/>
    <n v="26.76"/>
    <s v="Z632XUAO4F6Z632XUAO4F6W     98052_x000a_A1010BUSD01_x000a_MSBILL.INFO_x000a_Z632XUAO4F6W     98052"/>
    <s v="A1010BUSD01         MSBILL.INFO"/>
    <s v="8TH FLOOR_x000a_91 MAIN ST"/>
    <s v="DALLAS_x000a_TX"/>
    <n v="75202"/>
    <s v="UNITED STATES"/>
    <s v="'320250350811157683'"/>
    <s v="Other-Miscellaneous"/>
    <s v="AMEXPLATINUM"/>
    <x v="1"/>
  </r>
  <r>
    <d v="2025-02-04T00:00:00"/>
    <s v="A1010BUSD01         MSBILL.INFO"/>
    <n v="21.4"/>
    <s v="Z62ZXU7VYQGZ62ZXU7VYQGY     98052_x000a_A1010BUSD01_x000a_MSBILL.INFO_x000a_Z62ZXU7VYQGY     98052"/>
    <s v="A1010BUSD01         MSBILL.INFO"/>
    <s v="8TH FLOOR_x000a_91 MAIN ST"/>
    <s v="DALLAS_x000a_TX"/>
    <n v="75202"/>
    <s v="UNITED STATES"/>
    <s v="'320250350811161119'"/>
    <s v="Other-Miscellaneous"/>
    <s v="AMEXPLATINUM"/>
    <x v="1"/>
  </r>
  <r>
    <d v="2025-02-04T00:00:00"/>
    <s v="A1010BUSD01         MSBILL.INFO"/>
    <n v="32.07"/>
    <s v="Z62EXU45H7YZ62EXU45H7Y4     98052_x000a_A1010BUSD01_x000a_MSBILL.INFO_x000a_Z62EXU45H7Y4     98052"/>
    <s v="A1010BUSD01         MSBILL.INFO"/>
    <s v="8TH FLOOR_x000a_91 MAIN ST"/>
    <s v="DALLAS_x000a_TX"/>
    <n v="75202"/>
    <s v="UNITED STATES"/>
    <s v="'320250350811161218'"/>
    <s v="Other-Miscellaneous"/>
    <s v="AMEXPLATINUM"/>
    <x v="1"/>
  </r>
  <r>
    <d v="2025-02-04T00:00:00"/>
    <s v="A1010BUSD01         MSBILL.INFO"/>
    <n v="59.92"/>
    <s v="Z633XTR8QL2Z633XTR8QL2J     98052_x000a_A1010BUSD01_x000a_MSBILL.INFO_x000a_Z633XTR8QL2J     98052"/>
    <s v="A1010BUSD01         MSBILL.INFO"/>
    <s v="8TH FLOOR_x000a_91 MAIN ST"/>
    <s v="DALLAS_x000a_TX"/>
    <n v="75202"/>
    <s v="UNITED STATES"/>
    <s v="'320250350811162623'"/>
    <s v="Other-Miscellaneous"/>
    <s v="AMEXPLATINUM"/>
    <x v="1"/>
  </r>
  <r>
    <d v="2025-02-04T00:00:00"/>
    <s v="A1010BUSD01         REDMOND"/>
    <n v="21.4"/>
    <s v="Z62XXU2C5KXZ62XXU2C5KXU     98052_x000a_A1010BUSD01_x000a_REDMOND_x000a_Z62XXU2C5KXU     98052"/>
    <s v="A1010BUSD01         REDMOND"/>
    <s v="8TH FLOOR_x000a_91 MAIN ST"/>
    <s v="DALLAS_x000a_TX"/>
    <n v="75202"/>
    <s v="UNITED STATES"/>
    <s v="'320250350811184473'"/>
    <s v="Other-Miscellaneous"/>
    <s v="AMEXPLATINUM"/>
    <x v="1"/>
  </r>
  <r>
    <d v="2025-02-04T00:00:00"/>
    <s v="A1010BUSD01         MSBILL.INFO"/>
    <n v="289.06"/>
    <s v="Z62BXUA9R53Z62BXUA9R53V     98052_x000a_A1010BUSD01_x000a_MSBILL.INFO_x000a_Z62BXUA9R53V     98052"/>
    <s v="A1010BUSD01         MSBILL.INFO"/>
    <s v="8TH FLOOR_x000a_91 MAIN ST"/>
    <s v="DALLAS_x000a_TX"/>
    <n v="75202"/>
    <s v="UNITED STATES"/>
    <s v="'320250350811197174'"/>
    <s v="Other-Miscellaneous"/>
    <s v="AMEXPLATINUM"/>
    <x v="1"/>
  </r>
  <r>
    <d v="2025-02-04T00:00:00"/>
    <s v="A1010BUSD01         MSBILL.INFO"/>
    <n v="24.62"/>
    <s v="Z62EXSQRC7QZ62EXSQRC7QP     98052_x000a_A1010BUSD01_x000a_MSBILL.INFO_x000a_Z62EXSQRC7QP     98052"/>
    <s v="A1010BUSD01         MSBILL.INFO"/>
    <s v="8TH FLOOR_x000a_91 MAIN ST"/>
    <s v="DALLAS_x000a_TX"/>
    <n v="75202"/>
    <s v="UNITED STATES"/>
    <s v="'320250350811232773'"/>
    <s v="Other-Miscellaneous"/>
    <s v="DELTARESERVE"/>
    <x v="1"/>
  </r>
  <r>
    <d v="2025-02-04T00:00:00"/>
    <s v="BARNES NOBLE        NEW YORK            NY"/>
    <n v="56.67"/>
    <s v="00026750205 8662387323_x000a_BARNES NOBLE_x000a_NEW YORK_x000a_NY_x000a_Description : REFER TO RECEIPT Price : 0.00_x000a_8662387323"/>
    <s v="BARNES NOBLE        NEW YORK            NY"/>
    <s v="33 EAST 17TH ST SUITE 1"/>
    <s v="NEW YORK_x000a_NY"/>
    <n v="10003"/>
    <s v="UNITED STATES"/>
    <s v="'320250360823163643'"/>
    <s v="Merchandise &amp; Supplies-Book Stores"/>
    <s v="AMEXPLATINUM"/>
    <x v="3"/>
  </r>
  <r>
    <d v="2025-02-04T00:00:00"/>
    <s v="DELMONICOS 068880022NEW YORK            NY"/>
    <n v="680"/>
    <s v="73011005036 JLICUL@ICLOUD.COM_x000a_DELMONICOS 068880022170850_x000a_NEW YORK_x000a_NY_x000a_JLICUL@ICLOUD.COM"/>
    <s v="DELMONICOS 068880022NEW YORK            NY"/>
    <s v="56 BEAVER ST_x000a_FRNT A"/>
    <s v="NEW YORK_x000a_NY"/>
    <n v="10004"/>
    <s v="UNITED STATES"/>
    <s v="'320250360837993371'"/>
    <s v="Restaurant-Restaurant"/>
    <s v="DELTARESERVE"/>
    <x v="11"/>
  </r>
  <r>
    <d v="2025-02-05T00:00:00"/>
    <s v="Interest Charge on Pay Over Time Purchases"/>
    <n v="309.89999999999998"/>
    <s v="Interest Charge on Pay Over Time Purchases"/>
    <s v="Interest Charge on Pay Over Time Purchases"/>
    <m/>
    <m/>
    <m/>
    <m/>
    <s v="'150206050000513407'"/>
    <s v="Fees &amp; Adjustments-Fees &amp; Adjustments"/>
    <s v="AMEXPLATINUM"/>
    <x v="13"/>
  </r>
  <r>
    <d v="2025-02-05T00:00:00"/>
    <s v="A1010BUSD01         MSBILL.INFO"/>
    <n v="24.62"/>
    <s v="Z62WXVZPPP7Z62WXVZPPP7N     98052_x000a_A1010BUSD01_x000a_MSBILL.INFO_x000a_Z62WXVZPPP7N     98052"/>
    <s v="A1010BUSD01         MSBILL.INFO"/>
    <s v="8TH FLOOR_x000a_91 MAIN ST"/>
    <s v="DALLAS_x000a_TX"/>
    <n v="75202"/>
    <s v="UNITED STATES"/>
    <s v="'320250350813179900'"/>
    <s v="Other-Miscellaneous"/>
    <s v="DELTARESERVE"/>
    <x v="1"/>
  </r>
  <r>
    <d v="2025-02-05T00:00:00"/>
    <s v="GITHUB, INC.        SAN FRANCISCO       CA"/>
    <n v="4"/>
    <s v="NT_RIDPOG3P +18774484820_x000a_GITHUB, INC._x000a_SAN FRANCISCO_x000a_CA_x000a_+18774484820"/>
    <s v="GITHUB, INC.        SAN FRANCISCO       CA"/>
    <s v="275 BRANNAN ST"/>
    <s v="SAN FRANCISCO_x000a_CA"/>
    <n v="94107"/>
    <s v="UNITED STATES"/>
    <s v="'320250360821201714'"/>
    <s v="Other-Miscellaneous"/>
    <s v="DELTARESERVE"/>
    <x v="1"/>
  </r>
  <r>
    <d v="2025-02-05T00:00:00"/>
    <s v="UBER"/>
    <n v="39.520000000000003"/>
    <s v="EMGCY768   LMRYXXNE         10012_x000a_Uber Trip_x000a_help.uber.com_x000a_CA_x000a_LMRYXXNE         10012"/>
    <s v="Uber Trip           help.uber.com       CA"/>
    <s v="1455 MARKET ST_x000a_4TH FLOOR"/>
    <s v="SAN FRANCISCO_x000a_CA"/>
    <n v="94103"/>
    <s v="UNITED STATES"/>
    <s v="'320250360823654905'"/>
    <s v="Transportation-Taxis &amp; Coach"/>
    <s v="DELTARESERVE"/>
    <x v="2"/>
  </r>
  <r>
    <d v="2025-02-05T00:00:00"/>
    <s v="UBER"/>
    <n v="64.8"/>
    <s v="4SHS9W6H   YNQCSRS3         10004_x000a_Uber Trip_x000a_help.uber.com_x000a_CA_x000a_YNQCSRS3         10004"/>
    <s v="Uber Trip           help.uber.com       CA"/>
    <s v="1455 MARKET ST_x000a_4TH FLOOR"/>
    <s v="SAN FRANCISCO_x000a_CA"/>
    <n v="94103"/>
    <s v="UNITED STATES"/>
    <s v="'320250360824873967'"/>
    <s v="Transportation-Taxis &amp; Coach"/>
    <s v="DELTARESERVE"/>
    <x v="2"/>
  </r>
  <r>
    <d v="2025-02-05T00:00:00"/>
    <s v="OLIYO 38 0000       NEW YORK            NY"/>
    <n v="29.43"/>
    <s v="17600314    646-998-3255_x000a_OLIYO 38 0000_x000a_NEW YORK_x000a_NY_x000a_Description : GROCERIES/SUNDRIES Price : 0.00_x000a_646-998-3255"/>
    <s v="OLIYO 38 0000       NEW YORK            NY"/>
    <s v="575 8TH AVE"/>
    <s v="NEW YORK_x000a_NY"/>
    <n v="10018"/>
    <s v="UNITED STATES"/>
    <s v="'320250370856254678'"/>
    <s v="Merchandise &amp; Supplies-Groceries"/>
    <s v="DELTARESERVE"/>
    <x v="3"/>
  </r>
  <r>
    <d v="2025-02-06T00:00:00"/>
    <s v="SUSHI SAIKOU        New York            NY"/>
    <n v="459.68"/>
    <s v="96mepOl8Sa3 squareup.com/receipts_x000a_SUSHI SAIKOU_x000a_New York_x000a_NY"/>
    <s v="SUSHI SAIKOU        New York            NY"/>
    <s v="301 ELIZABETH ST"/>
    <s v="NEW YORK_x000a_NY"/>
    <n v="10012"/>
    <s v="UNITED STATES"/>
    <s v="'320250360817890403'"/>
    <s v="Restaurant-Bar &amp; CafÃ©"/>
    <s v="DELTARESERVE"/>
    <x v="11"/>
  </r>
  <r>
    <d v="2025-02-06T00:00:00"/>
    <s v="LEMONADE INSURANCE 5INTERNET            NY"/>
    <n v="11.33"/>
    <s v="35UHOP00066 HELP@LEMONADE.COM_x000a_LEMONADE INSURANCE 529657_x000a_INTERNET_x000a_NY_x000a_HELP@LEMONADE.COM"/>
    <s v="LEMONADE INSURANCE 5INTERNET            NY"/>
    <s v="5 CROSBY ST FL 3"/>
    <s v="NEW YORK_x000a_NY"/>
    <n v="10013"/>
    <s v="UNITED STATES"/>
    <s v="'320250370841166705'"/>
    <s v="Business Services-Insurance Services"/>
    <s v="AMEXPLATINUM"/>
    <x v="3"/>
  </r>
  <r>
    <d v="2025-02-06T00:00:00"/>
    <s v="UBER"/>
    <n v="49.04"/>
    <s v="BS0NEC5C   5F2B3NVN         10018_x000a_Uber Trip_x000a_help.uber.com_x000a_CA_x000a_5F2B3NVN         10018"/>
    <s v="Uber Trip           help.uber.com       CA"/>
    <s v="1455 MARKET ST_x000a_4TH FLOOR"/>
    <s v="SAN FRANCISCO_x000a_CA"/>
    <n v="94103"/>
    <s v="UNITED STATES"/>
    <s v="'320250370848056798'"/>
    <s v="Transportation-Taxis &amp; Coach"/>
    <s v="DELTARESERVE"/>
    <x v="2"/>
  </r>
  <r>
    <d v="2025-02-06T00:00:00"/>
    <s v="SPECTRUM            855-707-7328        MO"/>
    <n v="109.99"/>
    <s v="RC901253264CABLE SVC_x000a_SPECTRUM_x000a_855-707-7328_x000a_MO_x000a_CABLE SVC"/>
    <s v="SPECTRUM            855-707-7328        MO"/>
    <s v="12405 POWERSCOURT DR"/>
    <s v="SAINT LOUIS_x000a_MO"/>
    <n v="63131"/>
    <s v="UNITED STATES"/>
    <s v="'320250370849131276'"/>
    <s v="Communications-Cable &amp; Internet Comm"/>
    <s v="AMEXPLATINUM"/>
    <x v="5"/>
  </r>
  <r>
    <d v="2025-02-06T00:00:00"/>
    <s v="UBER"/>
    <n v="57.64"/>
    <s v="6WXB99Y9   YZF2K2OZ         10003_x000a_Uber Trip_x000a_help.uber.com_x000a_CA_x000a_YZF2K2OZ         10003"/>
    <s v="Uber Trip           help.uber.com       CA"/>
    <s v="1455 MARKET ST_x000a_4TH FLOOR"/>
    <s v="SAN FRANCISCO_x000a_CA"/>
    <n v="94103"/>
    <s v="UNITED STATES"/>
    <s v="'320250370849411469'"/>
    <s v="Transportation-Taxis &amp; Coach"/>
    <s v="DELTARESERVE"/>
    <x v="2"/>
  </r>
  <r>
    <d v="2025-02-06T00:00:00"/>
    <s v="BLVD   *ART AUTONOMYNEW YORK            NY"/>
    <n v="355.3"/>
    <s v="999999950382123434274_x000a_BEAUTY &amp; BARBER_x000a_BLVD   *ART AUTONOMY SALO 000000317_x000a_NEW YORK_x000a_NY_x000a_BEAUTY &amp; BARBER_x000a_2123434274"/>
    <s v="BLVD   *ART AUTONOMYNEW YORK            NY"/>
    <s v="497 BROOME ST_x000a_FL 2 FLOOR 2"/>
    <s v="NEW YORK_x000a_NY"/>
    <s v="10013-2214"/>
    <s v="UNITED STATES"/>
    <s v="'320250380880326630'"/>
    <s v="Business Services-Other Services"/>
    <s v="AMEXPLATINUM"/>
    <x v="3"/>
  </r>
  <r>
    <d v="2025-02-06T00:00:00"/>
    <s v="KIMBERLY MEEHAN, NP NEW YORK            NY"/>
    <n v="200"/>
    <s v="73011005037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0380889616754'"/>
    <s v="Business Services-Health Care Services"/>
    <s v="AMEXPLATINUM"/>
    <x v="3"/>
  </r>
  <r>
    <d v="2025-02-07T00:00:00"/>
    <s v="THE CLEANERS IO, LLCNew York            NY"/>
    <n v="35.700000000000003"/>
    <s v="LVWXKDQed3N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380870135104'"/>
    <s v="Business Services-Other Services"/>
    <s v="AMEXPLATINUM"/>
    <x v="8"/>
  </r>
  <r>
    <d v="2025-02-07T00:00:00"/>
    <s v="UBER"/>
    <n v="47.71"/>
    <s v="NXT13P6Q   U2QY7BL3         10018_x000a_Uber Trip_x000a_help.uber.com_x000a_CA_x000a_U2QY7BL3         10018"/>
    <s v="Uber Trip           help.uber.com       CA"/>
    <s v="1455 MARKET ST_x000a_4TH FLOOR"/>
    <s v="SAN FRANCISCO_x000a_CA"/>
    <n v="94103"/>
    <s v="UNITED STATES"/>
    <s v="'320250380874117466'"/>
    <s v="Transportation-Taxis &amp; Coach"/>
    <s v="DELTARESERVE"/>
    <x v="2"/>
  </r>
  <r>
    <d v="2025-02-07T00:00:00"/>
    <s v="UBER"/>
    <n v="40.869999999999997"/>
    <s v="CSJYX1FE   2P6ZZLAX         10012_x000a_Uber Trip_x000a_help.uber.com_x000a_CA_x000a_2P6ZZLAX         10012"/>
    <s v="Uber Trip           help.uber.com       CA"/>
    <s v="1455 MARKET ST_x000a_4TH FLOOR"/>
    <s v="SAN FRANCISCO_x000a_CA"/>
    <n v="94103"/>
    <s v="UNITED STATES"/>
    <s v="'320250380875131365'"/>
    <s v="Transportation-Taxis &amp; Coach"/>
    <s v="DELTARESERVE"/>
    <x v="2"/>
  </r>
  <r>
    <d v="2025-02-07T00:00:00"/>
    <s v="A1010BUSD01         MSBILL.INFO"/>
    <n v="21.38"/>
    <s v="Z62XY0SB8EMZ62XY0SB8EMU     98052_x000a_A1010BUSD01_x000a_MSBILL.INFO_x000a_Z62XY0SB8EMU     98052"/>
    <s v="A1010BUSD01         MSBILL.INFO"/>
    <s v="8TH FLOOR_x000a_91 MAIN ST"/>
    <s v="DALLAS_x000a_TX"/>
    <n v="75202"/>
    <s v="UNITED STATES"/>
    <s v="'320250380886750817'"/>
    <s v="Other-Miscellaneous"/>
    <s v="DELTARESERVE"/>
    <x v="1"/>
  </r>
  <r>
    <d v="2025-02-07T00:00:00"/>
    <s v="ELECTRONIC ARTS INC.REDWOOD CITY        CA"/>
    <n v="42.79"/>
    <s v="######3yGOL DIGITAL GOODS: GAMES_x000a_ELECTRONIC ARTS INC._x000a_REDWOOD CITY_x000a_CA_x000a_DIGITAL GOODS: GAMES"/>
    <s v="ELECTRONIC ARTS INC.REDWOOD CITY        CA"/>
    <s v="209 REDWOOD SHRS PKWY"/>
    <s v="REDWOOD CITY_x000a_CA"/>
    <n v="94065"/>
    <s v="UNITED STATES"/>
    <s v="'320250380888165351'"/>
    <s v="Business Services-Employment Agencies"/>
    <s v="AMEXPLATINUM"/>
    <x v="3"/>
  </r>
  <r>
    <d v="2025-02-07T00:00:00"/>
    <s v="SUNOCO 0042337601 00SLOATSBURG          NY"/>
    <n v="20.350000000000001"/>
    <s v="00471459    845-753-5091_x000a_SUNOCO 0042337601 0042_x000a_SLOATSBURG_x000a_NY_x000a_Description : Unleaded Plus (89 - Price : 0.00_x000a_845-753-5091"/>
    <s v="SUNOCO 0042337601 00SLOATSBURG          NY"/>
    <s v="-"/>
    <e v="#NAME?"/>
    <n v="75231"/>
    <s v="UNITED STATES"/>
    <s v="'320250390902145896'"/>
    <s v="Transportation-Fuel"/>
    <s v="DELTARESERVE"/>
    <x v="7"/>
  </r>
  <r>
    <d v="2025-02-07T00:00:00"/>
    <s v="WEGMANS ASTOR PLACE NEW YORK            NY"/>
    <n v="64.3"/>
    <s v="W15608400815854293656_x000a_WEGMANS ASTOR PLACE 156 000000156_x000a_NEW YORK_x000a_NY_x000a_5854293656"/>
    <s v="WEGMANS ASTOR PLACE NEW YORK            NY"/>
    <s v="770 BROADWAY"/>
    <s v="NEW YORK_x000a_NY"/>
    <n v="10003"/>
    <s v="UNITED STATES"/>
    <s v="'320250390910497114'"/>
    <s v="Merchandise &amp; Supplies-Groceries"/>
    <s v="AMEXPLATINUM"/>
    <x v="3"/>
  </r>
  <r>
    <d v="2025-02-07T00:00:00"/>
    <s v="OLIYO 38 0000       NEW YORK            NY"/>
    <n v="38.97"/>
    <s v="26200325    646-998-3255_x000a_OLIYO 38 0000_x000a_NEW YORK_x000a_NY_x000a_Description : GROCERIES/SUNDRIES Price : 0.00_x000a_646-998-3255"/>
    <s v="OLIYO 38 0000       NEW YORK            NY"/>
    <s v="575 8TH AVE"/>
    <s v="NEW YORK_x000a_NY"/>
    <n v="10018"/>
    <s v="UNITED STATES"/>
    <s v="'320250390910773447'"/>
    <s v="Merchandise &amp; Supplies-Groceries"/>
    <s v="DELTARESERVE"/>
    <x v="3"/>
  </r>
  <r>
    <d v="2025-02-07T00:00:00"/>
    <s v="IONOS               www.ionos.com       PA"/>
    <n v="34.21"/>
    <s v="00590493545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0390913205626'"/>
    <s v="Merchandise &amp; Supplies-Computer Supplies"/>
    <s v="AMEXPLATINUM"/>
    <x v="1"/>
  </r>
  <r>
    <d v="2025-02-07T00:00:00"/>
    <s v="D J*WSJ             800-568-7625        NJ"/>
    <n v="41.72"/>
    <s v="P-032379159 SUBSRIPTION_x000a_D J*WSJ_x000a_800-568-7625_x000a_NJ_x000a_SUBSRIPTION"/>
    <s v="D J*WSJ             800-568-7625        NJ"/>
    <s v="4300 RTE 1 NORTH"/>
    <s v="SOUTH BRUNSWICK_x000a_NJ"/>
    <s v="08852"/>
    <s v="UNITED STATES"/>
    <s v="'320250390913976819'"/>
    <s v="Merchandise &amp; Supplies-Mail Order"/>
    <s v="AMEXPLATINUM"/>
    <x v="8"/>
  </r>
  <r>
    <d v="2025-02-07T00:00:00"/>
    <s v="ARLOTECHNOLOGIES INC408-638-3750        CA"/>
    <n v="21.39"/>
    <s v="212431566  212431566        12866_x000a_ARLOTECHNOLOGIES INC_x000a_408-638-3750_x000a_CA_x000a_212431566        12866"/>
    <s v="ARLOTECHNOLOGIES INC408-638-3750        CA"/>
    <s v="STE 200_x000a_480 N MCCARTHY BLVD"/>
    <s v="MILPITAS_x000a_CA"/>
    <n v="95035"/>
    <s v="UNITED STATES"/>
    <s v="'320250400923969776'"/>
    <s v="Merchandise &amp; Supplies-Wholesale Stores"/>
    <s v="DELTARESERVE"/>
    <x v="1"/>
  </r>
  <r>
    <d v="2025-02-08T00:00:00"/>
    <s v="UBER"/>
    <n v="40.93"/>
    <s v="7D3W7MJJ   57XCT73X         10012_x000a_Uber Trip_x000a_help.uber.com_x000a_CA_x000a_57XCT73X         10012"/>
    <s v="Uber Trip           help.uber.com       CA"/>
    <s v="1455 MARKET ST_x000a_4TH FLOOR"/>
    <s v="SAN FRANCISCO_x000a_CA"/>
    <n v="94103"/>
    <s v="UNITED STATES"/>
    <s v="'320250390903817673'"/>
    <s v="Transportation-Taxis &amp; Coach"/>
    <s v="DELTARESERVE"/>
    <x v="2"/>
  </r>
  <r>
    <d v="2025-02-08T00:00:00"/>
    <s v="UBER"/>
    <n v="41.13"/>
    <s v="H1CJZK2Z   HLBABTQW         10018_x000a_Uber Trip_x000a_help.uber.com_x000a_CA_x000a_HLBABTQW         10018"/>
    <s v="Uber Trip           help.uber.com       CA"/>
    <s v="1455 MARKET ST_x000a_4TH FLOOR"/>
    <s v="SAN FRANCISCO_x000a_CA"/>
    <n v="94103"/>
    <s v="UNITED STATES"/>
    <s v="'320250390904615043'"/>
    <s v="Transportation-Taxis &amp; Coach"/>
    <s v="DELTARESERVE"/>
    <x v="2"/>
  </r>
  <r>
    <d v="2025-02-08T00:00:00"/>
    <s v="CVS/PHARMACY #10613 NEW YORK            NY"/>
    <n v="21"/>
    <s v="10099734    8007467287_x000a_CVS/PHARMACY #10613 000010613_x000a_NEW YORK_x000a_NY_x000a_Description : PHARMACIES Price : 0.21_x000a_8007467287"/>
    <s v="CVS/PHARMACY #10613 NEW YORK            NY"/>
    <s v="5 PENN PLZ FL 8"/>
    <s v="NEW YORK_x000a_NY"/>
    <n v="10001"/>
    <s v="UNITED STATES"/>
    <s v="'320250400934651369'"/>
    <s v="Merchandise &amp; Supplies-Pharmacies"/>
    <s v="AMEXPLATINUM"/>
    <x v="3"/>
  </r>
  <r>
    <d v="2025-02-09T00:00:00"/>
    <s v="MICROSOFT           MSBILL.INFO"/>
    <n v="223.33"/>
    <s v="Z62GY5RQFFKZ62GY5RQFFKY     98052_x000a_MICROSOFT_x000a_MSBILL.INFO_x000a_Z62GY5RQFFKY     98052"/>
    <s v="MICROSOFT           MSBILL.INFO"/>
    <s v="1 MICROSOFT WAY"/>
    <s v="REDMOND_x000a_WA"/>
    <n v="98052"/>
    <s v="UNITED STATES"/>
    <s v="'320250400929552448'"/>
    <s v="Other-Miscellaneous"/>
    <s v="DELTARESERVE"/>
    <x v="1"/>
  </r>
  <r>
    <d v="2025-02-09T00:00:00"/>
    <s v="MICROSOFT           MSBILL.INFO"/>
    <n v="165.48"/>
    <s v="Z629Y6C9MZ1Z629Y6C9MZ16     98052_x000a_MICROSOFT_x000a_MSBILL.INFO_x000a_Z629Y6C9MZ16     98052"/>
    <s v="MICROSOFT           MSBILL.INFO"/>
    <s v="1 MICROSOFT WAY"/>
    <s v="REDMOND_x000a_WA"/>
    <n v="98052"/>
    <s v="UNITED STATES"/>
    <s v="'320250400929589748'"/>
    <s v="Other-Miscellaneous"/>
    <s v="AMEXPLATINUM"/>
    <x v="1"/>
  </r>
  <r>
    <d v="2025-02-09T00:00:00"/>
    <s v="ERACTOLL 71MMFD     877-860-1258        NY"/>
    <n v="9.15"/>
    <s v="T186974606  877-860-1258_x000a_ERACTOLL 71MMFD_x000a_877-860-1258_x000a_NY_x000a_Description : ERACTOLL 71MMFD Price : 0.00_x000a_877-860-1258"/>
    <s v="ERACTOLL 71MMFD     877-860-1258        NY"/>
    <s v="-"/>
    <e v="#NAME?"/>
    <n v="11577"/>
    <s v="UNITED STATES"/>
    <s v="'320250410957526079'"/>
    <s v="Transportation-Tolls &amp; Fees"/>
    <s v="DELTARESERVE"/>
    <x v="9"/>
  </r>
  <r>
    <d v="2025-02-09T00:00:00"/>
    <s v="WEGMANS ASTOR PLACE NEW YORK            NY"/>
    <n v="16.97"/>
    <s v="W15640900655854293656_x000a_WEGMANS ASTOR PLACE 156 000000156_x000a_NEW YORK_x000a_NY_x000a_5854293656"/>
    <s v="WEGMANS ASTOR PLACE NEW YORK            NY"/>
    <s v="770 BROADWAY"/>
    <s v="NEW YORK_x000a_NY"/>
    <n v="10003"/>
    <s v="UNITED STATES"/>
    <s v="'320250410959801255'"/>
    <s v="Merchandise &amp; Supplies-Groceries"/>
    <s v="AMEXPLATINUM"/>
    <x v="3"/>
  </r>
  <r>
    <d v="2025-02-10T00:00:00"/>
    <s v="ENTERPRISE RENT-A-CANEW YORK            NY"/>
    <n v="561.6"/>
    <s v="021209525   212-5332900_x000a_ENTERPRISE RENT-A-CAR_x000a_NEW YORK_x000a_NY"/>
    <s v="ENTERPRISE RENT-A-CANEW YORK            NY"/>
    <s v="221 THOMPSON ST"/>
    <s v="NEW YORK_x000a_NY"/>
    <n v="10012"/>
    <s v="UNITED STATES"/>
    <s v="'320250420985858182'"/>
    <s v="Travel-Vehicle Rental"/>
    <s v="DELTARESERVE"/>
    <x v="9"/>
  </r>
  <r>
    <d v="2025-02-11T00:00:00"/>
    <s v="ONLINE PAYMENT - THANK YOU"/>
    <n v="-5000"/>
    <s v="ONLINE PAYMENT - THANK YOU"/>
    <s v="ONLINE PAYMENT - THANK YOU"/>
    <m/>
    <m/>
    <m/>
    <m/>
    <s v="'320250420969869685'"/>
    <m/>
    <s v="DELTARESERVE"/>
    <x v="0"/>
  </r>
  <r>
    <d v="2025-02-11T00:00:00"/>
    <s v="FACTOR75            BATAVIA             IL"/>
    <n v="65.36"/>
    <s v="MR029179885 18885735727_x000a_FACTOR75_x000a_BATAVIA_x000a_IL_x000a_18885735727"/>
    <s v="FACTOR75            BATAVIA             IL"/>
    <s v="1853 SUNCAST LN"/>
    <s v="BATAVIA_x000a_IL"/>
    <n v="60510"/>
    <s v="UNITED STATES"/>
    <s v="'320250420977296660'"/>
    <s v="Merchandise &amp; Supplies-Groceries"/>
    <s v="AMEXPLATINUM"/>
    <x v="3"/>
  </r>
  <r>
    <d v="2025-02-11T00:00:00"/>
    <s v="ADOBE SYSTEMS Adobe SAN JOSE            CA"/>
    <n v="21.64"/>
    <s v="572106323   www.adobe.com_x000a_ADOBE SYSTEMS Adobe Systems_x000a_SAN JOSE_x000a_CA_x000a_Description : 0 Price : 0.1999_x000a_www.adobe.com"/>
    <s v="ADOBE SYSTEMS Adobe SAN JOSE            CA"/>
    <s v="801 N 34TH ST"/>
    <s v="SEATTLE_x000a_WA"/>
    <n v="98103"/>
    <s v="UNITED STATES"/>
    <s v="'320250430004470585'"/>
    <s v="Merchandise &amp; Supplies-Mail Order"/>
    <s v="AMEXPLATINUM"/>
    <x v="1"/>
  </r>
  <r>
    <d v="2025-02-11T00:00:00"/>
    <s v="GOOGLE *ISHARINGSOFT G.CO/HELPPAY#      CA"/>
    <n v="16.04"/>
    <s v="A0ZBHK0D    LARGE DIGITAL GOODS M_x000a_LARGE DIGITAL GOODS MERCH_x000a_GOOGLE *ISHARINGSOFT_x000a_G.CO/HELPPAY#_x000a_CA_x000a_LARGE DIGITAL GOODS MERCH"/>
    <s v="GOOGLE *ISHARINGSOFT G.CO/HELPPAY#      CA"/>
    <s v="1600 AMPHITHEATRE PKWY"/>
    <s v="MOUNTAIN VIEW_x000a_CA"/>
    <s v="94043-1351"/>
    <s v="UNITED STATES"/>
    <s v="'320250430008384040'"/>
    <s v="Business Services-Internet Services"/>
    <s v="DELTARESERVE"/>
    <x v="1"/>
  </r>
  <r>
    <d v="2025-02-12T00:00:00"/>
    <s v="UBER"/>
    <n v="24.29"/>
    <s v="H1DJ4QCS   35Z2MCPU         10012_x000a_Uber Trip_x000a_help.uber.com_x000a_CA_x000a_35Z2MCPU         10012"/>
    <s v="Uber Trip           help.uber.com       CA"/>
    <s v="1455 MARKET ST_x000a_4TH FLOOR"/>
    <s v="SAN FRANCISCO_x000a_CA"/>
    <n v="94103"/>
    <s v="UNITED STATES"/>
    <s v="'320250430002472821'"/>
    <s v="Transportation-Taxis &amp; Coach"/>
    <s v="DELTARESERVE"/>
    <x v="2"/>
  </r>
  <r>
    <d v="2025-02-12T00:00:00"/>
    <s v="PREM CAR RENTAL PROTECTION 800-326-2078"/>
    <n v="24.95"/>
    <s v="CRA021209525 02/10/2025 NEW YORK_x000a_PREM CAR RENTAL PROTECTION 800-326-2078"/>
    <s v="PREM CAR RENTAL PROTECTION 800-326-2078"/>
    <s v="200 VESEY STREET_x000a_43RD FLOOR"/>
    <s v="NEW YORK_x000a_NY"/>
    <n v="10285"/>
    <s v="UNITED STATES"/>
    <s v="'320250430014210160'"/>
    <s v="Business Services-Insurance Services"/>
    <s v="DELTARESERVE"/>
    <x v="9"/>
  </r>
  <r>
    <d v="2025-02-12T00:00:00"/>
    <s v="WEGMANS ASTOR PLACE NEW YORK            NY"/>
    <n v="20.7"/>
    <s v="W15608200165854293656_x000a_WEGMANS ASTOR PLACE 156 000000156_x000a_NEW YORK_x000a_NY_x000a_5854293656"/>
    <s v="WEGMANS ASTOR PLACE NEW YORK            NY"/>
    <s v="770 BROADWAY"/>
    <s v="NEW YORK_x000a_NY"/>
    <n v="10003"/>
    <s v="UNITED STATES"/>
    <s v="'320250440032055213'"/>
    <s v="Merchandise &amp; Supplies-Groceries"/>
    <s v="AMEXPLATINUM"/>
    <x v="3"/>
  </r>
  <r>
    <d v="2025-02-12T00:00:00"/>
    <s v="UNSIGNDONLY         6152514441          TN"/>
    <n v="120"/>
    <s v="10172707740 6152514441_x000a_UNSIGNDONLY_x000a_6152514441_x000a_TN_x000a_Description : DEPARTMENT STORE Price : 0.00_x000a_6152514441"/>
    <s v="UNSIGNDONLY         6152514441          TN"/>
    <s v="3940 GALLATIN PIKE"/>
    <s v="NASHVILLE_x000a_TN"/>
    <n v="37216"/>
    <s v="UNITED STATES"/>
    <s v="'320250440035987466'"/>
    <s v="Merchandise &amp; Supplies-Department Stores"/>
    <s v="AMEXPLATINUM"/>
    <x v="3"/>
  </r>
  <r>
    <d v="2025-02-12T00:00:00"/>
    <s v="Amazon Prime        Amazon.com          WA"/>
    <n v="148.72999999999999"/>
    <s v="16CF113T45Q SUBSCRIPTION_x000a_Amazon Prime_x000a_Amazon.com_x000a_WA_x000a_SUBSCRIPTION"/>
    <s v="Amazon Prime        Amazon.com          WA"/>
    <s v="440 TERRY AVE NORTH"/>
    <s v="SEATTLE_x000a_WA"/>
    <n v="98109"/>
    <s v="UNITED STATES"/>
    <s v="'320250440038698266'"/>
    <s v="Merchandise &amp; Supplies-Mail Order"/>
    <s v="DELTARESERVE"/>
    <x v="3"/>
  </r>
  <r>
    <d v="2025-02-12T00:00:00"/>
    <s v="FACEBK *META VERIFIEFB.ME/CC            CA"/>
    <n v="11.99"/>
    <s v="92505295883 DGTL CONTENT_x000a_FACEBK *META VERIFIED_x000a_FB.ME/CC_x000a_CA_x000a_DGTL CONTENT"/>
    <s v="FACEBK *META VERIFIEFB.ME/CC            CA"/>
    <s v="1 HACKER WAY"/>
    <s v="MENLO PARK_x000a_CA"/>
    <n v="94025"/>
    <s v="UNITED STATES"/>
    <s v="'320250440041945161'"/>
    <s v="Business Services-Office Supplies"/>
    <s v="AMEXPLATINUM"/>
    <x v="3"/>
  </r>
  <r>
    <d v="2025-02-13T00:00:00"/>
    <s v="LINKEDIN SN P4231103MOUNTAIN VIEW"/>
    <n v="106.99"/>
    <s v="P423110314  SUBSCRIPTIONS_x000a_LINKEDIN SN P423110314_x000a_MOUNTAIN VIEW_x000a_SUBSCRIPTIONS"/>
    <s v="LINKEDIN SN P4231103MOUNTAIN VIEW"/>
    <s v="2029 STIERLIN CT_x000a_STE 200"/>
    <s v="MOUNTAIN VIEW_x000a_CA"/>
    <s v="94043-4655"/>
    <s v="UNITED STATES"/>
    <s v="'320250440024587251'"/>
    <s v="Merchandise &amp; Supplies-Internet Purchase"/>
    <s v="AMEXPLATINUM"/>
    <x v="4"/>
  </r>
  <r>
    <d v="2025-02-13T00:00:00"/>
    <s v="UBER EATS           HTTPS://HELP.UBER.COCA"/>
    <n v="192.47"/>
    <s v="NSY5WFGP   BC2TXZUX         94103_x000a_UBER EATS_x000a_HTTPS://HELP.UBER.COM_x000a_CA_x000a_BC2TXZUX         94103"/>
    <s v="UBER EATS           HTTPS://HELP.UBER.COCA"/>
    <s v="1455 MARKET ST 4TH_x000a_FL"/>
    <s v="UBEREATS.COM_x000a_CA"/>
    <n v="94103"/>
    <s v="UNITED STATES"/>
    <s v="'320250440028231133'"/>
    <s v="Restaurant-Restaurant"/>
    <s v="DELTARESERVE"/>
    <x v="3"/>
  </r>
  <r>
    <d v="2025-02-13T00:00:00"/>
    <s v="MACYS   .COM 0000001MASON               OH"/>
    <n v="91.46"/>
    <s v="03295757194 8002896229_x000a_MACYS   .COM 000000129_x000a_MASON_x000a_OH_x000a_Description : 1400TC CVC BROOKLIN Price : 0.84_x000a_8002896229"/>
    <s v="MACYS   .COM 0000001MASON               OH"/>
    <s v="9111 DUKE BLVD"/>
    <s v="MASON_x000a_OH"/>
    <s v="45040-8999"/>
    <s v="UNITED STATES"/>
    <s v="'320250450056658774'"/>
    <s v="Merchandise &amp; Supplies-Department Stores"/>
    <s v="AMEXPLATINUM"/>
    <x v="3"/>
  </r>
  <r>
    <d v="2025-02-13T00:00:00"/>
    <s v="PETCO 3741 0374     NEW YORK            NY"/>
    <n v="62.06"/>
    <s v="35500029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0450059709946'"/>
    <s v="Merchandise &amp; Supplies-General Retail"/>
    <s v="AMEXPLATINUM"/>
    <x v="3"/>
  </r>
  <r>
    <d v="2025-02-13T00:00:00"/>
    <s v="OLIYO 38 0000       NEW YORK            NY"/>
    <n v="21.56"/>
    <s v="26800113    646-998-3255_x000a_OLIYO 38 0000_x000a_NEW YORK_x000a_NY_x000a_Description : GROCERIES/SUNDRIES Price : 0.00_x000a_646-998-3255"/>
    <s v="OLIYO 38 0000       NEW YORK            NY"/>
    <s v="575 8TH AVE"/>
    <s v="NEW YORK_x000a_NY"/>
    <n v="10018"/>
    <s v="UNITED STATES"/>
    <s v="'320250450063571445'"/>
    <s v="Merchandise &amp; Supplies-Groceries"/>
    <s v="DELTARESERVE"/>
    <x v="3"/>
  </r>
  <r>
    <d v="2025-02-14T00:00:00"/>
    <s v="LEMONADE INSURANCE CNEW YORK            NY"/>
    <n v="50.67"/>
    <s v="######9qE6E INSURANCE SALES_x000a_LEMONADE INSURANCE COMPANY_x000a_NEW YORK_x000a_NY_x000a_INSURANCE SALES"/>
    <s v="LEMONADE INSURANCE CNEW YORK            NY"/>
    <s v="5 CROSBY ST FL 3"/>
    <s v="NEW YORK_x000a_NY"/>
    <n v="10013"/>
    <s v="UNITED STATES"/>
    <s v="'320250450048320896'"/>
    <s v="Business Services-Insurance Services"/>
    <s v="AMEXPLATINUM"/>
    <x v="3"/>
  </r>
  <r>
    <d v="2025-02-14T00:00:00"/>
    <s v="PATREON* MEMBERSHIP SAN FRANCISCO       CA"/>
    <n v="20.18"/>
    <s v="93ZH5X01381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0450050665703'"/>
    <s v="Business Services-Office Supplies"/>
    <s v="AMEXPLATINUM"/>
    <x v="3"/>
  </r>
  <r>
    <d v="2025-02-14T00:00:00"/>
    <s v="UBER"/>
    <n v="51.8"/>
    <s v="7VEEWZYB   VMGMKPJL         10018_x000a_Uber Trip_x000a_help.uber.com_x000a_CA_x000a_VMGMKPJL         10018"/>
    <s v="Uber Trip           help.uber.com       CA"/>
    <s v="1455 MARKET ST_x000a_4TH FLOOR"/>
    <s v="SAN FRANCISCO_x000a_CA"/>
    <n v="94103"/>
    <s v="UNITED STATES"/>
    <s v="'320250450052409460'"/>
    <s v="Transportation-Taxis &amp; Coach"/>
    <s v="DELTARESERVE"/>
    <x v="2"/>
  </r>
  <r>
    <d v="2025-02-14T00:00:00"/>
    <s v="ERACTOLL 71MMFD     877-860-1258        NY"/>
    <n v="4.24"/>
    <s v="T187288659  877-860-1258_x000a_ERACTOLL 71MMFD_x000a_877-860-1258_x000a_NY_x000a_Description : ERACTOLL 71MMFD Price : 0.00_x000a_877-860-1258"/>
    <s v="ERACTOLL 71MMFD     877-860-1258        NY"/>
    <s v="-"/>
    <e v="#NAME?"/>
    <n v="11577"/>
    <s v="UNITED STATES"/>
    <s v="'320250460088918761'"/>
    <s v="Transportation-Tolls &amp; Fees"/>
    <s v="DELTARESERVE"/>
    <x v="9"/>
  </r>
  <r>
    <d v="2025-02-14T00:00:00"/>
    <s v="KREUTHER RESTAURANT NEW YORK            NY"/>
    <n v="1400"/>
    <s v="00000013291 917-913-9141_x000a_KREUTHER RESTAURANT 0000_x000a_NEW YORK_x000a_NY_x000a_Description : FOOD/BEVERAGE Price : 0.00_x000a_917-913-9141"/>
    <s v="KREUTHER RESTAURANT NEW YORK            NY"/>
    <s v="41 WEST 42ND ST"/>
    <s v="NEW YORK_x000a_NY"/>
    <n v="10036"/>
    <s v="UNITED STATES"/>
    <s v="'320250460090236160'"/>
    <s v="Restaurant-Restaurant"/>
    <s v="DELTARESERVE"/>
    <x v="11"/>
  </r>
  <r>
    <d v="2025-02-14T00:00:00"/>
    <s v="AT&amp;T"/>
    <n v="104.4"/>
    <s v="44074120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0460092484907'"/>
    <s v="Communications-Mobile Telecom"/>
    <s v="DELTARESERVE"/>
    <x v="5"/>
  </r>
  <r>
    <d v="2025-02-15T00:00:00"/>
    <s v="UBER"/>
    <n v="79.67"/>
    <s v="JXMNQ70D   7SQSIZRT         10036_x000a_Uber Trip_x000a_help.uber.com_x000a_CA_x000a_7SQSIZRT         10036"/>
    <s v="Uber Trip           help.uber.com       CA"/>
    <s v="1455 MARKET ST_x000a_4TH FLOOR"/>
    <s v="SAN FRANCISCO_x000a_CA"/>
    <n v="94103"/>
    <s v="UNITED STATES"/>
    <s v="'320250460080683147'"/>
    <s v="Transportation-Taxis &amp; Coach"/>
    <s v="DELTARESERVE"/>
    <x v="2"/>
  </r>
  <r>
    <d v="2025-02-15T00:00:00"/>
    <s v="TABULAR EDITOR APS  COPENHAGEN V        DK"/>
    <n v="10"/>
    <s v="NT_RMUZYBNR +4553503099_x000a_TABULAR EDITOR APS_x000a_COPENHAGEN V_x000a_DK_x000a_+4553503099"/>
    <s v="TABULAR EDITOR APS  COPENHAGEN V        DK"/>
    <s v="SUNDKAJ 125_x000a_NORDHAVN"/>
    <m/>
    <n v="2150"/>
    <s v="DENMARK"/>
    <s v="'320250470116342187'"/>
    <s v="Merchandise &amp; Supplies-Computer Supplies"/>
    <s v="DELTARESERVE"/>
    <x v="1"/>
  </r>
  <r>
    <d v="2025-02-16T00:00:00"/>
    <s v="SPLICE.COM          NEW YORK CITY       NY"/>
    <n v="27.99"/>
    <s v="NT_RMKRV0TW 3235775423_x000a_SPLICE.COM_x000a_NEW YORK CITY_x000a_NY_x000a_3235775423"/>
    <s v="SPLICE.COM          NEW YORK CITY       NY"/>
    <s v="817 BROADWAY FLOOR 4"/>
    <s v="NEW YORK_x000a_NY"/>
    <n v="10003"/>
    <s v="UNITED STATES"/>
    <s v="'320250470102845599'"/>
    <s v="Merchandise &amp; Supplies-Computer Supplies"/>
    <s v="AMEXPLATINUM"/>
    <x v="3"/>
  </r>
  <r>
    <d v="2025-02-16T00:00:00"/>
    <s v="UBER"/>
    <n v="30.89"/>
    <s v="7JVMDVNB   YSGJKFLU         11104_x000a_Uber Trip_x000a_help.uber.com_x000a_CA_x000a_YSGJKFLU         11104"/>
    <s v="Uber Trip           help.uber.com       CA"/>
    <s v="1455 MARKET ST_x000a_4TH FLOOR"/>
    <s v="SAN FRANCISCO_x000a_CA"/>
    <n v="94103"/>
    <s v="UNITED STATES"/>
    <s v="'320250470103895975'"/>
    <s v="Transportation-Taxis &amp; Coach"/>
    <s v="DELTARESERVE"/>
    <x v="2"/>
  </r>
  <r>
    <d v="2025-02-16T00:00:00"/>
    <s v="UBER"/>
    <n v="62.17"/>
    <s v="Q7DDJK16   JNPXCPKG         10012_x000a_Uber Trip_x000a_help.uber.com_x000a_CA_x000a_JNPXCPKG         10012"/>
    <s v="Uber Trip           help.uber.com       CA"/>
    <s v="1455 MARKET ST_x000a_4TH FLOOR"/>
    <s v="SAN FRANCISCO_x000a_CA"/>
    <n v="94103"/>
    <s v="UNITED STATES"/>
    <s v="'320250470103908127'"/>
    <s v="Transportation-Taxis &amp; Coach"/>
    <s v="DELTARESERVE"/>
    <x v="2"/>
  </r>
  <r>
    <d v="2025-02-16T00:00:00"/>
    <s v="UBER"/>
    <n v="63.85"/>
    <s v="M5K3WMBS   S5IYOMFT         11104_x000a_Uber Trip_x000a_help.uber.com_x000a_CA_x000a_S5IYOMFT         11104"/>
    <s v="Uber Trip           help.uber.com       CA"/>
    <s v="1455 MARKET ST_x000a_4TH FLOOR"/>
    <s v="SAN FRANCISCO_x000a_CA"/>
    <n v="94103"/>
    <s v="UNITED STATES"/>
    <s v="'320250470104541274'"/>
    <s v="Transportation-Taxis &amp; Coach"/>
    <s v="DELTARESERVE"/>
    <x v="2"/>
  </r>
  <r>
    <d v="2025-02-16T00:00:00"/>
    <s v="CVS/PHARMACY #10407 NEW YORK            NY"/>
    <n v="19"/>
    <s v="10042964   8007467287_x000a_PHARMACIES_x000a_CVS/PHARMACY #10407 000010407_x000a_NEW YORK_x000a_NY_x000a_PHARMACIES_x000a_8007467287"/>
    <s v="CVS/PHARMACY #10407 NEW YORK            NY"/>
    <s v="298 MULBERRY ST"/>
    <s v="NEW YORK_x000a_NY"/>
    <n v="10012"/>
    <s v="UNITED STATES"/>
    <s v="'320250480136051302'"/>
    <s v="Merchandise &amp; Supplies-Pharmacies"/>
    <s v="AMEXPLATINUM"/>
    <x v="3"/>
  </r>
  <r>
    <d v="2025-02-16T00:00:00"/>
    <s v="TST* NOORTWYCK 00080NEW YORK            NY"/>
    <n v="600"/>
    <s v="21105175048 RESTAURANT_x000a_TST* NOORTWYCK 00080920_x000a_NEW YORK_x000a_NY_x000a_RESTAURANT"/>
    <s v="TST* NOORTWYCK 00080NEW YORK            NY"/>
    <s v="289 BLEECKER ST"/>
    <s v="NEW YORK_x000a_NY"/>
    <n v="10014"/>
    <s v="UNITED STATES"/>
    <s v="'320250480138935984'"/>
    <s v="Restaurant-Restaurant"/>
    <s v="DELTARESERVE"/>
    <x v="11"/>
  </r>
  <r>
    <d v="2025-02-17T00:00:00"/>
    <s v="ERACTOLL 75W9NM     877-860-1258        NY"/>
    <n v="33.54"/>
    <s v="T187504627  877-860-1258_x000a_ERACTOLL 75W9NM_x000a_877-860-1258_x000a_NY_x000a_Description : ERACTOLL 75W9NM Price : 0.00_x000a_877-860-1258"/>
    <s v="ERACTOLL 75W9NM     877-860-1258        NY"/>
    <s v="-"/>
    <e v="#NAME?"/>
    <n v="11577"/>
    <s v="UNITED STATES"/>
    <s v="'320250490165416577'"/>
    <s v="Transportation-Tolls &amp; Fees"/>
    <s v="DELTARESERVE"/>
    <x v="9"/>
  </r>
  <r>
    <d v="2025-02-17T00:00:00"/>
    <s v="KIMBERLY MEEHAN, NP NEW YORK            NY"/>
    <n v="200"/>
    <s v="73011005049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0500194626037'"/>
    <s v="Business Services-Health Care Services"/>
    <s v="AMEXPLATINUM"/>
    <x v="3"/>
  </r>
  <r>
    <d v="2025-02-18T00:00:00"/>
    <s v="FACTOR75            BATAVIA             IL"/>
    <n v="78.95"/>
    <s v="MR029190026 18885735727_x000a_FACTOR75_x000a_BATAVIA_x000a_IL_x000a_18885735727"/>
    <s v="FACTOR75            BATAVIA             IL"/>
    <s v="1853 SUNCAST LN"/>
    <s v="BATAVIA_x000a_IL"/>
    <n v="60510"/>
    <s v="UNITED STATES"/>
    <s v="'320250490158986548'"/>
    <s v="Merchandise &amp; Supplies-Groceries"/>
    <s v="AMEXPLATINUM"/>
    <x v="3"/>
  </r>
  <r>
    <d v="2025-02-19T00:00:00"/>
    <s v="LE REVEIL COFFEE COMNew York            NY"/>
    <n v="19.260000000000002"/>
    <s v="VMd4VSTj3To squareup.com/receipts_x000a_LE REVEIL COFFEE COMPANY_x000a_New York_x000a_NY_x000a_squareup.com/receipts"/>
    <s v="LE REVEIL COFFEE COMNew York            NY"/>
    <s v="1322 2ND AVE"/>
    <s v="NEW YORK_x000a_NY"/>
    <n v="10021"/>
    <s v="UNITED STATES"/>
    <s v="'320250500184345257'"/>
    <s v="Restaurant-Bar &amp; CafÃ©"/>
    <s v="AMEXPLATINUM"/>
    <x v="3"/>
  </r>
  <r>
    <d v="2025-02-19T00:00:00"/>
    <s v="SHAKESPEARE AND CO  NEW YORK            NY"/>
    <n v="88.98"/>
    <s v="85340737    212-772-3400_x000a_SHAKESPEARE AND CO_x000a_NEW YORK_x000a_NY_x000a_Description : BUSINESS SERVICES Price : 0.00_x000a_212-772-3400"/>
    <s v="SHAKESPEARE AND CO  NEW YORK            NY"/>
    <s v="939 LEXINGTON AVE"/>
    <s v="NEW YORK_x000a_NY"/>
    <n v="10065"/>
    <s v="UNITED STATES"/>
    <s v="'320250510220853629'"/>
    <s v="Merchandise &amp; Supplies-General Retail"/>
    <s v="AMEXPLATINUM"/>
    <x v="3"/>
  </r>
  <r>
    <d v="2025-02-20T00:00:00"/>
    <s v="SPLICE.COM          NEW YORK CITY       NY"/>
    <n v="13.9"/>
    <s v="NT_RODMLUB8 3235775423_x000a_SPLICE.COM_x000a_NEW YORK CITY_x000a_NY_x000a_3235775423"/>
    <s v="SPLICE.COM          NEW YORK CITY       NY"/>
    <s v="817 BROADWAY FLOOR 4"/>
    <s v="NEW YORK_x000a_NY"/>
    <n v="10003"/>
    <s v="UNITED STATES"/>
    <s v="'320250510209436177'"/>
    <s v="Merchandise &amp; Supplies-Computer Supplies"/>
    <s v="AMEXPLATINUM"/>
    <x v="3"/>
  </r>
  <r>
    <d v="2025-02-20T00:00:00"/>
    <s v="TST* IL BUCO - BOND NEW YORK            NY"/>
    <n v="500"/>
    <s v="00041760023 RESTAURANT_x000a_TST* IL BUCO - BOND ST 00041760_x000a_NEW YORK_x000a_NY_x000a_RESTAURANT"/>
    <s v="TST* IL BUCO - BOND NEW YORK            NY"/>
    <s v="47 BOND ST FRNT 1"/>
    <s v="NEW YORK_x000a_NY"/>
    <n v="10012"/>
    <s v="UNITED STATES"/>
    <s v="'320250520241191679'"/>
    <s v="Restaurant-Restaurant"/>
    <s v="DELTARESERVE"/>
    <x v="11"/>
  </r>
  <r>
    <d v="2025-02-20T00:00:00"/>
    <s v="FS *TECHSMITH       877-327-8914        CA"/>
    <n v="192.48"/>
    <s v="XXZLPSSQSTC8C1229756CAC0089 93101_x000a_FS *TECHSMITH_x000a_877-327-8914_x000a_CA_x000a_8C1229756CAC0089 93101"/>
    <s v="FS *TECHSMITH       877-327-8914        CA"/>
    <s v="801 GDN ST 201"/>
    <s v="SANTA BARBARA_x000a_CA"/>
    <n v="93101"/>
    <s v="UNITED STATES"/>
    <s v="'320250520247080810'"/>
    <s v="Merchandise &amp; Supplies-Internet Purchase"/>
    <s v="AMEXPLATINUM"/>
    <x v="3"/>
  </r>
  <r>
    <d v="2025-02-21T00:00:00"/>
    <s v="UBER"/>
    <n v="48.41"/>
    <s v="8QSRY0CP   M6JKU5HS         10012_x000a_Uber Trip_x000a_help.uber.com_x000a_CA_x000a_M6JKU5HS         10012"/>
    <s v="Uber Trip           help.uber.com       CA"/>
    <s v="1455 MARKET ST_x000a_4TH FLOOR"/>
    <s v="SAN FRANCISCO_x000a_CA"/>
    <n v="94103"/>
    <s v="UNITED STATES"/>
    <s v="'320250520233003747'"/>
    <s v="Transportation-Taxis &amp; Coach"/>
    <s v="DELTARESERVE"/>
    <x v="2"/>
  </r>
  <r>
    <d v="2025-02-21T00:00:00"/>
    <s v="UBER"/>
    <n v="45.59"/>
    <s v="5HWF2AK4   4NTAZUBN         10018_x000a_Uber Trip_x000a_help.uber.com_x000a_CA_x000a_4NTAZUBN         10018"/>
    <s v="Uber Trip           help.uber.com       CA"/>
    <s v="1455 MARKET ST_x000a_4TH FLOOR"/>
    <s v="SAN FRANCISCO_x000a_CA"/>
    <n v="94103"/>
    <s v="UNITED STATES"/>
    <s v="'320250520233617186'"/>
    <s v="Transportation-Taxis &amp; Coach"/>
    <s v="DELTARESERVE"/>
    <x v="2"/>
  </r>
  <r>
    <d v="2025-02-21T00:00:00"/>
    <s v="TMPL ASTOR PLACE 000NEW YORK            NY"/>
    <n v="1045"/>
    <s v="62100007    917-877-1400_x000a_TMPL ASTOR PLACE 0000_x000a_NEW YORK_x000a_NY_x000a_Description : MEMBERSHIP FEES Price : 0.00_x000a_917-877-1400"/>
    <s v="TMPL ASTOR PLACE 000NEW YORK            NY"/>
    <s v="4 ASTOR PLACE"/>
    <s v="NEW YORK_x000a_NY"/>
    <n v="10003"/>
    <s v="UNITED STATES"/>
    <s v="'320250530266725164'"/>
    <s v="Entertainment-Associations"/>
    <s v="AMEXPLATINUM"/>
    <x v="3"/>
  </r>
  <r>
    <d v="2025-02-22T00:00:00"/>
    <s v="OPENAI *CHATGPT SUBSSAN FRANCISCO       CA"/>
    <n v="21.4"/>
    <s v="NT_ROXGZTB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0530258236369'"/>
    <s v="Merchandise &amp; Supplies-Computer Supplies"/>
    <s v="DELTARESERVE"/>
    <x v="1"/>
  </r>
  <r>
    <d v="2025-02-22T00:00:00"/>
    <s v="Bazaar              New York            NY"/>
    <n v="1100"/>
    <s v="2310       2310             10001_x000a_Bazaar_x000a_New York_x000a_NY_x000a_2310             10001"/>
    <s v="Bazaar              New York            NY"/>
    <s v="1185 BROADWAY"/>
    <s v="NEW YORK_x000a_NY"/>
    <n v="10001"/>
    <s v="UNITED STATES"/>
    <s v="'320250540291481004'"/>
    <s v="Restaurant-Restaurant"/>
    <s v="DELTARESERVE"/>
    <x v="11"/>
  </r>
  <r>
    <d v="2025-02-22T00:00:00"/>
    <s v="Bazaar              New York            NY"/>
    <n v="99.48"/>
    <s v="2437       2437             10001_x000a_Bazaar_x000a_New York_x000a_NY_x000a_2437             10001"/>
    <s v="Bazaar              New York            NY"/>
    <s v="1185 BROADWAY"/>
    <s v="NEW YORK_x000a_NY"/>
    <n v="10001"/>
    <s v="UNITED STATES"/>
    <s v="'320250540291537604'"/>
    <s v="Restaurant-Restaurant"/>
    <s v="DELTARESERVE"/>
    <x v="11"/>
  </r>
  <r>
    <d v="2025-02-22T00:00:00"/>
    <s v="EATALY NY CATAPULT  NEW YORK            NY"/>
    <n v="7.49"/>
    <s v="00720038449 212-229-2560_x000a_EATALY NY CATAPULT_x000a_NEW YORK_x000a_NY_x000a_Description : GROCERIES/SUNDRIES Price : 0.00_x000a_212-229-2560"/>
    <s v="EATALY NY CATAPULT  NEW YORK            NY"/>
    <s v="FRONT 200 5TH AVE"/>
    <s v="NEW YORK_x000a_NY"/>
    <n v="10010"/>
    <s v="UNITED STATES"/>
    <s v="'320250540294365208'"/>
    <s v="Merchandise &amp; Supplies-Groceries"/>
    <s v="AMEXPLATINUM"/>
    <x v="3"/>
  </r>
  <r>
    <d v="2025-02-23T00:00:00"/>
    <s v="COVERGIRL.MAXIM.COM SAN ANTONIO         TX"/>
    <n v="10"/>
    <s v="NT_RPNNDS1P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0540279615228'"/>
    <s v="Business Services-Office Supplies"/>
    <s v="AMEXPLATINUM"/>
    <x v="3"/>
  </r>
  <r>
    <d v="2025-02-23T00:00:00"/>
    <s v="UBER"/>
    <n v="34.380000000000003"/>
    <s v="24Y6B7CA   GMSCE7WJ         10001_x000a_Uber Trip_x000a_help.uber.com_x000a_CA_x000a_GMSCE7WJ         10001"/>
    <s v="Uber Trip           help.uber.com       CA"/>
    <s v="1455 MARKET ST_x000a_4TH FLOOR"/>
    <s v="SAN FRANCISCO_x000a_CA"/>
    <n v="94103"/>
    <s v="UNITED STATES"/>
    <s v="'320250540284170918'"/>
    <s v="Transportation-Taxis &amp; Coach"/>
    <s v="DELTARESERVE"/>
    <x v="2"/>
  </r>
  <r>
    <d v="2025-02-23T00:00:00"/>
    <s v="SILVERMAN LAW OFFICEHELENA              MT"/>
    <n v="500"/>
    <s v="73011005054 JULIE@MTTAXLAW.COM_x000a_SILVERMAN LAW OFFICE PLLC 899000003849_x000a_HELENA_x000a_MT_x000a_JULIE@MTTAXLAW.COM"/>
    <s v="SILVERMAN LAW OFFICEHELENA              MT"/>
    <s v="600 LOLA ST"/>
    <s v="HELENA_x000a_MT"/>
    <n v="59601"/>
    <s v="UNITED STATES"/>
    <s v="'320250550306884431'"/>
    <s v="Business Services-Legal Services"/>
    <s v="DELTARESERVE"/>
    <x v="10"/>
  </r>
  <r>
    <d v="2025-02-23T00:00:00"/>
    <s v="DUANE READE #14468 0NEW YORK            NY"/>
    <n v="41.06"/>
    <s v="99999995055NONE             10003_x000a_PHARMACIES_x000a_DUANE READE #14468 000014468_x000a_NEW YORK_x000a_NY_x000a_PHARMACIES_x000a_NONE             10003"/>
    <s v="DUANE READE #14468 0NEW YORK            NY"/>
    <s v="1 UN SQ SOUTH"/>
    <s v="NEW YORK_x000a_NY"/>
    <n v="10003"/>
    <s v="UNITED STATES"/>
    <s v="'320250550317478332'"/>
    <s v="Merchandise &amp; Supplies-Pharmacies"/>
    <s v="AMEXPLATINUM"/>
    <x v="3"/>
  </r>
  <r>
    <d v="2025-02-23T00:00:00"/>
    <s v="DNH*GODADDY#36045492480-505-8855        AZ"/>
    <n v="2.17"/>
    <s v="3604549220 0000000000000003685281_x000a_BUSINESS SERVICES_x000a_DNH*GODADDY#3604549220 0000_x000a_480-505-8855_x000a_AZ_x000a_BUSINESS SERVICES_x000a_0000000000000003685281"/>
    <s v="DNH*GODADDY#36045492480-505-8855        AZ"/>
    <s v="2155 EAST GODADDY WAY"/>
    <s v="TEMPE_x000a_AZ"/>
    <n v="85284"/>
    <s v="UNITED STATES"/>
    <s v="'320250550319101748'"/>
    <s v="Other-Miscellaneous"/>
    <s v="DELTARESERVE"/>
    <x v="1"/>
  </r>
  <r>
    <d v="2025-02-23T00:00:00"/>
    <s v="DNH*GODADDY#36046239Tempe               AZ"/>
    <n v="94.32"/>
    <s v="3604623941 4805058855_x000a_COM Domain Name Registration - 1 Year_x000a_IO Domain Name Registration - 1  Year_x000a_ORG Domain Name Registration - 1 Year_x000a_Full Domain Protection_x000a_DNH*GODADDY#3604623941_x000a_Tempe_x000a_AZ_x000a_COM Domain Name Registration - 1 Year_x000a_IO Domain Name Registration - 1  Year_x000a_ORG Domain Name Registration - 1 Year_x000a_Full Domain Protection_x000a_4805058855"/>
    <s v="DNH*GODADDY#36046239Tempe               AZ"/>
    <s v="2155 EAST GODADDY WAY"/>
    <s v="TEMPE_x000a_AZ"/>
    <n v="85284"/>
    <s v="UNITED STATES"/>
    <s v="'320250550323519103'"/>
    <s v="Other-Miscellaneous"/>
    <s v="DELTARESERVE"/>
    <x v="1"/>
  </r>
  <r>
    <d v="2025-02-24T00:00:00"/>
    <s v="ONLINE PAYMENT - THANK YOU"/>
    <n v="-7500"/>
    <s v="ONLINE PAYMENT - THANK YOU"/>
    <s v="ONLINE PAYMENT - THANK YOU"/>
    <m/>
    <m/>
    <m/>
    <m/>
    <s v="'320250550303696282'"/>
    <m/>
    <s v="AMEXPLATINUM"/>
    <x v="0"/>
  </r>
  <r>
    <d v="2025-02-24T00:00:00"/>
    <s v="ONEMED-FIDI FULTON SNEW YORK            NY"/>
    <n v="33.979999999999997"/>
    <s v="73011385056 ADMIN@ONEMEDICAL.COM_x000a_ONEMED-FIDI FULTON STREET 000875000140_x000a_NEW YORK_x000a_NY_x000a_ADMIN@ONEMEDICAL.COM"/>
    <s v="ONEMED-FIDI FULTON SNEW YORK            NY"/>
    <s v="185 BROADWAY_x000a_2ND FLOOR"/>
    <s v="NEW YORK_x000a_NY"/>
    <n v="10038"/>
    <s v="UNITED STATES"/>
    <s v="'320250560350715238'"/>
    <s v="Business Services-Health Care Services"/>
    <s v="AMEXPLATINUM"/>
    <x v="8"/>
  </r>
  <r>
    <d v="2025-02-25T00:00:00"/>
    <s v="FACTOR75            BATAVIA             IL"/>
    <n v="78.95"/>
    <s v="MR029200174 18885735727_x000a_FACTOR75_x000a_BATAVIA_x000a_IL_x000a_18885735727"/>
    <s v="FACTOR75            BATAVIA             IL"/>
    <s v="1853 SUNCAST LN"/>
    <s v="BATAVIA_x000a_IL"/>
    <n v="60510"/>
    <s v="UNITED STATES"/>
    <s v="'320250560336546773'"/>
    <s v="Merchandise &amp; Supplies-Groceries"/>
    <s v="AMEXPLATINUM"/>
    <x v="3"/>
  </r>
  <r>
    <d v="2025-02-25T00:00:00"/>
    <s v="WEGMANS ASTOR PLACE NEW YORK            NY"/>
    <n v="44.5"/>
    <s v="W15608102565854293656_x000a_WEGMANS ASTOR PLACE 156 000000156_x000a_NEW YORK_x000a_NY_x000a_5854293656"/>
    <s v="WEGMANS ASTOR PLACE NEW YORK            NY"/>
    <s v="770 BROADWAY"/>
    <s v="NEW YORK_x000a_NY"/>
    <n v="10003"/>
    <s v="UNITED STATES"/>
    <s v="'320250570365419943'"/>
    <s v="Merchandise &amp; Supplies-Groceries"/>
    <s v="AMEXPLATINUM"/>
    <x v="3"/>
  </r>
  <r>
    <d v="2025-02-26T00:00:00"/>
    <s v="AMAZON MUSIC*CX6QP8C888-802-3080        WA"/>
    <n v="9.99"/>
    <s v="2B5F855IBUF DIGITAL_x000a_AMAZON MUSIC*CX6QP8C03_x000a_888-802-3080_x000a_WA_x000a_DIGITAL"/>
    <s v="AMAZON MUSIC*CX6QP8C888-802-3080        WA"/>
    <s v="1512 2ND AVE"/>
    <s v="SEATTLE_x000a_WA"/>
    <s v="98101-1508"/>
    <s v="UNITED STATES"/>
    <s v="'320250570356307359'"/>
    <s v="Merchandise &amp; Supplies-Internet Purchase"/>
    <s v="DELTARESERVE"/>
    <x v="3"/>
  </r>
  <r>
    <d v="2025-02-26T00:00:00"/>
    <s v="UBER"/>
    <n v="51.51"/>
    <s v="K4RXT9RV   ZOXTY4EH         10001_x000a_Uber Trip_x000a_help.uber.com_x000a_CA_x000a_ZOXTY4EH         10001"/>
    <s v="Uber Trip           help.uber.com       CA"/>
    <s v="1455 MARKET ST_x000a_4TH FLOOR"/>
    <s v="SAN FRANCISCO_x000a_CA"/>
    <n v="94103"/>
    <s v="UNITED STATES"/>
    <s v="'320250570358554807'"/>
    <s v="Transportation-Taxis &amp; Coach"/>
    <s v="DELTARESERVE"/>
    <x v="2"/>
  </r>
  <r>
    <d v="2025-02-26T00:00:00"/>
    <s v="PRET A MANGER US0092NEW YORK            NY"/>
    <n v="4.05"/>
    <s v="00049106   49106            10038_x000a_PRET A MANGER US0092 FU_x000a_PRET A MANGER US0092 US00_x000a_NEW YORK_x000a_NY_x000a_PRET A MANGER US0092 FU_x000a_49106            10038"/>
    <s v="PRET A MANGER US0092NEW YORK            NY"/>
    <s v="147 FULTON ST"/>
    <s v="NEW YORK_x000a_NY"/>
    <n v="10038"/>
    <s v="UNITED STATES"/>
    <s v="'320250580385992352'"/>
    <s v="Restaurant-Bar &amp; CafÃ©"/>
    <s v="AMEXPLATINUM"/>
    <x v="3"/>
  </r>
  <r>
    <d v="2025-02-26T00:00:00"/>
    <s v="ERACTOLL 75W9NM     877-860-1258        NY"/>
    <n v="9.15"/>
    <s v="T188166180  877-860-1258_x000a_ERACTOLL 75W9NM_x000a_877-860-1258_x000a_NY_x000a_Description : ERACTOLL 75W9NM Price : 0.00_x000a_877-860-1258"/>
    <s v="ERACTOLL 75W9NM     877-860-1258        NY"/>
    <s v="-"/>
    <e v="#NAME?"/>
    <n v="11577"/>
    <s v="UNITED STATES"/>
    <s v="'320250580390368830'"/>
    <s v="Transportation-Tolls &amp; Fees"/>
    <s v="DELTARESERVE"/>
    <x v="9"/>
  </r>
  <r>
    <d v="2025-02-26T00:00:00"/>
    <s v="NYCT PAYGO          NEW YORK            NY"/>
    <n v="2.9"/>
    <s v="00797024511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0580394672183'"/>
    <s v="Transportation-Rail Services"/>
    <s v="AMEXPLATINUM"/>
    <x v="14"/>
  </r>
  <r>
    <d v="2025-02-26T00:00:00"/>
    <s v="CALENDLY            AVONDALE ESTATES    GA"/>
    <n v="16.05"/>
    <s v="NT_RQD2DIH1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0580400578237'"/>
    <s v="Merchandise &amp; Supplies-Computer Supplies"/>
    <s v="AMEXPLATINUM"/>
    <x v="1"/>
  </r>
  <r>
    <d v="2025-02-27T00:00:00"/>
    <s v="AITUBOART           HUNGHOM             HK"/>
    <n v="15"/>
    <s v="NT_RQWO2WEA +8613810103680_x000a_AITUBOART_x000a_HUNGHOM_x000a_HK"/>
    <s v="AITUBOART           HUNGHOM             HK"/>
    <s v="&quot;ROOM A222, 3TH FLOOR, NO. 2G, HANG FUNG&quot;_x000a_HUNGHOM"/>
    <m/>
    <m/>
    <s v="HONG KONG"/>
    <s v="'320250570356381740'"/>
    <s v="Merchandise &amp; Supplies-Computer Supplies"/>
    <s v="AMEXPLATINUM"/>
    <x v="3"/>
  </r>
  <r>
    <d v="2025-02-27T00:00:00"/>
    <s v="COVERGIRL.MAXIM.COM SAN ANTONIO         TX"/>
    <n v="10"/>
    <s v="NT_RQTO3WCA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0580381877071'"/>
    <s v="Business Services-Office Supplies"/>
    <s v="AMEXPLATINUM"/>
    <x v="3"/>
  </r>
  <r>
    <d v="2025-02-27T00:00:00"/>
    <s v="WIX.COM             SAN FRANCISCO       CA"/>
    <n v="218.28"/>
    <s v="4T86560V    14156399034_x000a_WIX.COM_x000a_SAN FRANCISCO_x000a_CA_x000a_14156399034"/>
    <s v="WIX.COM             SAN FRANCISCO       CA"/>
    <s v="500 TERRY A FRANCOIS BLVD STE 600"/>
    <s v="SAN FRANCISCO_x000a_CA"/>
    <n v="94158"/>
    <s v="UNITED STATES"/>
    <s v="'320250580385543518'"/>
    <s v="Merchandise &amp; Supplies-Internet Purchase"/>
    <s v="DELTARESERVE"/>
    <x v="1"/>
  </r>
  <r>
    <d v="2025-02-27T00:00:00"/>
    <s v="PETCO 3741 0374     NEW YORK            NY"/>
    <n v="109.78"/>
    <s v="35300009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0590421043242'"/>
    <s v="Merchandise &amp; Supplies-General Retail"/>
    <s v="AMEXPLATINUM"/>
    <x v="3"/>
  </r>
  <r>
    <d v="2025-02-27T00:00:00"/>
    <s v="ERACTOLL 71MMFD     877-860-1258        NY"/>
    <n v="2.25"/>
    <s v="T188228939  877-860-1258_x000a_ERACTOLL 71MMFD_x000a_877-860-1258_x000a_NY_x000a_Description : ERACTOLL 71MMFD Price : 0.00_x000a_877-860-1258"/>
    <s v="ERACTOLL 71MMFD     877-860-1258        NY"/>
    <s v="-"/>
    <e v="#NAME?"/>
    <n v="11577"/>
    <s v="UNITED STATES"/>
    <s v="'320250590422322582'"/>
    <s v="Transportation-Tolls &amp; Fees"/>
    <s v="DELTARESERVE"/>
    <x v="9"/>
  </r>
  <r>
    <d v="2025-02-27T00:00:00"/>
    <s v="CVS/PHARMACY #10612 MANHATTAN           NY"/>
    <n v="27"/>
    <s v="10184074    8007467287_x000a_CVS/PHARMACY #10612 000010612_x000a_MANHATTAN_x000a_NY_x000a_Description : PHARMACIES Price : 0.27_x000a_8007467287"/>
    <s v="CVS/PHARMACY #10612 MANHATTAN           NY"/>
    <s v="5TH AVE 14TH ST_x000a_SEC"/>
    <s v="MANHATTAN_x000a_NY"/>
    <n v="10011"/>
    <s v="UNITED STATES"/>
    <s v="'320250590422616253'"/>
    <s v="Merchandise &amp; Supplies-Pharmacies"/>
    <s v="AMEXPLATINUM"/>
    <x v="3"/>
  </r>
  <r>
    <d v="2025-02-27T00:00:00"/>
    <s v="DELMONICOS 068880022NEW YORK            NY"/>
    <n v="700"/>
    <s v="73011005059 JLICUL@ICLOUD.COM_x000a_DELMONICOS 068880022170850_x000a_NEW YORK_x000a_NY_x000a_JLICUL@ICLOUD.COM"/>
    <s v="DELMONICOS 068880022NEW YORK            NY"/>
    <s v="56 BEAVER ST_x000a_FRNT A"/>
    <s v="NEW YORK_x000a_NY"/>
    <n v="10004"/>
    <s v="UNITED STATES"/>
    <s v="'320250590432004721'"/>
    <s v="Restaurant-Restaurant"/>
    <s v="DELTARESERVE"/>
    <x v="11"/>
  </r>
  <r>
    <d v="2025-02-28T00:00:00"/>
    <s v="THE CLEANERS IO, LLCNew York            NY"/>
    <n v="80.58"/>
    <s v="d8d5DazIRNg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590409683601'"/>
    <s v="Transportation-Taxis &amp; Coach"/>
    <s v="AMEXPLATINUM"/>
    <x v="8"/>
  </r>
  <r>
    <d v="2025-02-28T00:00:00"/>
    <s v="UBER"/>
    <n v="68.52"/>
    <s v="606AFVSB   SA4VRHC7         10004_x000a_Uber Trip_x000a_help.uber.com_x000a_CA_x000a_SA4VRHC7         10004"/>
    <s v="Uber Trip           help.uber.com       CA"/>
    <s v="1455 MARKET ST_x000a_4TH FLOOR"/>
    <s v="SAN FRANCISCO_x000a_CA"/>
    <n v="94103"/>
    <s v="UNITED STATES"/>
    <s v="'320250590414947467'"/>
    <s v="Transportation-Taxis &amp; Coach"/>
    <s v="DELTARESERVE"/>
    <x v="2"/>
  </r>
  <r>
    <d v="2025-02-28T00:00:00"/>
    <s v="PAYPAL *QUEFAMILYTR 4029357733          AU"/>
    <n v="198.14"/>
    <s v="10173998201 4029357733_x000a_PAYPAL *QUEFAMILYTR_x000a_4029357733_x000a_AU_x000a_Description : CONSULTING SERVICES Price : 0.00_x000a_4029357733"/>
    <s v="PAYPAL *QUEFAMILYTR 4029357733          AU"/>
    <s v="."/>
    <s v="San Jose_x000a_CA"/>
    <n v="95131"/>
    <s v="UNITED STATES"/>
    <s v="'320250600453679816'"/>
    <s v="Business Services-Internet Services"/>
    <s v="DELTARESERVE"/>
    <x v="15"/>
  </r>
  <r>
    <d v="2025-02-28T00:00:00"/>
    <s v="COVERGIRL.MAXIM.COM SAN ANTONIO         TX"/>
    <n v="20"/>
    <s v="CH_3QXZDS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0600459468406'"/>
    <s v="Business Services-Office Supplies"/>
    <s v="AMEXPLATINUM"/>
    <x v="3"/>
  </r>
  <r>
    <d v="2025-03-01T00:00:00"/>
    <s v="VERIZON WRLS RCCRNG PMTS"/>
    <n v="230.78"/>
    <s v="N0000003897VZWRLSS*APOCC_x000a_VZW APO_x000a_800-922-0204_x000a_FL_x000a_VZWRLSS*APOCC"/>
    <s v="VZW APO             800-922-0204        FL"/>
    <s v="600 COOLIDGE DR"/>
    <s v="FOLSOM_x000a_CA"/>
    <s v="95630-3155"/>
    <s v="UNITED STATES"/>
    <s v="'320250600449247377'"/>
    <s v="Communications-Mobile Telecom"/>
    <s v="DELTARESERVE"/>
    <x v="5"/>
  </r>
  <r>
    <d v="2025-03-01T00:00:00"/>
    <s v="TST* LADUREE - HUDSONEW YORK            NY"/>
    <n v="5.5"/>
    <s v="21105175061 BAKERY_x000a_TST* LADUREE - HUDSON YAR 00079611_x000a_NEW YORK_x000a_NY_x000a_BAKERY"/>
    <s v="TST* LADUREE - HUDSONEW YORK            NY"/>
    <s v="396 WEST BROADWAY"/>
    <s v="NEW YORK_x000a_NY"/>
    <n v="10012"/>
    <s v="UNITED STATES"/>
    <s v="'320250610475982753'"/>
    <s v="Merchandise &amp; Supplies-Groceries"/>
    <s v="AMEXPLATINUM"/>
    <x v="3"/>
  </r>
  <r>
    <d v="2025-03-01T00:00:00"/>
    <s v="NYCT PAYGO          NEW YORK            NY"/>
    <n v="2.9"/>
    <s v="00797780564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0610478050143'"/>
    <s v="Transportation-Rail Services"/>
    <s v="AMEXPLATINUM"/>
    <x v="14"/>
  </r>
  <r>
    <d v="2025-03-01T00:00:00"/>
    <s v="JACK'S COFFEE       NEW YORK            NY"/>
    <n v="13.07"/>
    <s v="79937912   3760627          10001_x000a_RESTAURANT_x000a_JACK'S COFFEE_x000a_NEW YORK_x000a_NY_x000a_RESTAURANT_x000a_3760627          10001"/>
    <s v="JACK'S COFFEE       NEW YORK            NY"/>
    <s v="500 WEST 33RD ST"/>
    <s v="NEW YORK_x000a_NY"/>
    <n v="10001"/>
    <s v="UNITED STATES"/>
    <s v="'320250610484151013'"/>
    <s v="Restaurant-Bar &amp; CafÃ©"/>
    <s v="AMEXPLATINUM"/>
    <x v="3"/>
  </r>
  <r>
    <d v="2025-03-01T00:00:00"/>
    <s v="Amazon Web Services AWS.Amazon.com      WA"/>
    <n v="1438.18"/>
    <s v="4H9R9HKA43E WEB SERVICES_x000a_Amazon Web Services_x000a_AWS.Amazon.com_x000a_WA_x000a_WEB SERVICES"/>
    <s v="Amazon Web Services AWS.Amazon.com      WA"/>
    <s v="1512 2ND AVE"/>
    <s v="SEATTLE_x000a_WA"/>
    <n v="98101"/>
    <s v="UNITED STATES"/>
    <s v="'320250610484878454'"/>
    <s v="Merchandise &amp; Supplies-Internet Purchase"/>
    <s v="AMEXPLATINUM"/>
    <x v="12"/>
  </r>
  <r>
    <d v="2025-03-01T00:00:00"/>
    <s v="BS* BREAKINGSOUNDNYCWOODLAND HILLS      CA"/>
    <n v="65.37"/>
    <s v="CH_3QXZS2E3 +13237459427_x000a_BS* BREAKINGSOUNDNYC B_x000a_WOODLAND HILLS_x000a_CA_x000a_+13237459427"/>
    <s v="BS* BREAKINGSOUNDNYCWOODLAND HILLS      CA"/>
    <s v="16255 VENTURA BLVD_x000a_SUITE 1240"/>
    <s v="ENCINO_x000a_CA"/>
    <n v="91436"/>
    <s v="UNITED STATES"/>
    <s v="'320250610488680169'"/>
    <s v="Entertainment-General Events"/>
    <s v="AMEXPLATINUM"/>
    <x v="3"/>
  </r>
  <r>
    <d v="2025-03-02T00:00:00"/>
    <s v="STEWARTS ICE CREAM  SARATOGA SPRINGS    NY"/>
    <n v="67.040000000000006"/>
    <s v="00200100112 5185811201_x000a_STEWARTS ICE CREAM_x000a_SARATOGA SPRINGS_x000a_NY_x000a_Description : AUTOMATED FUEL Price : 0.6704_x000a_5185811201"/>
    <s v="STEWARTS ICE CREAM  SARATOGA SPRINGS    NY"/>
    <s v="402 LK AVE"/>
    <s v="SARATOGA SPRINGS_x000a_NY"/>
    <n v="12866"/>
    <s v="UNITED STATES"/>
    <s v="'320250620506004816'"/>
    <s v="Transportation-Fuel"/>
    <s v="DELTARESERVE"/>
    <x v="7"/>
  </r>
  <r>
    <d v="2025-03-02T00:00:00"/>
    <s v="TOPTAL.COM          SAN FRANCISCO       CA"/>
    <n v="79"/>
    <s v="NT_RSCFYEPI +18886043188_x000a_TOPTAL.COM_x000a_SAN FRANCISCO_x000a_CA_x000a_+18886043188"/>
    <s v="TOPTAL.COM          SAN FRANCISCO       CA"/>
    <s v="548 MARKET ST 36879"/>
    <s v="SAN FRANCISCO_x000a_CA"/>
    <n v="94104"/>
    <s v="UNITED STATES"/>
    <s v="'320250620513925731'"/>
    <s v="Merchandise &amp; Supplies-Computer Supplies"/>
    <s v="DELTARESERVE"/>
    <x v="6"/>
  </r>
  <r>
    <d v="2025-03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0630530890650'"/>
    <s v="Business Services-Other Services"/>
    <s v="AMEXPLATINUM"/>
    <x v="8"/>
  </r>
  <r>
    <d v="2025-03-03T00:00:00"/>
    <s v="ERACTOLL 75W9NM     877-860-1258        NY"/>
    <n v="2.25"/>
    <s v="T188640362  877-860-1258_x000a_ERACTOLL 75W9NM_x000a_877-860-1258_x000a_NY_x000a_Description : ERACTOLL 75W9NM Price : 0.00_x000a_877-860-1258"/>
    <s v="ERACTOLL 75W9NM     877-860-1258        NY"/>
    <s v="-"/>
    <e v="#NAME?"/>
    <n v="11577"/>
    <s v="UNITED STATES"/>
    <s v="'320250630534244353'"/>
    <s v="Transportation-Tolls &amp; Fees"/>
    <s v="DELTARESERVE"/>
    <x v="9"/>
  </r>
  <r>
    <d v="2025-03-03T00:00:00"/>
    <s v="CRONUS USA INC.     PUYALLUP            WA"/>
    <n v="2145"/>
    <s v="CH_3QYMJULG +12532418032_x000a_CRONUS USA INC._x000a_PUYALLUP_x000a_WA_x000a_+12532418032"/>
    <s v="CRONUS USA INC.     PUYALLUP            WA"/>
    <s v="4227 MERIDIAN AVE EAST_x000a_C446"/>
    <s v="PUYALLUP_x000a_WA"/>
    <n v="98373"/>
    <s v="UNITED STATES"/>
    <s v="'320250630539899960'"/>
    <s v="Other-Miscellaneous"/>
    <s v="DELTARESERVE"/>
    <x v="4"/>
  </r>
  <r>
    <d v="2025-03-04T00:00:00"/>
    <s v="PEACOCK             NEW YORK CITY       NY"/>
    <n v="7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0630525612280'"/>
    <s v="Communications-Cable &amp; Internet Comm"/>
    <s v="DELTARESERVE"/>
    <x v="3"/>
  </r>
  <r>
    <d v="2025-03-04T00:00:00"/>
    <s v="FACTOR75            BATAVIA             IL"/>
    <n v="78.95"/>
    <s v="MR029210321 18885735727_x000a_FACTOR75_x000a_BATAVIA_x000a_IL_x000a_18885735727"/>
    <s v="FACTOR75            BATAVIA             IL"/>
    <s v="1853 SUNCAST LN"/>
    <s v="BATAVIA_x000a_IL"/>
    <n v="60510"/>
    <s v="UNITED STATES"/>
    <s v="'320250630530081141'"/>
    <s v="Merchandise &amp; Supplies-Groceries"/>
    <s v="AMEXPLATINUM"/>
    <x v="3"/>
  </r>
  <r>
    <d v="2025-03-04T00:00:00"/>
    <s v="DELTA AIR LINES"/>
    <n v="11.2"/>
    <s v="18002211212_x000a_ADDITIONAL COLLECTION_x000a_DELTA AIR LINES_x000a_ATLANTA_x000a_Carrier : DELTA AIR LINES_x000a_Passenger Name : NICOLA/CRISTIAN_x000a_Ticket Number : 0060908797628_x000a_Departure Day : 04/05_x000a_Additional Info : ADDITIONAL COLLECTION_x000a_From : N.Y. J F KENNEDY I_x000a_To : LAS VEGAS MCCARRAN_x000a_From : LAS VEGAS MCCARRAN_x000a_To : N.Y. J F KENNEDY I"/>
    <s v="DELTA AIR LINES     ATLANTA"/>
    <s v="ATLANTA AIRPORT"/>
    <s v="ATLANTA_x000a_GA"/>
    <n v="30344"/>
    <s v="UNITED STATES"/>
    <s v="'320250630536509337'"/>
    <s v="Travel-Airline"/>
    <s v="DELTARESERVE"/>
    <x v="16"/>
  </r>
  <r>
    <d v="2025-03-04T00:00:00"/>
    <s v="DELTA AIR LINES"/>
    <n v="11.2"/>
    <s v="18002211212_x000a_ADDITIONAL COLLECTION_x000a_DELTA AIR LINES_x000a_ATLANTA_x000a_Carrier : DELTA AIR LINES_x000a_Passenger Name : DALESSANDRO/KYLIE_x000a_Ticket Number : 0060908225419_x000a_Departure Day : 04/09_x000a_Additional Info : ADDITIONAL COLLECTION_x000a_From : N.Y. J F KENNEDY I_x000a_To : LAS VEGAS MCCARRAN_x000a_From : LAS VEGAS MCCARRAN_x000a_To : N.Y. J F KENNEDY I"/>
    <s v="DELTA AIR LINES     ATLANTA"/>
    <s v="ATLANTA AIRPORT"/>
    <s v="ATLANTA_x000a_GA"/>
    <n v="30344"/>
    <s v="UNITED STATES"/>
    <s v="'320250630536509763'"/>
    <s v="Travel-Airline"/>
    <s v="DELTARESERVE"/>
    <x v="16"/>
  </r>
  <r>
    <d v="2025-03-04T00:00:00"/>
    <s v="A1010BUSD01         MSBILL.INFO"/>
    <n v="26.76"/>
    <s v="Z62FZJ9N0ZGZ62FZJ9N0ZGM     98052_x000a_A1010BUSD01_x000a_MSBILL.INFO_x000a_Z62FZJ9N0ZGM     98052"/>
    <s v="A1010BUSD01         MSBILL.INFO"/>
    <s v="8TH FLOOR_x000a_91 MAIN ST"/>
    <s v="DALLAS_x000a_TX"/>
    <n v="75202"/>
    <s v="UNITED STATES"/>
    <s v="'320250630542647866'"/>
    <s v="Other-Miscellaneous"/>
    <s v="AMEXPLATINUM"/>
    <x v="1"/>
  </r>
  <r>
    <d v="2025-03-04T00:00:00"/>
    <s v="A1010BUSD01         MSBILL.INFO"/>
    <n v="32.07"/>
    <s v="Z634ZJL8JTWZ634ZJL8JTWZ     98052_x000a_A1010BUSD01_x000a_MSBILL.INFO_x000a_Z634ZJL8JTWZ     98052"/>
    <s v="A1010BUSD01         MSBILL.INFO"/>
    <s v="8TH FLOOR_x000a_91 MAIN ST"/>
    <s v="DALLAS_x000a_TX"/>
    <n v="75202"/>
    <s v="UNITED STATES"/>
    <s v="'320250630542653034'"/>
    <s v="Other-Miscellaneous"/>
    <s v="AMEXPLATINUM"/>
    <x v="1"/>
  </r>
  <r>
    <d v="2025-03-04T00:00:00"/>
    <s v="A1010BUSD01         MSBILL.INFO"/>
    <n v="21.4"/>
    <s v="Z631ZJ919A8Z631ZJ919A8F     98052_x000a_A1010BUSD01_x000a_MSBILL.INFO_x000a_Z631ZJ919A8F     98052"/>
    <s v="A1010BUSD01         MSBILL.INFO"/>
    <s v="8TH FLOOR_x000a_91 MAIN ST"/>
    <s v="DALLAS_x000a_TX"/>
    <n v="75202"/>
    <s v="UNITED STATES"/>
    <s v="'320250630542653519'"/>
    <s v="Other-Miscellaneous"/>
    <s v="AMEXPLATINUM"/>
    <x v="1"/>
  </r>
  <r>
    <d v="2025-03-04T00:00:00"/>
    <s v="A1010BUSD01         MSBILL.INFO"/>
    <n v="59.92"/>
    <s v="Z62DZJ6Z68ZZ62DZJ6Z68Z3     98052_x000a_A1010BUSD01_x000a_MSBILL.INFO_x000a_Z62DZJ6Z68Z3     98052"/>
    <s v="A1010BUSD01         MSBILL.INFO"/>
    <s v="8TH FLOOR_x000a_91 MAIN ST"/>
    <s v="DALLAS_x000a_TX"/>
    <n v="75202"/>
    <s v="UNITED STATES"/>
    <s v="'320250630542654789'"/>
    <s v="Other-Miscellaneous"/>
    <s v="AMEXPLATINUM"/>
    <x v="1"/>
  </r>
  <r>
    <d v="2025-03-04T00:00:00"/>
    <s v="A1010BUSD01         REDMOND"/>
    <n v="21.4"/>
    <s v="Z632ZJKONN9Z632ZJKONN90     98052_x000a_A1010BUSD01_x000a_REDMOND_x000a_Z632ZJKONN90     98052"/>
    <s v="A1010BUSD01         REDMOND"/>
    <s v="8TH FLOOR_x000a_91 MAIN ST"/>
    <s v="DALLAS_x000a_TX"/>
    <n v="75202"/>
    <s v="UNITED STATES"/>
    <s v="'320250630542677562'"/>
    <s v="Other-Miscellaneous"/>
    <s v="AMEXPLATINUM"/>
    <x v="1"/>
  </r>
  <r>
    <d v="2025-03-04T00:00:00"/>
    <s v="A1010BUSD01         MSBILL.INFO"/>
    <n v="289.06"/>
    <s v="Z632ZJLSM8HZ632ZJLSM8H2     98052_x000a_A1010BUSD01_x000a_MSBILL.INFO_x000a_Z632ZJLSM8H2     98052"/>
    <s v="A1010BUSD01         MSBILL.INFO"/>
    <s v="8TH FLOOR_x000a_91 MAIN ST"/>
    <s v="DALLAS_x000a_TX"/>
    <n v="75202"/>
    <s v="UNITED STATES"/>
    <s v="'320250630542684618'"/>
    <s v="Other-Miscellaneous"/>
    <s v="AMEXPLATINUM"/>
    <x v="1"/>
  </r>
  <r>
    <d v="2025-03-04T00:00:00"/>
    <s v="A1010BUSD01         MSBILL.INFO"/>
    <n v="24.62"/>
    <s v="Z62HZIMFQWDZ62HZIMFQWD7     98052_x000a_A1010BUSD01_x000a_MSBILL.INFO_x000a_Z62HZIMFQWD7     98052"/>
    <s v="A1010BUSD01         MSBILL.INFO"/>
    <s v="8TH FLOOR_x000a_91 MAIN ST"/>
    <s v="DALLAS_x000a_TX"/>
    <n v="75202"/>
    <s v="UNITED STATES"/>
    <s v="'320250630542724254'"/>
    <s v="Other-Miscellaneous"/>
    <s v="DELTARESERVE"/>
    <x v="1"/>
  </r>
  <r>
    <d v="2025-03-04T00:00:00"/>
    <s v="The Venetian/Palazzo7024141000          NV"/>
    <n v="313.77999999999997"/>
    <s v="11797925   11797925         89109_x000a_NONE_x000a_The Venetian/Palazzo_x000a_7024141000_x000a_NV_x000a_NONE_x000a_11797925         89109"/>
    <s v="The Venetian/Palazzo7024141000          NV"/>
    <s v="ATTN TREASURY_x000a_DEPARTMENT 3355 LAS VEGAS BLVD S"/>
    <s v="LAS VEGAS_x000a_NV"/>
    <s v="89109-8941"/>
    <s v="UNITED STATES"/>
    <s v="'320250630545444341'"/>
    <s v="Travel-Lodging"/>
    <s v="DELTARESERVE"/>
    <x v="17"/>
  </r>
  <r>
    <d v="2025-03-04T00:00:00"/>
    <s v="ENTERPRISE RENT-A-CANEW YORK            NY"/>
    <n v="653.32000000000005"/>
    <s v="025299161   212-5332900_x000a_ENTERPRISE RENT-A-CAR_x000a_NEW YORK_x000a_NY"/>
    <s v="ENTERPRISE RENT-A-CANEW YORK            NY"/>
    <s v="221 THOMPSON ST"/>
    <s v="NEW YORK_x000a_NY"/>
    <n v="10012"/>
    <s v="UNITED STATES"/>
    <s v="'320250640562212310'"/>
    <s v="Travel-Vehicle Rental"/>
    <s v="DELTARESERVE"/>
    <x v="9"/>
  </r>
  <r>
    <d v="2025-03-04T00:00:00"/>
    <s v="TST* FRENCHETTE RESTNEW YORK            NY"/>
    <n v="600"/>
    <s v="00143306023 RESTAURANT_x000a_TST* FRENCHETTE RESTAURAN 00143306_x000a_NEW YORK_x000a_NY_x000a_RESTAURANT"/>
    <s v="TST* FRENCHETTE RESTNEW YORK            NY"/>
    <s v="241 WEST BROADWAY"/>
    <s v="NEW YORK_x000a_NY"/>
    <n v="10013"/>
    <s v="UNITED STATES"/>
    <s v="'320250640563831317'"/>
    <s v="Restaurant-Restaurant"/>
    <s v="DELTARESERVE"/>
    <x v="11"/>
  </r>
  <r>
    <d v="2025-03-05T00:00:00"/>
    <s v="A1010BUSD01         MSBILL.INFO"/>
    <n v="24.62"/>
    <s v="Z62YZL96L5GZ62YZL96L5GG     98052_x000a_A1010BUSD01_x000a_MSBILL.INFO_x000a_Z62YZL96L5GG     98052"/>
    <s v="A1010BUSD01         MSBILL.INFO"/>
    <s v="8TH FLOOR_x000a_91 MAIN ST"/>
    <s v="DALLAS_x000a_TX"/>
    <n v="75202"/>
    <s v="UNITED STATES"/>
    <s v="'320250630545249819'"/>
    <s v="Other-Miscellaneous"/>
    <s v="DELTARESERVE"/>
    <x v="1"/>
  </r>
  <r>
    <d v="2025-03-05T00:00:00"/>
    <s v="GITHUB, INC.        SAN FRANCISCO       CA"/>
    <n v="4"/>
    <s v="NT_RT8SN7O7 +18774484820_x000a_GITHUB, INC._x000a_SAN FRANCISCO_x000a_CA_x000a_+18774484820"/>
    <s v="GITHUB, INC.        SAN FRANCISCO       CA"/>
    <s v="275 BRANNAN ST"/>
    <s v="SAN FRANCISCO_x000a_CA"/>
    <n v="94107"/>
    <s v="UNITED STATES"/>
    <s v="'320250640552640533'"/>
    <s v="Other-Miscellaneous"/>
    <s v="DELTARESERVE"/>
    <x v="1"/>
  </r>
  <r>
    <d v="2025-03-05T00:00:00"/>
    <s v="UBER"/>
    <n v="26.97"/>
    <s v="KWDV2BCK   3RHMAKVJ         10013_x000a_Uber Trip_x000a_help.uber.com_x000a_CA_x000a_3RHMAKVJ         10013"/>
    <s v="Uber Trip           help.uber.com       CA"/>
    <s v="1455 MARKET ST_x000a_4TH FLOOR"/>
    <s v="SAN FRANCISCO_x000a_CA"/>
    <n v="94103"/>
    <s v="UNITED STATES"/>
    <s v="'320250640554791018'"/>
    <s v="Transportation-Taxis &amp; Coach"/>
    <s v="DELTARESERVE"/>
    <x v="2"/>
  </r>
  <r>
    <d v="2025-03-05T00:00:00"/>
    <s v="TRAVEL DELAY 800-228-6855"/>
    <n v="9.9499999999999993"/>
    <s v="TKT NO. 0060908225419_x000a_TRAVEL DELAY 800-228-6855"/>
    <s v="TRAVEL DELAY 800-228-6855"/>
    <s v="3200 E CAMELBACK"/>
    <s v="PHOENIX_x000a_AZ"/>
    <n v="85016"/>
    <s v="UNITED STATES OF AMERICA (THE)"/>
    <s v="'320250640569619802'"/>
    <s v="Business Services-Insurance Services"/>
    <s v="DELTARESERVE"/>
    <x v="16"/>
  </r>
  <r>
    <d v="2025-03-05T00:00:00"/>
    <s v="TRAVEL DELAY 800-228-6855"/>
    <n v="9.9499999999999993"/>
    <s v="TKT NO. 0060908797628_x000a_TRAVEL DELAY 800-228-6855"/>
    <s v="TRAVEL DELAY 800-228-6855"/>
    <s v="3200 E CAMELBACK"/>
    <s v="PHOENIX_x000a_AZ"/>
    <n v="85016"/>
    <s v="UNITED STATES OF AMERICA (THE)"/>
    <s v="'320250640569619803'"/>
    <s v="Business Services-Insurance Services"/>
    <s v="DELTARESERVE"/>
    <x v="16"/>
  </r>
  <r>
    <d v="2025-03-05T00:00:00"/>
    <s v="BAGGAGE INSURANCE PREMIUM 800-228-6855"/>
    <n v="9.9499999999999993"/>
    <s v="TKT NO. 0060908225419_x000a_BAGGAGE INSURANCE PREMIUM 800-228-6855"/>
    <s v="BAGGAGE INSURANCE PREMIUM 800-228-6855"/>
    <s v="777 AMERICAN EXPRESSWAY_x000a_ATTN: TINA HYMAN"/>
    <s v="FT LAUDERDALE_x000a_FL"/>
    <n v="33337"/>
    <s v="UNITED STATES"/>
    <s v="'320250640569619804'"/>
    <s v="Business Services-Insurance Services"/>
    <s v="DELTARESERVE"/>
    <x v="16"/>
  </r>
  <r>
    <d v="2025-03-05T00:00:00"/>
    <s v="BAGGAGE INSURANCE PREMIUM 800-228-6855"/>
    <n v="9.9499999999999993"/>
    <s v="TKT NO. 0060908797628_x000a_BAGGAGE INSURANCE PREMIUM 800-228-6855"/>
    <s v="BAGGAGE INSURANCE PREMIUM 800-228-6855"/>
    <s v="777 AMERICAN EXPRESSWAY_x000a_ATTN: TINA HYMAN"/>
    <s v="FT LAUDERDALE_x000a_FL"/>
    <n v="33337"/>
    <s v="UNITED STATES"/>
    <s v="'320250640569619805'"/>
    <s v="Business Services-Insurance Services"/>
    <s v="DELTARESERVE"/>
    <x v="16"/>
  </r>
  <r>
    <d v="2025-03-05T00:00:00"/>
    <s v="AIRFLIGHT INSURANCE PREMIUM 800-228-6855"/>
    <n v="14"/>
    <s v="TKT NO. 0060908225419_x000a_AIRFLIGHT INSURANCE PREMIUM 800-228-6855"/>
    <s v="AIRFLIGHT INSURANCE PREMIUM 800-228-6855"/>
    <s v="P O BOX 19020"/>
    <s v="GREENBAY_x000a_WI"/>
    <n v="54307"/>
    <s v="UNITED STATES"/>
    <s v="'320250640569619806'"/>
    <s v="Business Services-Insurance Services"/>
    <s v="DELTARESERVE"/>
    <x v="16"/>
  </r>
  <r>
    <d v="2025-03-05T00:00:00"/>
    <s v="AIRFLIGHT INSURANCE PREMIUM 800-228-6855"/>
    <n v="14"/>
    <s v="TKT NO. 0060908797628_x000a_AIRFLIGHT INSURANCE PREMIUM 800-228-6855"/>
    <s v="AIRFLIGHT INSURANCE PREMIUM 800-228-6855"/>
    <s v="P O BOX 19020"/>
    <s v="GREENBAY_x000a_WI"/>
    <n v="54307"/>
    <s v="UNITED STATES"/>
    <s v="'320250640569619807'"/>
    <s v="Business Services-Insurance Services"/>
    <s v="DELTARESERVE"/>
    <x v="16"/>
  </r>
  <r>
    <d v="2025-03-05T00:00:00"/>
    <s v="CALENDLY            AVONDALE ESTATES    GA"/>
    <n v="128.4"/>
    <s v="CH_3QZQOK4Y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0640571097933'"/>
    <s v="Merchandise &amp; Supplies-Computer Supplies"/>
    <s v="DELTARESERVE"/>
    <x v="1"/>
  </r>
  <r>
    <d v="2025-03-05T00:00:00"/>
    <s v="KALL8 00089590000642SEATTLE             WA"/>
    <n v="16.87"/>
    <s v="73011005064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0650592199618'"/>
    <s v="Other-Miscellaneous"/>
    <s v="AMEXPLATINUM"/>
    <x v="5"/>
  </r>
  <r>
    <d v="2025-03-05T00:00:00"/>
    <s v="KIMBERLY MEEHAN, NP NEW YORK            NY"/>
    <n v="200"/>
    <s v="73011005065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0660618530965'"/>
    <s v="Business Services-Health Care Services"/>
    <s v="AMEXPLATINUM"/>
    <x v="3"/>
  </r>
  <r>
    <d v="2025-03-06T00:00:00"/>
    <s v="LEMONADE INSURANCE 5INTERNET            NY"/>
    <n v="11.33"/>
    <s v="UUPOT800081 HELP@LEMONADE.COM_x000a_LEMONADE INSURANCE 529657_x000a_INTERNET_x000a_NY_x000a_HELP@LEMONADE.COM"/>
    <s v="LEMONADE INSURANCE 5INTERNET            NY"/>
    <s v="5 CROSBY ST FL 3"/>
    <s v="NEW YORK_x000a_NY"/>
    <n v="10013"/>
    <s v="UNITED STATES"/>
    <s v="'320250650576014814'"/>
    <s v="Business Services-Insurance Services"/>
    <s v="AMEXPLATINUM"/>
    <x v="3"/>
  </r>
  <r>
    <d v="2025-03-06T00:00:00"/>
    <s v="UBER EATS           help.uber.com       CA"/>
    <n v="86.7"/>
    <s v="2FANJ8SF   F2NQZR6K         94103_x000a_UBER EATS_x000a_help.uber.com_x000a_CA_x000a_F2NQZR6K         94103"/>
    <s v="UBER EATS           help.uber.com       CA"/>
    <s v="1455 MARKET ST_x000a_-"/>
    <s v="SAN FRANCISCO_x000a_CA"/>
    <n v="94103"/>
    <s v="UNITED STATES"/>
    <s v="'320250650578677335'"/>
    <s v="Restaurant-Restaurant"/>
    <s v="DELTARESERVE"/>
    <x v="3"/>
  </r>
  <r>
    <d v="2025-03-06T00:00:00"/>
    <s v="SPECTRUM            855-707-7328        MO"/>
    <n v="109.99"/>
    <s v="RC134732026CABLE SVC_x000a_SPECTRUM_x000a_855-707-7328_x000a_MO_x000a_CABLE SVC"/>
    <s v="SPECTRUM            855-707-7328        MO"/>
    <s v="12405 POWERSCOURT DR"/>
    <s v="SAINT LOUIS_x000a_MO"/>
    <n v="63131"/>
    <s v="UNITED STATES"/>
    <s v="'320250650580732272'"/>
    <s v="Communications-Cable &amp; Internet Comm"/>
    <s v="AMEXPLATINUM"/>
    <x v="5"/>
  </r>
  <r>
    <d v="2025-03-06T00:00:00"/>
    <s v="PREM CAR RENTAL PROTECTION 800-326-2078"/>
    <n v="24.95"/>
    <s v="CRA025299161 03/04/2025 NEW YORK_x000a_PREM CAR RENTAL PROTECTION 800-326-2078"/>
    <s v="PREM CAR RENTAL PROTECTION 800-326-2078"/>
    <s v="200 VESEY STREET_x000a_43RD FLOOR"/>
    <s v="NEW YORK_x000a_NY"/>
    <n v="10285"/>
    <s v="UNITED STATES"/>
    <s v="'320250650594558067'"/>
    <s v="Business Services-Insurance Services"/>
    <s v="DELTARESERVE"/>
    <x v="9"/>
  </r>
  <r>
    <d v="2025-03-06T00:00:00"/>
    <s v="DNH*GODADDY#36293852Tempe               AZ"/>
    <n v="25.17"/>
    <s v="3629385225 4805058855_x000a_NET Domain Name Renewal - 1 Year recur_x000a_DNH*GODADDY#3629385225_x000a_Tempe_x000a_AZ_x000a_NET Domain Name Renewal - 1 Year recur_x000a_4805058855"/>
    <s v="DNH*GODADDY#36293852Tempe               AZ"/>
    <s v="2155 EAST GODADDY WAY"/>
    <s v="TEMPE_x000a_AZ"/>
    <n v="85284"/>
    <s v="UNITED STATES"/>
    <s v="'320250660608512403'"/>
    <s v="Other-Miscellaneous"/>
    <s v="DELTARESERVE"/>
    <x v="1"/>
  </r>
  <r>
    <d v="2025-03-06T00:00:00"/>
    <s v="CVS PHARMACY        NEW YORK            NY"/>
    <n v="42.19"/>
    <s v="10189584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0660609370474'"/>
    <s v="Merchandise &amp; Supplies-Pharmacies"/>
    <s v="AMEXPLATINUM"/>
    <x v="3"/>
  </r>
  <r>
    <d v="2025-03-06T00:00:00"/>
    <s v="CVS/PHARMACY #10612 MANHATTAN           NY"/>
    <n v="2.98"/>
    <s v="10186584   8007467287_x000a_PHARMACIES_x000a_CVS/PHARMACY #10612 000010612_x000a_MANHATTAN_x000a_NY_x000a_PHARMACIES_x000a_8007467287"/>
    <s v="CVS/PHARMACY #10612 MANHATTAN           NY"/>
    <s v="5TH AVE 14TH ST_x000a_SEC"/>
    <s v="MANHATTAN_x000a_NY"/>
    <n v="10011"/>
    <s v="UNITED STATES"/>
    <s v="'320250660611585750'"/>
    <s v="Merchandise &amp; Supplies-Pharmacies"/>
    <s v="AMEXPLATINUM"/>
    <x v="3"/>
  </r>
  <r>
    <d v="2025-03-07T00:00:00"/>
    <s v="A1010BUSD01         MSBILL.INFO"/>
    <n v="21.38"/>
    <s v="Z63AZQU2LCOZ63AZQU2LCO6     98052_x000a_A1010BUSD01_x000a_MSBILL.INFO_x000a_Z63AZQU2LCO6     98052"/>
    <s v="A1010BUSD01         MSBILL.INFO"/>
    <s v="8TH FLOOR_x000a_91 MAIN ST"/>
    <s v="DALLAS_x000a_TX"/>
    <n v="75202"/>
    <s v="UNITED STATES"/>
    <s v="'320250650595547325'"/>
    <s v="Other-Miscellaneous"/>
    <s v="DELTARESERVE"/>
    <x v="1"/>
  </r>
  <r>
    <d v="2025-03-07T00:00:00"/>
    <s v="SUNOCO 0042337601 00SLOATSBURG          NY"/>
    <n v="27.22"/>
    <s v="00567218    845-753-5091_x000a_SUNOCO 0042337601 0042_x000a_SLOATSBURG_x000a_NY_x000a_Description : Unleaded (88 octane Price : 0.00_x000a_845-753-5091"/>
    <s v="SUNOCO 0042337601 00SLOATSBURG          NY"/>
    <s v="-"/>
    <e v="#NAME?"/>
    <n v="75231"/>
    <s v="UNITED STATES"/>
    <s v="'320250670632326489'"/>
    <s v="Transportation-Fuel"/>
    <s v="DELTARESERVE"/>
    <x v="7"/>
  </r>
  <r>
    <d v="2025-03-07T00:00:00"/>
    <s v="DNH*GODADDY#36318872Tempe               AZ"/>
    <n v="134.33000000000001"/>
    <s v="3631887223 4805058855_x000a_INFO Domain Name Renewal - 1 Year recu_x000a_CO Domain Name Renewal - 1 Year recurr_x000a_SHOP Tier 1 Domain Name Registration -_x000a_DNH*GODADDY#3631887223_x000a_Tempe_x000a_AZ_x000a_INFO Domain Name Renewal - 1 Year recu_x000a_CO Domain Name Renewal - 1 Year recurr_x000a_SHOP Tier 1 Domain Name Registration -_x000a_4805058855"/>
    <s v="DNH*GODADDY#36318872Tempe               AZ"/>
    <s v="2155 EAST GODADDY WAY"/>
    <s v="TEMPE_x000a_AZ"/>
    <n v="85284"/>
    <s v="UNITED STATES"/>
    <s v="'320250670636056156'"/>
    <s v="Other-Miscellaneous"/>
    <s v="DELTARESERVE"/>
    <x v="1"/>
  </r>
  <r>
    <d v="2025-03-07T00:00:00"/>
    <s v="IONOS               www.ionos.com       PA"/>
    <n v="97.17"/>
    <s v="00587538540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0670643213103'"/>
    <s v="Merchandise &amp; Supplies-Computer Supplies"/>
    <s v="AMEXPLATINUM"/>
    <x v="1"/>
  </r>
  <r>
    <d v="2025-03-07T00:00:00"/>
    <s v="D J*WSJ             800-568-7625        NJ"/>
    <n v="41.72"/>
    <s v="P-033558940 SUBSRIPTION_x000a_D J*WSJ_x000a_800-568-7625_x000a_NJ_x000a_SUBSRIPTION"/>
    <s v="D J*WSJ             800-568-7625        NJ"/>
    <s v="4300 RTE 1 NORTH"/>
    <s v="SOUTH BRUNSWICK_x000a_NJ"/>
    <s v="08852"/>
    <s v="UNITED STATES"/>
    <s v="'320250670643796710'"/>
    <s v="Merchandise &amp; Supplies-Mail Order"/>
    <s v="AMEXPLATINUM"/>
    <x v="8"/>
  </r>
  <r>
    <d v="2025-03-07T00:00:00"/>
    <s v="ARLOTECHNOLOGIES INC408-638-3750        CA"/>
    <n v="21.39"/>
    <s v="213960831  213960831        12866_x000a_ARLOTECHNOLOGIES INC_x000a_408-638-3750_x000a_CA_x000a_213960831        12866"/>
    <s v="ARLOTECHNOLOGIES INC408-638-3750        CA"/>
    <s v="STE 200_x000a_480 N MCCARTHY BLVD"/>
    <s v="MILPITAS_x000a_CA"/>
    <n v="95035"/>
    <s v="UNITED STATES"/>
    <s v="'320250680652372500'"/>
    <s v="Merchandise &amp; Supplies-Wholesale Stores"/>
    <s v="DELTARESERVE"/>
    <x v="1"/>
  </r>
  <r>
    <d v="2025-03-08T00:00:00"/>
    <s v="ONLINE PAYMENT - THANK YOU"/>
    <n v="-10000"/>
    <s v="ONLINE PAYMENT - THANK YOU"/>
    <s v="ONLINE PAYMENT - THANK YOU"/>
    <m/>
    <m/>
    <m/>
    <m/>
    <s v="'320250670624958601'"/>
    <m/>
    <s v="DELTARESERVE"/>
    <x v="0"/>
  </r>
  <r>
    <d v="2025-03-08T00:00:00"/>
    <s v="BOND VET* BOND VET IMANHATTAN           NY"/>
    <n v="616.95000000000005"/>
    <s v="CH_3R0SIIGO +17186736763_x000a_BOND VET* BOND VET INV_x000a_MANHATTAN_x000a_NY_x000a_+17186736763"/>
    <s v="BOND VET* BOND VET IMANHATTAN           NY"/>
    <s v="111 WEST 19TH ST_x000a_4TH FLOOR"/>
    <s v="MANHATTAN_x000a_NY"/>
    <n v="10011"/>
    <s v="UNITED STATES"/>
    <s v="'320250670625571263'"/>
    <s v="Business Services-Health Care Services"/>
    <s v="AMEXPLATINUM"/>
    <x v="3"/>
  </r>
  <r>
    <d v="2025-03-08T00:00:00"/>
    <s v="ERACTOLL 75W9NM     877-860-1258        NY"/>
    <n v="9.15"/>
    <s v="T189125931  877-860-1258_x000a_ERACTOLL 75W9NM_x000a_877-860-1258_x000a_NY_x000a_Description : ERACTOLL 75W9NM Price : 0.00_x000a_877-860-1258"/>
    <s v="ERACTOLL 75W9NM     877-860-1258        NY"/>
    <s v="-"/>
    <e v="#NAME?"/>
    <n v="11577"/>
    <s v="UNITED STATES"/>
    <s v="'320250680662809009'"/>
    <s v="Transportation-Tolls &amp; Fees"/>
    <s v="DELTARESERVE"/>
    <x v="9"/>
  </r>
  <r>
    <d v="2025-03-08T00:00:00"/>
    <s v="MORRISSEYS LOUNGE ATSARATOGA SPRI       NY"/>
    <n v="63.92"/>
    <s v="73011005068392806           12866_x000a_MORRISSEYS LOUNGE AT THE 0688800216764_x000a_SARATOGA SPRI_x000a_NY_x000a_392806           12866"/>
    <s v="MORRISSEYS LOUNGE ATSARATOGA SPRI       NY"/>
    <s v="365 BROADWAY"/>
    <s v="SARATOGA SPRINGS_x000a_NY"/>
    <n v="12866"/>
    <s v="UNITED STATES"/>
    <s v="'320250690693918936'"/>
    <s v="Restaurant-Bar &amp; CafÃ©"/>
    <s v="DELTARESERVE"/>
    <x v="3"/>
  </r>
  <r>
    <d v="2025-03-08T00:00:00"/>
    <s v="BRASSERIE BENELUX 65SARATOGA SPRI       NY"/>
    <n v="80"/>
    <s v="10156320250 6319888885_x000a_BRASSERIE BENELUX 650000011663716_x000a_SARATOGA SPRI_x000a_NY"/>
    <s v="BRASSERIE BENELUX 65SARATOGA SPRI       NY"/>
    <s v="390 BROADWAY_x000a_STE 1"/>
    <s v="SARATOGA SPRINGS_x000a_NY"/>
    <n v="12866"/>
    <s v="UNITED STATES"/>
    <s v="'320250690697131156'"/>
    <s v="Restaurant-Restaurant"/>
    <s v="DELTARESERVE"/>
    <x v="11"/>
  </r>
  <r>
    <d v="2025-03-09T00:00:00"/>
    <s v="MICROSOFT           MSBILL.INFO"/>
    <n v="151.34"/>
    <s v="Z635ZVQ040JZ635ZVQ040JP     98052_x000a_MICROSOFT_x000a_MSBILL.INFO_x000a_Z635ZVQ040JP     98052"/>
    <s v="MICROSOFT           MSBILL.INFO"/>
    <s v="1 MICROSOFT WAY"/>
    <s v="REDMOND_x000a_WA"/>
    <n v="98052"/>
    <s v="UNITED STATES"/>
    <s v="'320250680659662145'"/>
    <s v="Other-Miscellaneous"/>
    <s v="AMEXPLATINUM"/>
    <x v="1"/>
  </r>
  <r>
    <d v="2025-03-09T00:00:00"/>
    <s v="MICROSOFT           MSBILL.INFO"/>
    <n v="201.72"/>
    <s v="Z630ZUM1Z9IZ630ZUM1Z9IT     98052_x000a_MICROSOFT_x000a_MSBILL.INFO_x000a_Z630ZUM1Z9IT     98052"/>
    <s v="MICROSOFT           MSBILL.INFO"/>
    <s v="1 MICROSOFT WAY"/>
    <s v="REDMOND_x000a_WA"/>
    <n v="98052"/>
    <s v="UNITED STATES"/>
    <s v="'320250680660674983'"/>
    <s v="Other-Miscellaneous"/>
    <s v="DELTARESERVE"/>
    <x v="1"/>
  </r>
  <r>
    <d v="2025-03-09T00:00:00"/>
    <s v="STEWARTS ICE CREAM  SARATOGA SPRINGS    NY"/>
    <n v="30.65"/>
    <s v="00251500029 5185811201_x000a_STEWARTS ICE CREAM_x000a_SARATOGA SPRINGS_x000a_NY_x000a_Description : AUTOMATED FUEL Price : 0.3065_x000a_5185811201"/>
    <s v="STEWARTS ICE CREAM  SARATOGA SPRINGS    NY"/>
    <s v="402 LK AVE"/>
    <s v="SARATOGA SPRINGS_x000a_NY"/>
    <n v="12866"/>
    <s v="UNITED STATES"/>
    <s v="'320250690688590045'"/>
    <s v="Transportation-Fuel"/>
    <s v="DELTARESERVE"/>
    <x v="7"/>
  </r>
  <r>
    <d v="2025-03-10T00:00:00"/>
    <s v="PRS TAX ADVISORS    AUSTIN              TX"/>
    <n v="2420.5"/>
    <s v="CH_3R196EEU +14154607722_x000a_PRS TAX ADVISORS_x000a_AUSTIN_x000a_TX_x000a_+14154607722"/>
    <s v="PRS TAX ADVISORS    AUSTIN              TX"/>
    <s v="6500 RIV PLACE BLVD_x000a_BLDG 7 STE 250"/>
    <s v="AUSTIN_x000a_TX"/>
    <n v="78730"/>
    <s v="UNITED STATES"/>
    <s v="'320250690680082637'"/>
    <s v="Business Services-Banking Services"/>
    <s v="DELTARESERVE"/>
    <x v="10"/>
  </r>
  <r>
    <d v="2025-03-10T00:00:00"/>
    <s v="TST* IL BUCO - BOND NEW YORK            NY"/>
    <n v="430"/>
    <s v="00041760023 RESTAURANT_x000a_TST* IL BUCO - BOND ST 00041760_x000a_NEW YORK_x000a_NY_x000a_RESTAURANT"/>
    <s v="TST* IL BUCO - BOND NEW YORK            NY"/>
    <s v="47 BOND ST FRNT 1"/>
    <s v="NEW YORK_x000a_NY"/>
    <n v="10012"/>
    <s v="UNITED STATES"/>
    <s v="'320250700713618066'"/>
    <s v="Restaurant-Restaurant"/>
    <s v="DELTARESERVE"/>
    <x v="11"/>
  </r>
  <r>
    <d v="2025-03-10T00:00:00"/>
    <s v="ERACTOLL 7DLXN0     877-860-1258        NY"/>
    <n v="10.88"/>
    <s v="T189296961  877-860-1258_x000a_ERACTOLL 7DLXN0_x000a_877-860-1258_x000a_NY_x000a_Description : ERACTOLL 7DLXN0 Price : 0.00_x000a_877-860-1258"/>
    <s v="ERACTOLL 7DLXN0     877-860-1258        NY"/>
    <s v="-"/>
    <e v="#NAME?"/>
    <n v="11577"/>
    <s v="UNITED STATES"/>
    <s v="'320250700714524828'"/>
    <s v="Transportation-Tolls &amp; Fees"/>
    <s v="DELTARESERVE"/>
    <x v="9"/>
  </r>
  <r>
    <d v="2025-03-10T00:00:00"/>
    <s v="CVS/PHARMACY #10612 MANHATTAN           NY"/>
    <n v="2.98"/>
    <s v="10102252   8007467287_x000a_PHARMACIES_x000a_CVS/PHARMACY #10612 000010612_x000a_MANHATTAN_x000a_NY_x000a_PHARMACIES_x000a_8007467287"/>
    <s v="CVS/PHARMACY #10612 MANHATTAN           NY"/>
    <s v="5TH AVE 14TH ST_x000a_SEC"/>
    <s v="MANHATTAN_x000a_NY"/>
    <n v="10011"/>
    <s v="UNITED STATES"/>
    <s v="'320250700714695843'"/>
    <s v="Merchandise &amp; Supplies-Pharmacies"/>
    <s v="AMEXPLATINUM"/>
    <x v="3"/>
  </r>
  <r>
    <d v="2025-03-10T00:00:00"/>
    <s v="ENTERPRISE RENT-A-CANEW YORK            NY"/>
    <n v="734.35"/>
    <s v="026381359   212-5332900_x000a_ENTERPRISE RENT-A-CAR_x000a_NEW YORK_x000a_NY"/>
    <s v="ENTERPRISE RENT-A-CANEW YORK            NY"/>
    <s v="221 THOMPSON ST"/>
    <s v="NEW YORK_x000a_NY"/>
    <n v="10012"/>
    <s v="UNITED STATES"/>
    <s v="'320250700720491808'"/>
    <s v="Travel-Vehicle Rental"/>
    <s v="DELTARESERVE"/>
    <x v="9"/>
  </r>
  <r>
    <d v="2025-03-11T00:00:00"/>
    <s v="ADOBE SYSTEMS Adobe SAN JOSE            CA"/>
    <n v="21.64"/>
    <s v="576133396   www.adobe.com_x000a_ADOBE SYSTEMS Adobe Systems_x000a_SAN JOSE_x000a_CA_x000a_Description : 0 Price : 0.1999_x000a_www.adobe.com"/>
    <s v="ADOBE SYSTEMS Adobe SAN JOSE            CA"/>
    <s v="801 N 34TH ST"/>
    <s v="SEATTLE_x000a_WA"/>
    <n v="98103"/>
    <s v="UNITED STATES"/>
    <s v="'320250710738275245'"/>
    <s v="Merchandise &amp; Supplies-Mail Order"/>
    <s v="AMEXPLATINUM"/>
    <x v="1"/>
  </r>
  <r>
    <d v="2025-03-12T00:00:00"/>
    <s v="THE CLEANERS IO, LLCNew York            NY"/>
    <n v="74.11"/>
    <s v="lKci3phB0nb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710735137437'"/>
    <s v="Transportation-Taxis &amp; Coach"/>
    <s v="AMEXPLATINUM"/>
    <x v="8"/>
  </r>
  <r>
    <d v="2025-03-12T00:00:00"/>
    <s v="THE CLEANERS IO, LLCNew York            NY"/>
    <n v="24.99"/>
    <s v="H7YQT7OdVTG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710735811845'"/>
    <s v="Transportation-Taxis &amp; Coach"/>
    <s v="AMEXPLATINUM"/>
    <x v="8"/>
  </r>
  <r>
    <d v="2025-03-12T00:00:00"/>
    <s v="GOOGLE *ISHARINGSOFT G.CO/HELPPAY#      CA"/>
    <n v="16.04"/>
    <s v="A0ZQDEZ9    SELLER_x000a_GOOGLE *ISHARINGSOFT_x000a_G.CO/HELPPAY#_x000a_CA_x000a_SELLER"/>
    <s v="GOOGLE *ISHARINGSOFT G.CO/HELPPAY#      CA"/>
    <s v="1600 AMPHITHEATRE PKWY"/>
    <s v="MOUNTAIN VIEW_x000a_CA"/>
    <s v="94043-1351"/>
    <s v="UNITED STATES"/>
    <s v="'320250710742637272'"/>
    <s v="Business Services-Internet Services"/>
    <s v="DELTARESERVE"/>
    <x v="1"/>
  </r>
  <r>
    <d v="2025-03-12T00:00:00"/>
    <s v="PREM CAR RENTAL PROTECTION 800-326-2078"/>
    <n v="24.95"/>
    <s v="CRA026381359 03/10/2025 NEW YORK_x000a_PREM CAR RENTAL PROTECTION 800-326-2078"/>
    <s v="PREM CAR RENTAL PROTECTION 800-326-2078"/>
    <s v="200 VESEY STREET_x000a_43RD FLOOR"/>
    <s v="NEW YORK_x000a_NY"/>
    <n v="10285"/>
    <s v="UNITED STATES"/>
    <s v="'320250710750768625'"/>
    <s v="Business Services-Insurance Services"/>
    <s v="DELTARESERVE"/>
    <x v="9"/>
  </r>
  <r>
    <d v="2025-03-12T00:00:00"/>
    <s v="FACEBK *META VERIFIEFB.ME/CC            CA"/>
    <n v="11.99"/>
    <s v="92616935506 DGTL CONTENT_x000a_FACEBK *META VERIFIED_x000a_FB.ME/CC_x000a_CA_x000a_DGTL CONTENT"/>
    <s v="FACEBK *META VERIFIEFB.ME/CC            CA"/>
    <s v="1 HACKER WAY"/>
    <s v="MENLO PARK_x000a_CA"/>
    <n v="94025"/>
    <s v="UNITED STATES"/>
    <s v="'320250720773605125'"/>
    <s v="Business Services-Office Supplies"/>
    <s v="AMEXPLATINUM"/>
    <x v="3"/>
  </r>
  <r>
    <d v="2025-03-13T00:00:00"/>
    <s v="SUSHI ICHIMURA      NEW YORK            NY"/>
    <n v="3060.9"/>
    <s v="CH_3R2CKCEB +12125423898_x000a_SUSHI ICHIMURA_x000a_NEW YORK_x000a_NY_x000a_+12125423898"/>
    <s v="SUSHI ICHIMURA      NEW YORK            NY"/>
    <s v="456 WASHINGTON ST_x000a_4D"/>
    <s v="NEW YORK_x000a_NY"/>
    <n v="10013"/>
    <s v="UNITED STATES"/>
    <s v="'320250720756989129'"/>
    <s v="Restaurant-Restaurant"/>
    <s v="DELTARESERVE"/>
    <x v="11"/>
  </r>
  <r>
    <d v="2025-03-13T00:00:00"/>
    <s v="LINKEDIN SN P4817294MOUNTAIN VIEW"/>
    <n v="106.99"/>
    <s v="P481729424  SUBSCRIPTIONS_x000a_LINKEDIN SN P481729424_x000a_MOUNTAIN VIEW_x000a_SUBSCRIPTIONS"/>
    <s v="LINKEDIN SN P4817294MOUNTAIN VIEW"/>
    <s v="2029 STIERLIN CT_x000a_STE 200"/>
    <s v="MOUNTAIN VIEW_x000a_CA"/>
    <s v="94043-4655"/>
    <s v="UNITED STATES"/>
    <s v="'320250720757291362'"/>
    <s v="Merchandise &amp; Supplies-Internet Purchase"/>
    <s v="AMEXPLATINUM"/>
    <x v="4"/>
  </r>
  <r>
    <d v="2025-03-13T00:00:00"/>
    <s v="UBER"/>
    <n v="43.12"/>
    <s v="D0D6MQGQ   37IDRW7I         10012_x000a_Uber Trip_x000a_help.uber.com_x000a_CA_x000a_37IDRW7I         10012"/>
    <s v="Uber Trip           help.uber.com       CA"/>
    <s v="1455 MARKET ST_x000a_4TH FLOOR"/>
    <s v="SAN FRANCISCO_x000a_CA"/>
    <n v="94103"/>
    <s v="UNITED STATES"/>
    <s v="'320250720760683537'"/>
    <s v="Transportation-Taxis &amp; Coach"/>
    <s v="DELTARESERVE"/>
    <x v="2"/>
  </r>
  <r>
    <d v="2025-03-14T00:00:00"/>
    <s v="PATREON* MEMBERSHIP SAN FRANCISCO       CA"/>
    <n v="20.18"/>
    <s v="XOPRVF01296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0730785046467'"/>
    <s v="Business Services-Office Supplies"/>
    <s v="AMEXPLATINUM"/>
    <x v="3"/>
  </r>
  <r>
    <d v="2025-03-14T00:00:00"/>
    <s v="AT&amp;T"/>
    <n v="104.4"/>
    <s v="42040148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0740824168484'"/>
    <s v="Communications-Mobile Telecom"/>
    <s v="DELTARESERVE"/>
    <x v="5"/>
  </r>
  <r>
    <d v="2025-03-14T00:00:00"/>
    <s v="LEMONADE INSURANCE CNEW YORK            NY"/>
    <n v="50.67"/>
    <s v="######AVUFh INSURANCE SALES_x000a_LEMONADE INSURANCE COMPANY_x000a_NEW YORK_x000a_NY_x000a_INSURANCE SALES"/>
    <s v="LEMONADE INSURANCE CNEW YORK            NY"/>
    <s v="5 CROSBY ST FL 3"/>
    <s v="NEW YORK_x000a_NY"/>
    <n v="10013"/>
    <s v="UNITED STATES"/>
    <s v="'320250740828387852'"/>
    <s v="Business Services-Insurance Services"/>
    <s v="AMEXPLATINUM"/>
    <x v="3"/>
  </r>
  <r>
    <d v="2025-03-15T00:00:00"/>
    <s v="TABULAR EDITOR APS  COPENHAGEN V        DK"/>
    <n v="10"/>
    <s v="CH_3R34YEAV +4553503099_x000a_TABULAR EDITOR APS_x000a_COPENHAGEN V_x000a_DK_x000a_+4553503099"/>
    <s v="TABULAR EDITOR APS  COPENHAGEN V        DK"/>
    <s v="SUNDKAJ 125_x000a_NORDHAVN"/>
    <m/>
    <n v="2150"/>
    <s v="DENMARK"/>
    <s v="'320250750853208845'"/>
    <s v="Merchandise &amp; Supplies-Computer Supplies"/>
    <s v="DELTARESERVE"/>
    <x v="1"/>
  </r>
  <r>
    <d v="2025-03-16T00:00:00"/>
    <s v="SPLICE.COM          NEW YORK CITY       NY"/>
    <n v="27.99"/>
    <s v="CH_3R3KHBCF 3235775423_x000a_SPLICE.COM_x000a_NEW YORK CITY_x000a_NY_x000a_3235775423"/>
    <s v="SPLICE.COM          NEW YORK CITY       NY"/>
    <s v="817 BROADWAY FLOOR 4"/>
    <s v="NEW YORK_x000a_NY"/>
    <n v="10003"/>
    <s v="UNITED STATES"/>
    <s v="'320250750840252297'"/>
    <s v="Merchandise &amp; Supplies-Computer Supplies"/>
    <s v="AMEXPLATINUM"/>
    <x v="3"/>
  </r>
  <r>
    <d v="2025-03-16T00:00:00"/>
    <s v="ENTERPRISE RENT-A-CANEW YORK            NY"/>
    <n v="1007.25"/>
    <s v="027458726   212-5332900_x000a_ENTERPRISE RENT-A-CAR_x000a_NEW YORK_x000a_NY"/>
    <s v="ENTERPRISE RENT-A-CANEW YORK            NY"/>
    <s v="221 THOMPSON ST"/>
    <s v="NEW YORK_x000a_NY"/>
    <n v="10012"/>
    <s v="UNITED STATES"/>
    <s v="'320250760877334887'"/>
    <s v="Travel-Vehicle Rental"/>
    <s v="DELTARESERVE"/>
    <x v="9"/>
  </r>
  <r>
    <d v="2025-03-17T00:00:00"/>
    <s v="UBER SANTAMBROEUS   HTTPS://HELP.UBER.COCA"/>
    <n v="137.31"/>
    <s v="01YNWF5Z   B3VQJVES         94103_x000a_UBER SANTAMBROEUS_x000a_HTTPS://HELP.UBER.COM_x000a_CA_x000a_B3VQJVES         94103"/>
    <s v="UBER SANTAMBROEUS   HTTPS://HELP.UBER.COCA"/>
    <s v="1455 MARKET ST 4TH_x000a_FL"/>
    <s v="UBEREATS.COM_x000a_CA"/>
    <n v="94103"/>
    <s v="UNITED STATES"/>
    <s v="'320250760866165592'"/>
    <s v="Restaurant-Restaurant"/>
    <s v="DELTARESERVE"/>
    <x v="2"/>
  </r>
  <r>
    <d v="2025-03-17T00:00:00"/>
    <s v="CUSTOMINK GROUPS    FAIRFAX             VA"/>
    <n v="433.94"/>
    <s v="8ETPKCC0   15799381         100121_x000a_CUSTOMINK GROUPS_x000a_FAIRFAX_x000a_VA_x000a_15799381         100121"/>
    <s v="CUSTOMINK GROUPS    FAIRFAX             VA"/>
    <s v="1640 BORO PL SUITE 301"/>
    <s v="TYSONS_x000a_VA"/>
    <n v="22102"/>
    <s v="UNITED STATES"/>
    <s v="'320250760875258757'"/>
    <s v="Merchandise &amp; Supplies-Mail Order"/>
    <s v="AMEXPLATINUM"/>
    <x v="4"/>
  </r>
  <r>
    <d v="2025-03-17T00:00:00"/>
    <s v="ERACTOLL 7DLXN0     877-860-1258        NY"/>
    <n v="9.15"/>
    <s v="T189728319  877-860-1258_x000a_ERACTOLL 7DLXN0_x000a_877-860-1258_x000a_NY_x000a_Description : ERACTOLL 7DLXN0 Price : 0.00_x000a_877-860-1258"/>
    <s v="ERACTOLL 7DLXN0     877-860-1258        NY"/>
    <s v="-"/>
    <e v="#NAME?"/>
    <n v="11577"/>
    <s v="UNITED STATES"/>
    <s v="'320250770903044864'"/>
    <s v="Transportation-Tolls &amp; Fees"/>
    <s v="DELTARESERVE"/>
    <x v="9"/>
  </r>
  <r>
    <d v="2025-03-17T00:00:00"/>
    <s v="WEGMANS ASTOR PLACE NEW YORK            NY"/>
    <n v="87.46"/>
    <s v="W15639800115854293656_x000a_WEGMANS ASTOR PLACE 156 000000156_x000a_NEW YORK_x000a_NY_x000a_5854293656"/>
    <s v="WEGMANS ASTOR PLACE NEW YORK            NY"/>
    <s v="770 BROADWAY"/>
    <s v="NEW YORK_x000a_NY"/>
    <n v="10003"/>
    <s v="UNITED STATES"/>
    <s v="'320250770903125628'"/>
    <s v="Merchandise &amp; Supplies-Groceries"/>
    <s v="AMEXPLATINUM"/>
    <x v="3"/>
  </r>
  <r>
    <d v="2025-03-17T00:00:00"/>
    <s v="ERACTOLL 7GYNN1     877-860-1258        NY"/>
    <n v="54.09"/>
    <s v="T189853796  877-860-1258_x000a_ERACTOLL 7GYNN1_x000a_877-860-1258_x000a_NY_x000a_Description : ERACTOLL 7GYNN1 Price : 0.00_x000a_877-860-1258"/>
    <s v="ERACTOLL 7GYNN1     877-860-1258        NY"/>
    <s v="-"/>
    <e v="#NAME?"/>
    <n v="11577"/>
    <s v="UNITED STATES"/>
    <s v="'320250770903501958'"/>
    <s v="Transportation-Tolls &amp; Fees"/>
    <s v="DELTARESERVE"/>
    <x v="9"/>
  </r>
  <r>
    <d v="2025-03-17T00:00:00"/>
    <s v="OLIYO 38 0000       NEW YORK            NY"/>
    <n v="22.18"/>
    <s v="26000109    646-998-3255_x000a_OLIYO 38 0000_x000a_NEW YORK_x000a_NY_x000a_Description : GROCERIES/SUNDRIES Price : 0.00_x000a_646-998-3255"/>
    <s v="OLIYO 38 0000       NEW YORK            NY"/>
    <s v="575 8TH AVE"/>
    <s v="NEW YORK_x000a_NY"/>
    <n v="10018"/>
    <s v="UNITED STATES"/>
    <s v="'320250770904274137'"/>
    <s v="Merchandise &amp; Supplies-Groceries"/>
    <s v="DELTARESERVE"/>
    <x v="3"/>
  </r>
  <r>
    <d v="2025-03-17T00:00:00"/>
    <s v="UBER"/>
    <n v="48.92"/>
    <s v="VZ272L35MJR TAXICAB &amp; LIMOUSINE_x000a_Uber Trip_x000a_help.uber.com_x000a_CA_x000a_TAXICAB &amp; LIMOUSINE"/>
    <s v="Uber Trip           help.uber.com       CA"/>
    <s v="1455 MARKET ST_x000a_4TH FLOOR"/>
    <s v="SAN FRANCISCO_x000a_CA"/>
    <n v="94103"/>
    <s v="UNITED STATES"/>
    <s v="'320250770910627277'"/>
    <s v="Transportation-Taxis &amp; Coach"/>
    <s v="DELTARESERVE"/>
    <x v="2"/>
  </r>
  <r>
    <d v="2025-03-18T00:00:00"/>
    <s v="ONE MEDICAL         SAN FRANCISCO       CA"/>
    <n v="199"/>
    <s v="CH_3R46DTI4 +18886636331_x000a_ONE MEDICAL_x000a_SAN FRANCISCO_x000a_CA_x000a_+18886636331"/>
    <s v="ONE MEDICAL         SAN FRANCISCO       CA"/>
    <s v="1 EMBARCADERO_x000a_CTR SUITE 1900"/>
    <s v="SAN FRANCISCO_x000a_CA"/>
    <n v="94111"/>
    <s v="UNITED STATES"/>
    <s v="'320250770891303732'"/>
    <s v="Business Services-Health Care Services"/>
    <s v="AMEXPLATINUM"/>
    <x v="8"/>
  </r>
  <r>
    <d v="2025-03-18T00:00:00"/>
    <s v="FACTOR75            BATAVIA             IL"/>
    <n v="78.95"/>
    <s v="MR029230554 18885735727_x000a_FACTOR75_x000a_BATAVIA_x000a_IL_x000a_18885735727"/>
    <s v="FACTOR75            BATAVIA             IL"/>
    <s v="1853 SUNCAST LN"/>
    <s v="BATAVIA_x000a_IL"/>
    <n v="60510"/>
    <s v="UNITED STATES"/>
    <s v="'320250770898010667'"/>
    <s v="Merchandise &amp; Supplies-Groceries"/>
    <s v="AMEXPLATINUM"/>
    <x v="3"/>
  </r>
  <r>
    <d v="2025-03-18T00:00:00"/>
    <s v="PREM CAR RENTAL PROTECTION 800-326-2078"/>
    <n v="24.95"/>
    <s v="CRA027458726 03/16/2025 NEW YORK_x000a_PREM CAR RENTAL PROTECTION 800-326-2078"/>
    <s v="PREM CAR RENTAL PROTECTION 800-326-2078"/>
    <s v="200 VESEY STREET_x000a_43RD FLOOR"/>
    <s v="NEW YORK_x000a_NY"/>
    <n v="10285"/>
    <s v="UNITED STATES"/>
    <s v="'320250770912574530'"/>
    <s v="Business Services-Insurance Services"/>
    <s v="DELTARESERVE"/>
    <x v="9"/>
  </r>
  <r>
    <d v="2025-03-18T00:00:00"/>
    <s v="VENETIAN VOLTAIRE   LAS VEGAS           NV"/>
    <n v="442.4"/>
    <s v="CH_3R4ACVJK +17024141000_x000a_LODGING_x000a_VENETIAN VOLTAIRE_x000a_LAS VEGAS_x000a_NV"/>
    <s v="VENETIAN VOLTAIRE   LAS VEGAS           NV"/>
    <s v="3355 LAS VEGAS BLVD SOUTH"/>
    <s v="LAS VEGAS_x000a_NV"/>
    <n v="89109"/>
    <s v="UNITED STATES"/>
    <s v="'320250780935481040'"/>
    <s v="Travel-Lodging"/>
    <s v="AMEXPLATINUM"/>
    <x v="3"/>
  </r>
  <r>
    <d v="2025-03-19T00:00:00"/>
    <s v="TI CIRQUE TICKET OFFLAS VEGAS           NV"/>
    <n v="382.98"/>
    <s v="49440922    702-894-7533_x000a_TI CIRQUE TICKET OFF CNP_x000a_LAS VEGAS_x000a_NV_x000a_Description : ADMISSION/TICKETS Price : 0.00_x000a_702-894-7533"/>
    <s v="TI CIRQUE TICKET OFFLAS VEGAS           NV"/>
    <s v="3300 LAS VEGAS BLVD SOUTH TREASURE IS"/>
    <s v="LAS VEGAS_x000a_NV"/>
    <n v="89109"/>
    <s v="UNITED STATES"/>
    <s v="'320250780921305579'"/>
    <s v="Entertainment-Other Entertainment"/>
    <s v="AMEXPLATINUM"/>
    <x v="3"/>
  </r>
  <r>
    <d v="2025-03-19T00:00:00"/>
    <s v="TST* BARKING DOG 000NEW YORK            NY"/>
    <n v="33.520000000000003"/>
    <s v="21105175079 RESTAURANT_x000a_TST* BARKING DOG 00022701_x000a_NEW YORK_x000a_NY_x000a_RESTAURANT"/>
    <s v="TST* BARKING DOG 000NEW YORK            NY"/>
    <s v="1678 3RD AVE"/>
    <s v="NEW YORK_x000a_NY"/>
    <n v="10128"/>
    <s v="UNITED STATES"/>
    <s v="'320250790950104297'"/>
    <s v="Restaurant-Restaurant"/>
    <s v="AMEXPLATINUM"/>
    <x v="3"/>
  </r>
  <r>
    <d v="2025-03-19T00:00:00"/>
    <s v="TST* LEONS 00203871 NEW YORK            NY"/>
    <n v="185.84"/>
    <s v="21105175079 RESTAURANT_x000a_TST* LEONS 00203871_x000a_NEW YORK_x000a_NY_x000a_RESTAURANT"/>
    <s v="TST* LEONS 00203871 NEW YORK            NY"/>
    <s v="510 EAST 14TH ST_x000a_APT 408"/>
    <s v="NEW YORK_x000a_NY"/>
    <n v="10009"/>
    <s v="UNITED STATES"/>
    <s v="'320250790951165932'"/>
    <s v="Restaurant-Restaurant"/>
    <s v="DELTARESERVE"/>
    <x v="11"/>
  </r>
  <r>
    <d v="2025-03-19T00:00:00"/>
    <s v="TST* LEONS 00203871 NEW YORK            NY"/>
    <n v="160"/>
    <s v="21105175079 RESTAURANT_x000a_TST* LEONS 00203871_x000a_NEW YORK_x000a_NY_x000a_RESTAURANT"/>
    <s v="TST* LEONS 00203871 NEW YORK            NY"/>
    <s v="510 EAST 14TH ST_x000a_APT 408"/>
    <s v="NEW YORK_x000a_NY"/>
    <n v="10009"/>
    <s v="UNITED STATES"/>
    <s v="'320250790951275793'"/>
    <s v="Restaurant-Restaurant"/>
    <s v="DELTARESERVE"/>
    <x v="11"/>
  </r>
  <r>
    <d v="2025-03-19T00:00:00"/>
    <s v="ATOMIC GOLF LAS VEGALAS VEGAS           NV"/>
    <n v="81.05"/>
    <s v="######53lkb RESTAURANT_x000a_ATOMIC GOLF LAS VEGAS_x000a_LAS VEGAS_x000a_NV_x000a_RESTAURANT"/>
    <s v="ATOMIC GOLF LAS VEGALAS VEGAS           NV"/>
    <s v="1850 SOUTH MAIN ST"/>
    <s v="LAS VEGAS_x000a_NV"/>
    <n v="89104"/>
    <s v="UNITED STATES"/>
    <s v="'320250790964459038'"/>
    <s v="Restaurant-Restaurant"/>
    <s v="AMEXPLATINUM"/>
    <x v="3"/>
  </r>
  <r>
    <d v="2025-03-20T00:00:00"/>
    <s v="ONLINE PAYMENT - THANK YOU"/>
    <n v="-5000"/>
    <s v="ONLINE PAYMENT - THANK YOU"/>
    <s v="ONLINE PAYMENT - THANK YOU"/>
    <m/>
    <m/>
    <m/>
    <m/>
    <s v="'320250790940963129'"/>
    <m/>
    <s v="DELTARESERVE"/>
    <x v="0"/>
  </r>
  <r>
    <d v="2025-03-20T00:00:00"/>
    <s v="ONLINE PAYMENT - THANK YOU"/>
    <n v="-5000"/>
    <s v="ONLINE PAYMENT - THANK YOU"/>
    <s v="ONLINE PAYMENT - THANK YOU"/>
    <m/>
    <m/>
    <m/>
    <m/>
    <s v="'320250790940972751'"/>
    <m/>
    <s v="DELTARESERVE"/>
    <x v="0"/>
  </r>
  <r>
    <d v="2025-03-20T00:00:00"/>
    <s v="SPLICE.COM          NEW YORK CITY       NY"/>
    <n v="13.9"/>
    <s v="CH_3R4KGZCF 3235775423_x000a_SPLICE.COM_x000a_NEW YORK CITY_x000a_NY_x000a_3235775423"/>
    <s v="SPLICE.COM          NEW YORK CITY       NY"/>
    <s v="817 BROADWAY FLOOR 4"/>
    <s v="NEW YORK_x000a_NY"/>
    <n v="10003"/>
    <s v="UNITED STATES"/>
    <s v="'320250790947099410'"/>
    <s v="Merchandise &amp; Supplies-Computer Supplies"/>
    <s v="AMEXPLATINUM"/>
    <x v="3"/>
  </r>
  <r>
    <d v="2025-03-20T00:00:00"/>
    <s v="IN *HEIDI KLING, PHDNEW YORK            NY"/>
    <n v="1300"/>
    <s v="080IAALRLX98420             100033_x000a_IN *HEIDI KLING, PHD_x000a_NEW YORK_x000a_NY_x000a_8420             100033"/>
    <s v="IN *HEIDI KLING, PHDNEW YORK            NY"/>
    <s v="18 EAST 16TH ST_x000a_RM 503"/>
    <s v="NEW YORK_x000a_NY"/>
    <s v="10003-3111"/>
    <s v="UNITED STATES"/>
    <s v="'320250800970370532'"/>
    <s v="Business Services-Health Care Services"/>
    <s v="AMEXPLATINUM"/>
    <x v="3"/>
  </r>
  <r>
    <d v="2025-03-20T00:00:00"/>
    <s v="GRISTEDES           NEW YORK            NY"/>
    <n v="45.95"/>
    <s v="00492200046 2123531330_x000a_GRISTEDES_x000a_NEW YORK_x000a_NY_x000a_Description : GROCERY STORES Price : 0.4595_x000a_2123531330"/>
    <s v="GRISTEDES           NEW YORK            NY"/>
    <s v="25 UNIVERSITY PL"/>
    <s v="NEW YORK_x000a_NY"/>
    <n v="10003"/>
    <s v="UNITED STATES"/>
    <s v="'320250800981090107'"/>
    <s v="Merchandise &amp; Supplies-Groceries"/>
    <s v="AMEXPLATINUM"/>
    <x v="3"/>
  </r>
  <r>
    <d v="2025-03-20T00:00:00"/>
    <s v="ERACTOLL 7DLXN0     877-860-1258        NY"/>
    <n v="9.15"/>
    <s v="T190104871  877-860-1258_x000a_ERACTOLL 7DLXN0_x000a_877-860-1258_x000a_NY_x000a_Description : ERACTOLL 7DLXN0 Price : 0.00_x000a_877-860-1258"/>
    <s v="ERACTOLL 7DLXN0     877-860-1258        NY"/>
    <s v="-"/>
    <e v="#NAME?"/>
    <n v="11577"/>
    <s v="UNITED STATES"/>
    <s v="'320250800982458181'"/>
    <s v="Transportation-Tolls &amp; Fees"/>
    <s v="DELTARESERVE"/>
    <x v="9"/>
  </r>
  <r>
    <d v="2025-03-20T00:00:00"/>
    <s v="TST* SUSHI ICHIMURA NEW YORK            NY"/>
    <n v="3000"/>
    <s v="21105175080 RESTAURANT_x000a_TST* SUSHI ICHIMURA 00136264_x000a_NEW YORK_x000a_NY_x000a_RESTAURANT"/>
    <s v="TST* SUSHI ICHIMURA NEW YORK            NY"/>
    <s v="456 WASHINGTON ST_x000a_4D"/>
    <s v="NEW YORK_x000a_NY"/>
    <n v="10013"/>
    <s v="UNITED STATES"/>
    <s v="'320250800986747356'"/>
    <s v="Restaurant-Restaurant"/>
    <s v="DELTARESERVE"/>
    <x v="11"/>
  </r>
  <r>
    <d v="2025-03-21T00:00:00"/>
    <s v="UBER"/>
    <n v="30.95"/>
    <s v="QM0T2GXF   TE4NMDBI         10013_x000a_Uber Trip_x000a_help.uber.com_x000a_CA_x000a_TE4NMDBI         10013"/>
    <s v="Uber Trip           help.uber.com       CA"/>
    <s v="1455 MARKET ST_x000a_4TH FLOOR"/>
    <s v="SAN FRANCISCO_x000a_CA"/>
    <n v="94103"/>
    <s v="UNITED STATES"/>
    <s v="'320250800975155946'"/>
    <s v="Transportation-Taxis &amp; Coach"/>
    <s v="DELTARESERVE"/>
    <x v="2"/>
  </r>
  <r>
    <d v="2025-03-21T00:00:00"/>
    <s v="UBER"/>
    <n v="125.24"/>
    <s v="0E505VZ0   RRBFCDV6         11103_x000a_Uber Trip_x000a_help.uber.com_x000a_CA_x000a_RRBFCDV6         11103"/>
    <s v="Uber Trip           help.uber.com       CA"/>
    <s v="1455 MARKET ST_x000a_4TH FLOOR"/>
    <s v="SAN FRANCISCO_x000a_CA"/>
    <n v="94103"/>
    <s v="UNITED STATES"/>
    <s v="'320250800975523108'"/>
    <s v="Transportation-Taxis &amp; Coach"/>
    <s v="DELTARESERVE"/>
    <x v="2"/>
  </r>
  <r>
    <d v="2025-03-21T00:00:00"/>
    <s v="FACEBK *XK59HM8RF2  MENLO PARK"/>
    <n v="25"/>
    <s v="94366974564 ADVERTISING SERVICE_x000a_FACEBK *XK59HM8RF2_x000a_MENLO PARK_x000a_ADVERTISING SERVICE"/>
    <s v="FACEBK *XK59HM8RF2  MENLO PARK"/>
    <s v="1 HACKER WAY"/>
    <s v="MENLO PARK_x000a_CA"/>
    <n v="94025"/>
    <s v="UNITED STATES"/>
    <s v="'320250800983522438'"/>
    <s v="Business Services-Advertising Services"/>
    <s v="AMEXPLATINUM"/>
    <x v="3"/>
  </r>
  <r>
    <d v="2025-03-21T00:00:00"/>
    <s v="CANVA* I04462-634395CAMDEN              DE"/>
    <n v="15"/>
    <s v="CH_2R5DA2K8 +17372853388_x000a_CANVA* I04462-63439562_x000a_CAMDEN_x000a_DE_x000a_+17372853388"/>
    <s v="CANVA* I04462-634395CAMDEN              DE"/>
    <s v="2140 SOUTH DUPONT HWY"/>
    <s v="CAMDEN_x000a_DE"/>
    <n v="19934"/>
    <s v="UNITED STATES"/>
    <s v="'320250800992428253'"/>
    <s v="Business Services-Professional Services"/>
    <s v="AMEXPLATINUM"/>
    <x v="1"/>
  </r>
  <r>
    <d v="2025-03-21T00:00:00"/>
    <s v="TST* CHORTKE 0014909ROCHESTER           NY"/>
    <n v="500"/>
    <s v="21105175081 RESTAURANT_x000a_TST* CHORTKE 00149099_x000a_ROCHESTER_x000a_NY_x000a_RESTAURANT"/>
    <s v="TST* CHORTKE 0014909ROCHESTER           NY"/>
    <s v="352 NORTH GOODMAN ST"/>
    <s v="ROCHESTER_x000a_NY"/>
    <n v="14607"/>
    <s v="UNITED STATES"/>
    <s v="'320250810008026490'"/>
    <s v="Restaurant-Restaurant"/>
    <s v="DELTARESERVE"/>
    <x v="11"/>
  </r>
  <r>
    <d v="2025-03-21T00:00:00"/>
    <s v="WEGMANS ASTOR PLACE NEW YORK            NY"/>
    <n v="129.77000000000001"/>
    <s v="W15608600605854293656_x000a_WEGMANS ASTOR PLACE 156 000000156_x000a_NEW YORK_x000a_NY_x000a_5854293656"/>
    <s v="WEGMANS ASTOR PLACE NEW YORK            NY"/>
    <s v="770 BROADWAY"/>
    <s v="NEW YORK_x000a_NY"/>
    <n v="10003"/>
    <s v="UNITED STATES"/>
    <s v="'320250810010059507'"/>
    <s v="Merchandise &amp; Supplies-Groceries"/>
    <s v="AMEXPLATINUM"/>
    <x v="3"/>
  </r>
  <r>
    <d v="2025-03-22T00:00:00"/>
    <s v="UBER"/>
    <n v="27.76"/>
    <s v="9RVE4N5A   IL3FO54B         14604_x000a_Uber Trip_x000a_help.uber.com_x000a_CA_x000a_IL3FO54B         14604"/>
    <s v="Uber Trip           help.uber.com       CA"/>
    <s v="1455 MARKET ST_x000a_4TH FLOOR"/>
    <s v="SAN FRANCISCO_x000a_CA"/>
    <n v="94103"/>
    <s v="UNITED STATES"/>
    <s v="'320250810002548913'"/>
    <s v="Transportation-Taxis &amp; Coach"/>
    <s v="DELTARESERVE"/>
    <x v="2"/>
  </r>
  <r>
    <d v="2025-03-22T00:00:00"/>
    <s v="OPENAI *CHATGPT SUBSSAN FRANCISCO       CA"/>
    <n v="21.4"/>
    <s v="CH_3R5T6AC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0810003803403'"/>
    <s v="Merchandise &amp; Supplies-Computer Supplies"/>
    <s v="DELTARESERVE"/>
    <x v="1"/>
  </r>
  <r>
    <d v="2025-03-23T00:00:00"/>
    <s v="ERACTOLL 7JPY3D     877-860-1258        NY"/>
    <n v="38.340000000000003"/>
    <s v="T190356504  877-860-1258_x000a_ERACTOLL 7JPY3D_x000a_877-860-1258_x000a_NY_x000a_Description : ERACTOLL 7JPY3D Price : 0.00_x000a_877-860-1258"/>
    <s v="ERACTOLL 7JPY3D     877-860-1258        NY"/>
    <s v="-"/>
    <e v="#NAME?"/>
    <n v="11577"/>
    <s v="UNITED STATES"/>
    <s v="'320250830063300817'"/>
    <s v="Transportation-Tolls &amp; Fees"/>
    <s v="DELTARESERVE"/>
    <x v="9"/>
  </r>
  <r>
    <d v="2025-03-24T00:00:00"/>
    <s v="MICROSOFT           MSBILL.INFO"/>
    <n v="19.95"/>
    <s v="Z72B0SNM2CDZ72B0SNM2CD1     98052_x000a_MICROSOFT_x000a_MSBILL.INFO_x000a_Z72B0SNM2CD1     98052"/>
    <s v="MICROSOFT           MSBILL.INFO"/>
    <s v="1 MICROSOFT WAY"/>
    <s v="REDMOND_x000a_WA"/>
    <n v="98052"/>
    <s v="UNITED STATES"/>
    <s v="'320250830064290865'"/>
    <s v="Merchandise &amp; Supplies-Internet Purchase"/>
    <s v="DELTARESERVE"/>
    <x v="1"/>
  </r>
  <r>
    <d v="2025-03-24T00:00:00"/>
    <s v="DELMONICOS 068880022NEW YORK            NY"/>
    <n v="700"/>
    <s v="73011005084 JLICUL@ICLOUD.COM_x000a_DELMONICOS 068880022170850_x000a_NEW YORK_x000a_NY_x000a_JLICUL@ICLOUD.COM"/>
    <s v="DELMONICOS 068880022NEW YORK            NY"/>
    <s v="56 BEAVER ST_x000a_FRNT A"/>
    <s v="NEW YORK_x000a_NY"/>
    <n v="10004"/>
    <s v="UNITED STATES"/>
    <s v="'320250840076241303'"/>
    <s v="Restaurant-Restaurant"/>
    <s v="DELTARESERVE"/>
    <x v="11"/>
  </r>
  <r>
    <d v="2025-03-24T00:00:00"/>
    <s v="PETCO 3741 0374     NEW YORK            NY"/>
    <n v="37.020000000000003"/>
    <s v="37600020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0840086754063'"/>
    <s v="Merchandise &amp; Supplies-General Retail"/>
    <s v="AMEXPLATINUM"/>
    <x v="3"/>
  </r>
  <r>
    <d v="2025-03-24T00:00:00"/>
    <s v="WHOLEFDS USQ 10162 0NEW YORK            NY"/>
    <n v="19.38"/>
    <s v="0SM1JGPH2BX 2126735388_x000a_WHOLEFDS USQ 10162 000010162_x000a_NEW YORK_x000a_NY_x000a_Description : GROCERY STORES Price : 0.1938_x000a_2126735388"/>
    <s v="WHOLEFDS USQ 10162 0NEW YORK            NY"/>
    <s v="250 7TH AVE STE 511"/>
    <s v="NEW YORK_x000a_NY"/>
    <n v="10001"/>
    <s v="UNITED STATES"/>
    <s v="'320250840091984652'"/>
    <s v="Merchandise &amp; Supplies-Groceries"/>
    <s v="AMEXPLATINUM"/>
    <x v="3"/>
  </r>
  <r>
    <d v="2025-03-24T00:00:00"/>
    <s v="ENTERPRISE RENT-A-CANEW YORK            NY"/>
    <n v="742.18"/>
    <s v="029082935   212-5332900_x000a_ENTERPRISE RENT-A-CAR_x000a_NEW YORK_x000a_NY"/>
    <s v="ENTERPRISE RENT-A-CANEW YORK            NY"/>
    <s v="221 THOMPSON ST"/>
    <s v="NEW YORK_x000a_NY"/>
    <n v="10012"/>
    <s v="UNITED STATES"/>
    <s v="'320250840095495254'"/>
    <s v="Travel-Vehicle Rental"/>
    <s v="DELTARESERVE"/>
    <x v="9"/>
  </r>
  <r>
    <d v="2025-03-25T00:00:00"/>
    <s v="IN *THE WALLENSTEIN HOUSTON             TX"/>
    <n v="5000"/>
    <s v="084IAAM1TEX24217            770791_x000a_IN *THE WALLENSTEIN LAW GROUP_x000a_HOUSTON_x000a_TX_x000a_24217            770791"/>
    <s v="IN *THE WALLENSTEIN HOUSTON             TX"/>
    <s v="14133 MEMORIAL DR_x000a_STE 1"/>
    <s v="HOUSTON_x000a_TX"/>
    <n v="77079"/>
    <s v="UNITED STATES"/>
    <s v="'320250840078007070'"/>
    <s v="Business Services-Legal Services"/>
    <s v="AMEXPLATINUM"/>
    <x v="10"/>
  </r>
  <r>
    <d v="2025-03-25T00:00:00"/>
    <s v="UBER"/>
    <n v="48.7"/>
    <s v="BFPS8FRR   PWNH6TO7         10004_x000a_Uber Trip_x000a_help.uber.com_x000a_CA_x000a_PWNH6TO7         10004"/>
    <s v="Uber Trip           help.uber.com       CA"/>
    <s v="1455 MARKET ST_x000a_4TH FLOOR"/>
    <s v="SAN FRANCISCO_x000a_CA"/>
    <n v="94103"/>
    <s v="UNITED STATES"/>
    <s v="'320250840081626600'"/>
    <s v="Transportation-Taxis &amp; Coach"/>
    <s v="DELTARESERVE"/>
    <x v="2"/>
  </r>
  <r>
    <d v="2025-03-25T00:00:00"/>
    <s v="FACTOR75            BATAVIA             IL"/>
    <n v="78.95"/>
    <s v="MR029240717 18885735727_x000a_FACTOR75_x000a_BATAVIA_x000a_IL_x000a_18885735727"/>
    <s v="FACTOR75            BATAVIA             IL"/>
    <s v="1853 SUNCAST LN"/>
    <s v="BATAVIA_x000a_IL"/>
    <n v="60510"/>
    <s v="UNITED STATES"/>
    <s v="'320250840083397476'"/>
    <s v="Merchandise &amp; Supplies-Groceries"/>
    <s v="AMEXPLATINUM"/>
    <x v="3"/>
  </r>
  <r>
    <d v="2025-03-25T00:00:00"/>
    <s v="KIMBERLY MEEHAN, NP NEW YORK            NY"/>
    <n v="200"/>
    <s v="73011005085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0860148129528'"/>
    <s v="Business Services-Health Care Services"/>
    <s v="AMEXPLATINUM"/>
    <x v="3"/>
  </r>
  <r>
    <d v="2025-03-26T00:00:00"/>
    <s v="AMAZON MUSIC*4D8FJ30888-802-3080        WA"/>
    <n v="10.99"/>
    <s v="5AOJYNF2EMF DIGITAL_x000a_AMAZON MUSIC*4D8FJ3003_x000a_888-802-3080_x000a_WA_x000a_DIGITAL"/>
    <s v="AMAZON MUSIC*4D8FJ30888-802-3080        WA"/>
    <s v="1512 2ND AVE"/>
    <s v="SEATTLE_x000a_WA"/>
    <s v="98101-1508"/>
    <s v="UNITED STATES"/>
    <s v="'320250850102565319'"/>
    <s v="Merchandise &amp; Supplies-Internet Purchase"/>
    <s v="DELTARESERVE"/>
    <x v="3"/>
  </r>
  <r>
    <d v="2025-03-26T00:00:00"/>
    <s v="PREM CAR RENTAL PROTECTION 800-326-2078"/>
    <n v="24.95"/>
    <s v="CRA029082935 03/24/2025 NEW YORK_x000a_PREM CAR RENTAL PROTECTION 800-326-2078"/>
    <s v="PREM CAR RENTAL PROTECTION 800-326-2078"/>
    <s v="200 VESEY STREET_x000a_43RD FLOOR"/>
    <s v="NEW YORK_x000a_NY"/>
    <n v="10285"/>
    <s v="UNITED STATES"/>
    <s v="'320250850121743045'"/>
    <s v="Business Services-Insurance Services"/>
    <s v="DELTARESERVE"/>
    <x v="9"/>
  </r>
  <r>
    <d v="2025-03-26T00:00:00"/>
    <s v="CALENDLY            AVONDALE ESTATES    GA"/>
    <n v="16.05"/>
    <s v="CH_3R74BJ4Y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0860147753912'"/>
    <s v="Merchandise &amp; Supplies-Computer Supplies"/>
    <s v="AMEXPLATINUM"/>
    <x v="1"/>
  </r>
  <r>
    <d v="2025-03-27T00:00:00"/>
    <s v="IN *DYNAMICS USER GRMIDDLETON           WI"/>
    <n v="5665"/>
    <s v="086IAAM8TJG6041             535625_x000a_IN *DYNAMICS USER GROUP_x000a_MIDDLETON_x000a_WI_x000a_6041             535625"/>
    <s v="IN *DYNAMICS USER GRMIDDLETON           WI"/>
    <s v="9912 SHINING WILLOW ST"/>
    <s v="MIDDLETON_x000a_WI"/>
    <s v="53562-5135"/>
    <s v="UNITED STATES"/>
    <s v="'320250860130426590'"/>
    <s v="Other-Education"/>
    <s v="AMEXPLATINUM"/>
    <x v="4"/>
  </r>
  <r>
    <d v="2025-03-27T00:00:00"/>
    <s v="THE CLEANERS IO, LLCNew York            NY"/>
    <n v="114.66"/>
    <s v="xidOlMd9Jaz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860134341505'"/>
    <s v="Transportation-Taxis &amp; Coach"/>
    <s v="DELTARESERVE"/>
    <x v="8"/>
  </r>
  <r>
    <d v="2025-03-27T00:00:00"/>
    <s v="UBER"/>
    <n v="43.71"/>
    <s v="66B5PFNV   HGYTC3GE         10018_x000a_Uber Trip_x000a_help.uber.com_x000a_CA_x000a_HGYTC3GE         10018"/>
    <s v="Uber Trip           help.uber.com       CA"/>
    <s v="1455 MARKET ST_x000a_4TH FLOOR"/>
    <s v="SAN FRANCISCO_x000a_CA"/>
    <n v="94103"/>
    <s v="UNITED STATES"/>
    <s v="'320250860134637428'"/>
    <s v="Transportation-Taxis &amp; Coach"/>
    <s v="DELTARESERVE"/>
    <x v="2"/>
  </r>
  <r>
    <d v="2025-03-27T00:00:00"/>
    <s v="UBER"/>
    <n v="6.28"/>
    <s v="67G4T7T8   SQL4PWFY         10011_x000a_Uber Trip_x000a_help.uber.com_x000a_CA_x000a_SQL4PWFY         10011"/>
    <s v="Uber Trip           help.uber.com       CA"/>
    <s v="1455 MARKET ST_x000a_4TH FLOOR"/>
    <s v="SAN FRANCISCO_x000a_CA"/>
    <n v="94103"/>
    <s v="UNITED STATES"/>
    <s v="'320250860134655585'"/>
    <s v="Transportation-Taxis &amp; Coach"/>
    <s v="DELTARESERVE"/>
    <x v="2"/>
  </r>
  <r>
    <d v="2025-03-28T00:00:00"/>
    <s v="SUNOCO 0042337601 00SLOATSBURG          NY"/>
    <n v="47.8"/>
    <s v="00637542    845-753-5091_x000a_SUNOCO 0042337601 0042_x000a_SLOATSBURG_x000a_NY_x000a_Description : Unleaded (88 octane Price : 0.00_x000a_845-753-5091"/>
    <s v="SUNOCO 0042337601 00SLOATSBURG          NY"/>
    <s v="-"/>
    <e v="#NAME?"/>
    <n v="75231"/>
    <s v="UNITED STATES"/>
    <s v="'320250880192391983'"/>
    <s v="Transportation-Fuel"/>
    <s v="DELTARESERVE"/>
    <x v="7"/>
  </r>
  <r>
    <d v="2025-03-28T00:00:00"/>
    <s v="TST* IL BUCO - BOND NEW YORK            NY"/>
    <n v="630"/>
    <s v="00041760023 RESTAURANT_x000a_TST* IL BUCO - BOND ST 00041760_x000a_NEW YORK_x000a_NY_x000a_RESTAURANT"/>
    <s v="TST* IL BUCO - BOND NEW YORK            NY"/>
    <s v="47 BOND ST FRNT 1"/>
    <s v="NEW YORK_x000a_NY"/>
    <n v="10012"/>
    <s v="UNITED STATES"/>
    <s v="'320250880195783857'"/>
    <s v="Restaurant-Restaurant"/>
    <s v="DELTARESERVE"/>
    <x v="11"/>
  </r>
  <r>
    <d v="2025-03-28T00:00:00"/>
    <s v="TOPTAL.COM          SAN FRANCISCO       CA"/>
    <n v="3055.5"/>
    <s v="CH_2R7RWGVY +18886043188_x000a_TOPTAL.COM_x000a_SAN FRANCISCO_x000a_CA_x000a_+18886043188"/>
    <s v="TOPTAL.COM          SAN FRANCISCO       CA"/>
    <s v="548 MARKET ST 36879"/>
    <s v="SAN FRANCISCO_x000a_CA"/>
    <n v="94104"/>
    <s v="UNITED STATES"/>
    <s v="'320250880201737196'"/>
    <s v="Merchandise &amp; Supplies-Computer Supplies"/>
    <s v="DELTARESERVE"/>
    <x v="6"/>
  </r>
  <r>
    <d v="2025-03-30T00:00:00"/>
    <s v="ERACTOLL 7MF2JY     877-860-1258        NY"/>
    <n v="56.85"/>
    <s v="T191078028  877-860-1258_x000a_ERACTOLL 7MF2JY_x000a_877-860-1258_x000a_NY_x000a_Description : ERACTOLL 7MF2JY Price : 0.00_x000a_877-860-1258"/>
    <s v="ERACTOLL 7MF2JY     877-860-1258        NY"/>
    <s v="-"/>
    <e v="#NAME?"/>
    <n v="11577"/>
    <s v="UNITED STATES"/>
    <s v="'320250900244764601'"/>
    <s v="Transportation-Tolls &amp; Fees"/>
    <s v="DELTARESERVE"/>
    <x v="9"/>
  </r>
  <r>
    <d v="2025-03-30T00:00:00"/>
    <s v="WEGMANS ASTOR PLACE NEW YORK            NY"/>
    <n v="48.4"/>
    <s v="W15640900605854293656_x000a_WEGMANS ASTOR PLACE 156 000000156_x000a_NEW YORK_x000a_NY_x000a_5854293656"/>
    <s v="WEGMANS ASTOR PLACE NEW YORK            NY"/>
    <s v="770 BROADWAY"/>
    <s v="NEW YORK_x000a_NY"/>
    <n v="10003"/>
    <s v="UNITED STATES"/>
    <s v="'320250900247296955'"/>
    <s v="Merchandise &amp; Supplies-Groceries"/>
    <s v="AMEXPLATINUM"/>
    <x v="3"/>
  </r>
  <r>
    <d v="2025-03-30T00:00:00"/>
    <s v="COVERGIRL.MAXIM.COM SAN ANTONIO         TX"/>
    <n v="20"/>
    <s v="CH_3R8T5J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0900251983662'"/>
    <s v="Business Services-Office Supplies"/>
    <s v="AMEXPLATINUM"/>
    <x v="3"/>
  </r>
  <r>
    <d v="2025-03-30T00:00:00"/>
    <s v="SILVERMAN LAW OFFICEHELENA              MT"/>
    <n v="200"/>
    <s v="73011005089 JULIE@MTTAXLAW.COM_x000a_SILVERMAN LAW OFFICE PLLC 899000003849_x000a_HELENA_x000a_MT_x000a_JULIE@MTTAXLAW.COM"/>
    <s v="SILVERMAN LAW OFFICEHELENA              MT"/>
    <s v="600 LOLA ST"/>
    <s v="HELENA_x000a_MT"/>
    <n v="59601"/>
    <s v="UNITED STATES"/>
    <s v="'320250900256258924'"/>
    <s v="Business Services-Legal Services"/>
    <s v="DELTARESERVE"/>
    <x v="10"/>
  </r>
  <r>
    <d v="2025-03-31T00:00:00"/>
    <s v="IN *WORKS IN PROGRESNEW YORK            NY"/>
    <n v="646"/>
    <s v="090IAAMK1PT65765            100030_x000a_IN *WORKS IN PROGRESS NYC_x000a_NEW YORK_x000a_NY_x000a_65765            100030"/>
    <s v="IN *WORKS IN PROGRESNEW YORK            NY"/>
    <s v="59 EAST FOURTH ST"/>
    <s v="NEW YORK_x000a_NY"/>
    <s v="10003-0000"/>
    <s v="UNITED STATES"/>
    <s v="'320250900236651796'"/>
    <s v="Business Services-Professional Services"/>
    <s v="DELTARESERVE"/>
    <x v="8"/>
  </r>
  <r>
    <d v="2025-03-31T00:00:00"/>
    <s v="CVS PHARMACY        NEW YORK            NY"/>
    <n v="27.6"/>
    <s v="10082425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0910272030762'"/>
    <s v="Merchandise &amp; Supplies-Pharmacies"/>
    <s v="AMEXPLATINUM"/>
    <x v="3"/>
  </r>
  <r>
    <d v="2025-03-31T00:00:00"/>
    <s v="ENTERPRISE RENT-A-CANEW YORK            NY"/>
    <n v="951.77"/>
    <s v="030468120   212-5332900_x000a_ENTERPRISE RENT-A-CAR_x000a_NEW YORK_x000a_NY"/>
    <s v="ENTERPRISE RENT-A-CANEW YORK            NY"/>
    <s v="221 THOMPSON ST"/>
    <s v="NEW YORK_x000a_NY"/>
    <n v="10012"/>
    <s v="UNITED STATES"/>
    <s v="'320250910278337529'"/>
    <s v="Travel-Vehicle Rental"/>
    <s v="DELTARESERVE"/>
    <x v="9"/>
  </r>
  <r>
    <d v="2025-04-01T00:00:00"/>
    <s v="Amazon Web Services AWS.Amazon.com      WA"/>
    <n v="1603.36"/>
    <s v="4N7PR24HVE2 WEB SERVICES_x000a_Amazon Web Services_x000a_AWS.Amazon.com_x000a_WA_x000a_WEB SERVICES"/>
    <s v="Amazon Web Services AWS.Amazon.com      WA"/>
    <s v="1512 2ND AVE"/>
    <s v="SEATTLE_x000a_WA"/>
    <n v="98101"/>
    <s v="UNITED STATES"/>
    <s v="'320250910261487408'"/>
    <s v="Merchandise &amp; Supplies-Internet Purchase"/>
    <s v="AMEXPLATINUM"/>
    <x v="12"/>
  </r>
  <r>
    <d v="2025-04-01T00:00:00"/>
    <s v="VERIZON WRLS RCCRNG PMTS"/>
    <n v="223.91"/>
    <s v="N0000003923VZWRLSS*APOCC_x000a_VZW APO_x000a_800-922-0204_x000a_FL_x000a_VZWRLSS*APOCC"/>
    <s v="VZW APO             800-922-0204        FL"/>
    <s v="600 COOLIDGE DR"/>
    <s v="FOLSOM_x000a_CA"/>
    <s v="95630-3155"/>
    <s v="UNITED STATES"/>
    <s v="'320250910274095399'"/>
    <s v="Communications-Mobile Telecom"/>
    <s v="DELTARESERVE"/>
    <x v="5"/>
  </r>
  <r>
    <d v="2025-04-01T00:00:00"/>
    <s v="AMAZON MARKEPLACE NA PA"/>
    <n v="38.65"/>
    <s v="BTWKMM1CLLK MERCHANDISE_x000a_AMAZON MARKETPLACE NA PA_x000a_AMZN.COM/BILL_x000a_WA_x000a_MERCHANDISE"/>
    <s v="AMAZON MARKETPLACE NAMZN.COM/BILL       WA"/>
    <s v="410 TERRY AVE N"/>
    <s v="SEATTLE_x000a_WA"/>
    <n v="98109"/>
    <s v="UNITED STATES"/>
    <s v="'320250910285598257'"/>
    <s v="Merchandise &amp; Supplies-Internet Purchase"/>
    <s v="DELTARESERVE"/>
    <x v="3"/>
  </r>
  <r>
    <d v="2025-04-01T00:00:00"/>
    <s v="JUICE GENERATION 19 NEW YORK            NY"/>
    <n v="12.92"/>
    <s v="00008775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0920295852683'"/>
    <s v="Restaurant-Bar &amp; CafÃ©"/>
    <s v="AMEXPLATINUM"/>
    <x v="3"/>
  </r>
  <r>
    <d v="2025-04-01T00:00:00"/>
    <s v="AMAZON MARKEPLACE NA PA"/>
    <n v="491.67"/>
    <s v="5Q40EUCL45L MERCHANDISE_x000a_AMAZON MARKETPLACE NA PA_x000a_AMZN.COM/BILL_x000a_WA_x000a_MERCHANDISE"/>
    <s v="AMAZON MARKETPLACE NAMZN.COM/BILL       WA"/>
    <s v="410 TERRY AVE N"/>
    <s v="SEATTLE_x000a_WA"/>
    <n v="98109"/>
    <s v="UNITED STATES"/>
    <s v="'320250940356773844'"/>
    <s v="Merchandise &amp; Supplies-Internet Purchase"/>
    <s v="DELTARESERVE"/>
    <x v="3"/>
  </r>
  <r>
    <d v="2025-04-02T00:00:00"/>
    <s v="UBER"/>
    <n v="31.78"/>
    <s v="490FMCF8   I6JC5YM7         10013_x000a_Uber Trip_x000a_help.uber.com_x000a_CA_x000a_I6JC5YM7         10013"/>
    <s v="Uber Trip           help.uber.com       CA"/>
    <s v="1455 MARKET ST_x000a_4TH FLOOR"/>
    <s v="SAN FRANCISCO_x000a_CA"/>
    <n v="94103"/>
    <s v="UNITED STATES"/>
    <s v="'320250920295842654'"/>
    <s v="Transportation-Taxis &amp; Coach"/>
    <s v="DELTARESERVE"/>
    <x v="2"/>
  </r>
  <r>
    <d v="2025-04-02T00:00:00"/>
    <s v="LATE FEE"/>
    <n v="39"/>
    <s v="LATE FEE"/>
    <s v="LATE FEE"/>
    <m/>
    <m/>
    <m/>
    <m/>
    <s v="'320250923315338028'"/>
    <s v="Fees &amp; Adjustments-Fees &amp; Adjustments"/>
    <s v="AMEXPLATINUM"/>
    <x v="13"/>
  </r>
  <r>
    <d v="2025-04-02T00:00:00"/>
    <s v="Bazaar              New York            NY"/>
    <n v="830"/>
    <s v="2896       2896             10001_x000a_Bazaar_x000a_New York_x000a_NY_x000a_2896             10001"/>
    <s v="Bazaar              New York            NY"/>
    <s v="1185 BROADWAY"/>
    <s v="NEW YORK_x000a_NY"/>
    <n v="10001"/>
    <s v="UNITED STATES"/>
    <s v="'320250930323315653'"/>
    <s v="Restaurant-Restaurant"/>
    <s v="DELTARESERVE"/>
    <x v="11"/>
  </r>
  <r>
    <d v="2025-04-02T00:00:00"/>
    <s v="Nubeluz             New York            NY"/>
    <n v="300"/>
    <s v="3929       3929             10001_x000a_Nubeluz_x000a_New York_x000a_NY_x000a_3929             10001"/>
    <s v="Nubeluz             New York            NY"/>
    <s v="1185 BROADWAY"/>
    <s v="NEW YORK_x000a_NY"/>
    <n v="10001"/>
    <s v="UNITED STATES"/>
    <s v="'320250930323374788'"/>
    <s v="Restaurant-Restaurant"/>
    <s v="DELTARESERVE"/>
    <x v="11"/>
  </r>
  <r>
    <d v="2025-04-02T00:00:00"/>
    <s v="TOPTAL.COM          SAN FRANCISCO       CA"/>
    <n v="79"/>
    <s v="CH_2R9GDQVY +18886043188_x000a_TOPTAL.COM_x000a_SAN FRANCISCO_x000a_CA_x000a_+18886043188"/>
    <s v="TOPTAL.COM          SAN FRANCISCO       CA"/>
    <s v="548 MARKET ST 36879"/>
    <s v="SAN FRANCISCO_x000a_CA"/>
    <n v="94104"/>
    <s v="UNITED STATES"/>
    <s v="'320250930335692274'"/>
    <s v="Merchandise &amp; Supplies-Computer Supplies"/>
    <s v="DELTARESERVE"/>
    <x v="6"/>
  </r>
  <r>
    <d v="2025-04-03T00:00:00"/>
    <s v="ONLINE PAYMENT - THANK YOU"/>
    <n v="-10000"/>
    <s v="ONLINE PAYMENT - THANK YOU"/>
    <s v="ONLINE PAYMENT - THANK YOU"/>
    <m/>
    <m/>
    <m/>
    <m/>
    <s v="'320250930317938233'"/>
    <m/>
    <s v="DELTARESERVE"/>
    <x v="0"/>
  </r>
  <r>
    <d v="2025-04-03T00:00:00"/>
    <s v="ONLINE PAYMENT - THANK YOU"/>
    <n v="-10000"/>
    <s v="ONLINE PAYMENT - THANK YOU"/>
    <s v="ONLINE PAYMENT - THANK YOU"/>
    <m/>
    <m/>
    <m/>
    <m/>
    <s v="'320250930317950007'"/>
    <m/>
    <s v="AMEXPLATINUM"/>
    <x v="0"/>
  </r>
  <r>
    <d v="2025-04-03T00:00:00"/>
    <s v="BT*CLV*VECTORMAGIC  EXCELSIOR           CA"/>
    <n v="9.9499999999999993"/>
    <s v="NAN3MF5J    4152302377_x000a_BT*CLV*VECTORMAGIC_x000a_EXCELSIOR_x000a_CA_x000a_4152302377"/>
    <s v="BT*CLV*VECTORMAGIC  EXCELSIOR           CA"/>
    <s v="2500 SHADYWOOD RD_x000a_STE 510"/>
    <s v="EXCELSIOR_x000a_CA"/>
    <n v="55331"/>
    <s v="UNITED STATES"/>
    <s v="'320250930320767992'"/>
    <s v="Merchandise &amp; Supplies-Computer Supplies"/>
    <s v="AMEXPLATINUM"/>
    <x v="3"/>
  </r>
  <r>
    <d v="2025-04-03T00:00:00"/>
    <s v="WL *STEAM PURCHASE  SEATTLE             WA"/>
    <n v="42.79"/>
    <s v="71094475093 425-952-2985_x000a_WL *STEAM PURCHASE_x000a_SEATTLE_x000a_WA_x000a_425-952-2985"/>
    <s v="WL *STEAM PURCHASE  SEATTLE             WA"/>
    <s v="10400 NORTH EAST_x000a_4TH STE STE 1400"/>
    <s v="SEATTLE_x000a_WA"/>
    <n v="98004"/>
    <s v="UNITED STATES"/>
    <s v="'320250930321616936'"/>
    <s v="Merchandise &amp; Supplies-General Retail"/>
    <s v="AMEXPLATINUM"/>
    <x v="3"/>
  </r>
  <r>
    <d v="2025-04-03T00:00:00"/>
    <s v="UBER"/>
    <n v="18.23"/>
    <s v="DPD44BTN   6LCDHEPJ         10001_x000a_Uber Trip_x000a_help.uber.com_x000a_CA_x000a_6LCDHEPJ         10001"/>
    <s v="Uber Trip           help.uber.com       CA"/>
    <s v="1455 MARKET ST_x000a_4TH FLOOR"/>
    <s v="SAN FRANCISCO_x000a_CA"/>
    <n v="94103"/>
    <s v="UNITED STATES"/>
    <s v="'320250930324221348'"/>
    <s v="Transportation-Taxis &amp; Coach"/>
    <s v="DELTARESERVE"/>
    <x v="2"/>
  </r>
  <r>
    <d v="2025-04-03T00:00:00"/>
    <s v="UBER"/>
    <n v="32.32"/>
    <s v="3ASVVJC9   TGB2G2TL         10012_x000a_Uber Trip_x000a_help.uber.com_x000a_CA_x000a_TGB2G2TL         10012"/>
    <s v="Uber Trip           help.uber.com       CA"/>
    <s v="1455 MARKET ST_x000a_4TH FLOOR"/>
    <s v="SAN FRANCISCO_x000a_CA"/>
    <n v="94103"/>
    <s v="UNITED STATES"/>
    <s v="'320250930324594676'"/>
    <s v="Transportation-Taxis &amp; Coach"/>
    <s v="DELTARESERVE"/>
    <x v="2"/>
  </r>
  <r>
    <d v="2025-04-03T00:00:00"/>
    <s v="MICROSOFT           MSBILL.INFO"/>
    <n v="25.84"/>
    <s v="Z7341F1SEVEZ7341F1SEVE8     98052_x000a_MICROSOFT_x000a_MSBILL.INFO_x000a_Z7341F1SEVE8     98052"/>
    <s v="MICROSOFT           MSBILL.INFO"/>
    <s v="1 MICROSOFT WAY"/>
    <s v="REDMOND_x000a_WA"/>
    <n v="98052"/>
    <s v="UNITED STATES"/>
    <s v="'320250930337493460'"/>
    <s v="Other-Miscellaneous"/>
    <s v="DELTARESERVE"/>
    <x v="1"/>
  </r>
  <r>
    <d v="2025-04-03T00:00:00"/>
    <s v="IN *THE WALLENSTEIN HOUSTON             TX"/>
    <n v="1393.76"/>
    <s v="094IAAN477T24664            770791_x000a_IN *THE WALLENSTEIN LAW GROUP_x000a_HOUSTON_x000a_TX_x000a_24664            770791"/>
    <s v="IN *THE WALLENSTEIN HOUSTON             TX"/>
    <s v="14133 MEMORIAL DR_x000a_STE 1"/>
    <s v="HOUSTON_x000a_TX"/>
    <n v="77079"/>
    <s v="UNITED STATES"/>
    <s v="'320250940348950793'"/>
    <s v="Business Services-Legal Services"/>
    <s v="DELTARESERVE"/>
    <x v="10"/>
  </r>
  <r>
    <d v="2025-04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0940355659040'"/>
    <s v="Business Services-Other Services"/>
    <s v="AMEXPLATINUM"/>
    <x v="8"/>
  </r>
  <r>
    <d v="2025-04-03T00:00:00"/>
    <s v="ARISTON CAFE 0000   NEW YORK            NY"/>
    <n v="23.52"/>
    <s v="40300261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0940363491314'"/>
    <s v="Restaurant-Bar &amp; CafÃ©"/>
    <s v="AMEXPLATINUM"/>
    <x v="3"/>
  </r>
  <r>
    <d v="2025-04-03T00:00:00"/>
    <s v="PAYPAL *GREENLIGHTC 4029357733          IS"/>
    <n v="928.2"/>
    <s v="10176889066 4029357733_x000a_PAYPAL *GREENLIGHTC GREENLIGHTC_x000a_4029357733_x000a_IS_x000a_Description : GENERAL Price : 0.00_x000a_4029357733"/>
    <s v="PAYPAL *GREENLIGHTC 4029357733          IS"/>
    <s v="."/>
    <s v="San Jose_x000a_CA"/>
    <n v="95131"/>
    <s v="UNITED STATES"/>
    <s v="'320250950394861597'"/>
    <s v="Business Services-Internet Services"/>
    <s v="DELTARESERVE"/>
    <x v="4"/>
  </r>
  <r>
    <d v="2025-04-04T00:00:00"/>
    <s v="THE CLEANERS IO, LLCNew York            NY"/>
    <n v="28.96"/>
    <s v="btyFM3IvNp9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940348776869'"/>
    <s v="Business Services-Other Services"/>
    <s v="DELTARESERVE"/>
    <x v="8"/>
  </r>
  <r>
    <d v="2025-04-04T00:00:00"/>
    <s v="PEACOCK             NEW YORK CITY       NY"/>
    <n v="7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0940350400481'"/>
    <s v="Communications-Cable &amp; Internet Comm"/>
    <s v="DELTARESERVE"/>
    <x v="3"/>
  </r>
  <r>
    <d v="2025-04-04T00:00:00"/>
    <s v="MICROSOFT           MSBILL.INFO"/>
    <n v="25.84"/>
    <s v="Z72Y1EMTCXPZ72Y1EMTCXPV     98052_x000a_MICROSOFT_x000a_MSBILL.INFO_x000a_Z72Y1EMTCXPV     98052"/>
    <s v="MICROSOFT           MSBILL.INFO"/>
    <s v="1 MICROSOFT WAY"/>
    <s v="REDMOND_x000a_WA"/>
    <n v="98052"/>
    <s v="UNITED STATES"/>
    <s v="'320250940362440265'"/>
    <s v="Other-Miscellaneous"/>
    <s v="DELTARESERVE"/>
    <x v="1"/>
  </r>
  <r>
    <d v="2025-04-04T00:00:00"/>
    <s v="A1010BUSD01         MSBILL.INFO"/>
    <n v="32.28"/>
    <s v="Z7291FBY8PSZ7291FBY8PS8     98052_x000a_A1010BUSD01_x000a_MSBILL.INFO_x000a_Z7291FBY8PS8     98052"/>
    <s v="A1010BUSD01         MSBILL.INFO"/>
    <s v="8TH FLOOR_x000a_91 MAIN ST"/>
    <s v="DALLAS_x000a_TX"/>
    <n v="75202"/>
    <s v="UNITED STATES"/>
    <s v="'320250940367023463'"/>
    <s v="Other-Miscellaneous"/>
    <s v="AMEXPLATINUM"/>
    <x v="1"/>
  </r>
  <r>
    <d v="2025-04-04T00:00:00"/>
    <s v="A1010BUSD01         MSBILL.INFO"/>
    <n v="21.4"/>
    <s v="Z72C1GSO96KZ72C1GSO96KA     98052_x000a_A1010BUSD01_x000a_MSBILL.INFO_x000a_Z72C1GSO96KA     98052"/>
    <s v="A1010BUSD01         MSBILL.INFO"/>
    <s v="8TH FLOOR_x000a_91 MAIN ST"/>
    <s v="DALLAS_x000a_TX"/>
    <n v="75202"/>
    <s v="UNITED STATES"/>
    <s v="'320250940367028361'"/>
    <s v="Other-Miscellaneous"/>
    <s v="AMEXPLATINUM"/>
    <x v="1"/>
  </r>
  <r>
    <d v="2025-04-04T00:00:00"/>
    <s v="A1010BUSD01         MSBILL.INFO"/>
    <n v="32.07"/>
    <s v="Z72A1F9Q6AHZ72A1F9Q6AHV     98052_x000a_A1010BUSD01_x000a_MSBILL.INFO_x000a_Z72A1F9Q6AHV     98052"/>
    <s v="A1010BUSD01         MSBILL.INFO"/>
    <s v="8TH FLOOR_x000a_91 MAIN ST"/>
    <s v="DALLAS_x000a_TX"/>
    <n v="75202"/>
    <s v="UNITED STATES"/>
    <s v="'320250940367029806'"/>
    <s v="Other-Miscellaneous"/>
    <s v="AMEXPLATINUM"/>
    <x v="1"/>
  </r>
  <r>
    <d v="2025-04-04T00:00:00"/>
    <s v="A1010BUSD01         MSBILL.INFO"/>
    <n v="59.92"/>
    <s v="Z7291GS47QQZ7291GS47QQZ     98052_x000a_A1010BUSD01_x000a_MSBILL.INFO_x000a_Z7291GS47QQZ     98052"/>
    <s v="A1010BUSD01         MSBILL.INFO"/>
    <s v="8TH FLOOR_x000a_91 MAIN ST"/>
    <s v="DALLAS_x000a_TX"/>
    <n v="75202"/>
    <s v="UNITED STATES"/>
    <s v="'320250940367031022'"/>
    <s v="Other-Miscellaneous"/>
    <s v="AMEXPLATINUM"/>
    <x v="1"/>
  </r>
  <r>
    <d v="2025-04-04T00:00:00"/>
    <s v="A1010BUSD01         REDMOND"/>
    <n v="21.4"/>
    <s v="Z72X1F8GLWRZ72X1F8GLWR8     98052_x000a_A1010BUSD01_x000a_REDMOND_x000a_Z72X1F8GLWR8     98052"/>
    <s v="A1010BUSD01         REDMOND"/>
    <s v="8TH FLOOR_x000a_91 MAIN ST"/>
    <s v="DALLAS_x000a_TX"/>
    <n v="75202"/>
    <s v="UNITED STATES"/>
    <s v="'320250940367059293'"/>
    <s v="Other-Miscellaneous"/>
    <s v="AMEXPLATINUM"/>
    <x v="1"/>
  </r>
  <r>
    <d v="2025-04-04T00:00:00"/>
    <s v="A1010BUSD01         MSBILL.INFO"/>
    <n v="289.06"/>
    <s v="Z72C1FD28HLZ72C1FD28HLF     98052_x000a_A1010BUSD01_x000a_MSBILL.INFO_x000a_Z72C1FD28HLF     98052"/>
    <s v="A1010BUSD01         MSBILL.INFO"/>
    <s v="8TH FLOOR_x000a_91 MAIN ST"/>
    <s v="DALLAS_x000a_TX"/>
    <n v="75202"/>
    <s v="UNITED STATES"/>
    <s v="'320250940367070159'"/>
    <s v="Other-Miscellaneous"/>
    <s v="AMEXPLATINUM"/>
    <x v="1"/>
  </r>
  <r>
    <d v="2025-04-04T00:00:00"/>
    <s v="UBER"/>
    <n v="36.590000000000003"/>
    <s v="M6N0896Y   7U7EGOAQ         10013_x000a_Uber Trip_x000a_help.uber.com_x000a_CA_x000a_7U7EGOAQ         10013"/>
    <s v="Uber Trip           help.uber.com       CA"/>
    <s v="1455 MARKET ST_x000a_4TH FLOOR"/>
    <s v="SAN FRANCISCO_x000a_CA"/>
    <n v="94103"/>
    <s v="UNITED STATES"/>
    <s v="'320250950378707772'"/>
    <s v="Transportation-Taxis &amp; Coach"/>
    <s v="DELTARESERVE"/>
    <x v="2"/>
  </r>
  <r>
    <d v="2025-04-04T00:00:00"/>
    <s v="UBER"/>
    <n v="31.42"/>
    <s v="K9ADRSEZ   4UCONMZZ         10012_x000a_Uber Trip_x000a_help.uber.com_x000a_CA_x000a_4UCONMZZ         10012"/>
    <s v="Uber Trip           help.uber.com       CA"/>
    <s v="1455 MARKET ST_x000a_4TH FLOOR"/>
    <s v="SAN FRANCISCO_x000a_CA"/>
    <n v="94103"/>
    <s v="UNITED STATES"/>
    <s v="'320250950378748548'"/>
    <s v="Transportation-Taxis &amp; Coach"/>
    <s v="DELTARESERVE"/>
    <x v="2"/>
  </r>
  <r>
    <d v="2025-04-04T00:00:00"/>
    <s v="SANT AMBROEUS       NEW YORK            NY"/>
    <n v="660"/>
    <s v="00024808024 RESTAURANT_x000a_SANT AMBROEUS_x000a_NEW YORK_x000a_NY_x000a_RESTAURANT"/>
    <s v="SANT AMBROEUS       NEW YORK            NY"/>
    <s v="259 WEST 4TH ST"/>
    <s v="NEW YORK_x000a_NY"/>
    <n v="10014"/>
    <s v="UNITED STATES"/>
    <s v="'320250950386082172'"/>
    <s v="Restaurant-Restaurant"/>
    <s v="DELTARESERVE"/>
    <x v="11"/>
  </r>
  <r>
    <d v="2025-04-04T00:00:00"/>
    <s v="D J*WSJ             800-568-7625        NJ"/>
    <n v="41.72"/>
    <s v="P-034715865 SUBSRIPTION_x000a_D J*WSJ_x000a_800-568-7625_x000a_NJ_x000a_SUBSRIPTION"/>
    <s v="D J*WSJ             800-568-7625        NJ"/>
    <s v="4300 RTE 1 NORTH"/>
    <s v="SOUTH BRUNSWICK_x000a_NJ"/>
    <s v="08852"/>
    <s v="UNITED STATES"/>
    <s v="'320250950391320064'"/>
    <s v="Merchandise &amp; Supplies-Mail Order"/>
    <s v="AMEXPLATINUM"/>
    <x v="8"/>
  </r>
  <r>
    <d v="2025-04-04T00:00:00"/>
    <s v="KALL8 00089590000642SEATTLE             WA"/>
    <n v="16.87"/>
    <s v="73011005094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0950395010982'"/>
    <s v="Other-Miscellaneous"/>
    <s v="AMEXPLATINUM"/>
    <x v="5"/>
  </r>
  <r>
    <d v="2025-04-05T00:00:00"/>
    <s v="GITHUB, INC.        SAN FRANCISCO       CA"/>
    <n v="4"/>
    <s v="CH_3RADAPJF +18774484820_x000a_GITHUB, INC._x000a_SAN FRANCISCO_x000a_CA_x000a_+18774484820"/>
    <s v="GITHUB, INC.        SAN FRANCISCO       CA"/>
    <s v="275 BRANNAN ST"/>
    <s v="SAN FRANCISCO_x000a_CA"/>
    <n v="94107"/>
    <s v="UNITED STATES"/>
    <s v="'320250950373609206'"/>
    <s v="Other-Miscellaneous"/>
    <s v="DELTARESERVE"/>
    <x v="1"/>
  </r>
  <r>
    <d v="2025-04-05T00:00:00"/>
    <s v="LAFAYETTE           NEW YORK            NY"/>
    <n v="200"/>
    <s v="05VM8URTXUT 2125333000_x000a_LAFAYETTE_x000a_NEW YORK_x000a_NY_x000a_Description : N/A Price : 0.00_x000a_2125333000"/>
    <s v="LAFAYETTE           NEW YORK            NY"/>
    <s v="380 LAFAYETTE ST_x000a_FRNT"/>
    <s v="NEW YORK_x000a_NY"/>
    <n v="10003"/>
    <s v="UNITED STATES"/>
    <s v="'320250950374677019'"/>
    <s v="Restaurant-Restaurant"/>
    <s v="DELTARESERVE"/>
    <x v="11"/>
  </r>
  <r>
    <d v="2025-04-05T00:00:00"/>
    <s v="STAPLES.COM         800-333-3330        MA"/>
    <n v="30.47"/>
    <s v="365652801  6946420174       100036_x000a_ORD 6946420174      ;REQ Kylie DAlessand_x000a_IT1 UPLOAD YOUR;UPI      27.9900;QTY1_x000a_IT2            ;UPI       0.0000;QTY_x000a_FRT         0.00;HDL         0.00;ITM1_x000a_STAPLES.COM_x000a_800-333-3330_x000a_MA_x000a_ORD 6946420174      ;REQ Kylie DAlessand_x000a_IT1 UPLOAD YOUR;UPI      27.9900;QTY1_x000a_IT2            ;UPI       0.0000;QTY_x000a_FRT         0.00;HDL         0.00;ITM1_x000a_6946420174       100036"/>
    <s v="STAPLES.COM         800-333-3330        MA"/>
    <s v="500 STAPLES DR"/>
    <s v="FRAMINGHAM_x000a_MA"/>
    <s v="01702-4474"/>
    <s v="UNITED STATES"/>
    <s v="'320250950386512316'"/>
    <s v="Merchandise &amp; Supplies-Internet Purchase"/>
    <s v="AMEXPLATINUM"/>
    <x v="3"/>
  </r>
  <r>
    <d v="2025-04-05T00:00:00"/>
    <s v="SUSHI SAMBA - LAS VELAS VEGAS           NV"/>
    <n v="310"/>
    <s v="0000916057       89109_x000a_SUSHI SAMBA - LAS VEGA_x000a_LAS VEGAS_x000a_NV_x000a_0000916057       89109"/>
    <s v="SUSHI SAMBA - LAS VELAS VEGAS           NV"/>
    <s v="3327 LAS VEGAS BLVD SOUTH GRAND CANAL SHOPPES AT THE PALAZZO"/>
    <s v="LAS VEGAS_x000a_NV"/>
    <n v="89109"/>
    <s v="UNITED STATES"/>
    <s v="'320250960399796957'"/>
    <s v="Restaurant-Restaurant"/>
    <s v="DELTARESERVE"/>
    <x v="11"/>
  </r>
  <r>
    <d v="2025-04-05T00:00:00"/>
    <s v="UBER"/>
    <n v="256.77"/>
    <s v="KW9WHMTF   2SJHK2LT         11430_x000a_Uber Trip_x000a_help.uber.com_x000a_CA_x000a_2SJHK2LT         11430"/>
    <s v="Uber Trip           help.uber.com       CA"/>
    <s v="1455 MARKET ST_x000a_4TH FLOOR"/>
    <s v="SAN FRANCISCO_x000a_CA"/>
    <n v="94103"/>
    <s v="UNITED STATES"/>
    <s v="'320250960402785876'"/>
    <s v="Transportation-Taxis &amp; Coach"/>
    <s v="DELTARESERVE"/>
    <x v="2"/>
  </r>
  <r>
    <d v="2025-04-05T00:00:00"/>
    <s v="ILLY CAFFE 000000001LAS VEGAS           NV"/>
    <n v="15.24"/>
    <s v="999999950967028692233_x000a_ILLY CAFFE 000000001_x000a_LAS VEGAS_x000a_NV_x000a_7028692233"/>
    <s v="ILLY CAFFE 000000001LAS VEGAS           NV"/>
    <s v="3325 LAS VEGAS BLVD SOUTH"/>
    <s v="LAS VEGAS_x000a_NV"/>
    <s v="89109-1414"/>
    <s v="UNITED STATES"/>
    <s v="'320250960405034779'"/>
    <s v="Restaurant-Restaurant"/>
    <s v="DELTARESERVE"/>
    <x v="11"/>
  </r>
  <r>
    <d v="2025-04-05T00:00:00"/>
    <s v="HUDSONNEWS  ST1176 1JAMAICA             NY"/>
    <n v="16.86"/>
    <s v="405214426  405174426        11430_x000a_NEWS DEALERS/NEWSSTANDS_x000a_HUDSONNEWS  ST1176 1176_x000a_JAMAICA_x000a_NY_x000a_NEWS DEALERS/NEWSSTANDS_x000a_405174426        11430"/>
    <s v="HUDSONNEWS  ST1176 1JAMAICA             NY"/>
    <s v="ROOM 2420_x000a_TERMINAL 4"/>
    <s v="JAMAICA_x000a_NY"/>
    <n v="11430"/>
    <s v="UNITED STATES"/>
    <s v="'320250960411950682'"/>
    <s v="Merchandise &amp; Supplies-Book Stores"/>
    <s v="DELTARESERVE"/>
    <x v="3"/>
  </r>
  <r>
    <d v="2025-04-06T00:00:00"/>
    <s v="LEMONADE INSURANCE 5INTERNET            NY"/>
    <n v="11.33"/>
    <s v="465H9T00113 HELP@LEMONADE.COM_x000a_LEMONADE INSURANCE 529657_x000a_INTERNET_x000a_NY_x000a_HELP@LEMONADE.COM"/>
    <s v="LEMONADE INSURANCE 5INTERNET            NY"/>
    <s v="5 CROSBY ST FL 3"/>
    <s v="NEW YORK_x000a_NY"/>
    <n v="10013"/>
    <s v="UNITED STATES"/>
    <s v="'320250960400141199'"/>
    <s v="Business Services-Insurance Services"/>
    <s v="AMEXPLATINUM"/>
    <x v="3"/>
  </r>
  <r>
    <d v="2025-04-06T00:00:00"/>
    <s v="BLUESTONE LANE - 150New York            NY"/>
    <n v="8.11"/>
    <s v="lOQt6Ei2ovd squareup.com/receipts_x000a_BLUESTONE LANE - 150_x000a_New York_x000a_NY_x000a_squareup.com/receipts"/>
    <s v="BLUESTONE LANE - 150New York            NY"/>
    <s v="1120 6TH AVE"/>
    <s v="NEW YORK_x000a_NY"/>
    <n v="10036"/>
    <s v="UNITED STATES"/>
    <s v="'320250960402344041'"/>
    <s v="Restaurant-Bar &amp; CafÃ©"/>
    <s v="AMEXPLATINUM"/>
    <x v="3"/>
  </r>
  <r>
    <d v="2025-04-06T00:00:00"/>
    <s v="UBER"/>
    <n v="23.03"/>
    <s v="E4XW6CZ7   YCT56UQG         89169_x000a_Uber Trip_x000a_help.uber.com_x000a_CA_x000a_YCT56UQG         89169"/>
    <s v="Uber Trip           help.uber.com       CA"/>
    <s v="1455 MARKET ST_x000a_4TH FLOOR"/>
    <s v="SAN FRANCISCO_x000a_CA"/>
    <n v="94103"/>
    <s v="UNITED STATES"/>
    <s v="'320250960403286084'"/>
    <s v="Transportation-Taxis &amp; Coach"/>
    <s v="DELTARESERVE"/>
    <x v="2"/>
  </r>
  <r>
    <d v="2025-04-06T00:00:00"/>
    <s v="SPECTRUM            855-707-7328        MO"/>
    <n v="109.99"/>
    <s v="RC139579616CABLE SVC_x000a_SPECTRUM_x000a_855-707-7328_x000a_MO_x000a_CABLE SVC"/>
    <s v="SPECTRUM            855-707-7328        MO"/>
    <s v="12405 POWERSCOURT DR"/>
    <s v="SAINT LOUIS_x000a_MO"/>
    <n v="63131"/>
    <s v="UNITED STATES"/>
    <s v="'320250960405240270'"/>
    <s v="Communications-Cable &amp; Internet Comm"/>
    <s v="AMEXPLATINUM"/>
    <x v="5"/>
  </r>
  <r>
    <d v="2025-04-06T00:00:00"/>
    <s v="FACEBK *QE7ZBP4RF2  MENLO PARK"/>
    <n v="26.86"/>
    <s v="96420498392 ADVERTISING SERVICE_x000a_FACEBK *QE7ZBP4RF2_x000a_MENLO PARK_x000a_ADVERTISING SERVICE"/>
    <s v="FACEBK *QE7ZBP4RF2  MENLO PARK"/>
    <s v="1 HACKER WAY"/>
    <s v="MENLO PARK_x000a_CA"/>
    <n v="94025"/>
    <s v="UNITED STATES"/>
    <s v="'320250960406289962'"/>
    <s v="Business Services-Advertising Services"/>
    <s v="AMEXPLATINUM"/>
    <x v="3"/>
  </r>
  <r>
    <d v="2025-04-06T00:00:00"/>
    <s v="DESERT CAB 436845559LAS VEGAS           NV"/>
    <n v="21.55"/>
    <s v="73011005096 GTBALABAN@AOL.COM_x000a_DESERT CAB 436845559619159_x000a_LAS VEGAS_x000a_NV_x000a_GTBALABAN@AOL.COM"/>
    <s v="DESERT CAB 436845559LAS VEGAS           NV"/>
    <s v="4675 WYNN RD"/>
    <s v="LAS VEGAS_x000a_NV"/>
    <n v="89103"/>
    <s v="UNITED STATES"/>
    <s v="'320250960423006817'"/>
    <s v="Transportation-Taxis &amp; Coach"/>
    <s v="DELTARESERVE"/>
    <x v="2"/>
  </r>
  <r>
    <d v="2025-04-06T00:00:00"/>
    <s v="JUICE GENERATION 19 NEW YORK            NY"/>
    <n v="12.92"/>
    <s v="00008301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0970431481776'"/>
    <s v="Restaurant-Bar &amp; CafÃ©"/>
    <s v="AMEXPLATINUM"/>
    <x v="3"/>
  </r>
  <r>
    <d v="2025-04-06T00:00:00"/>
    <s v="MILOS RESTAURANT    LAS VEGAS           NV"/>
    <n v="1000"/>
    <s v="1019341    1019341          89109_x000a_RESTAURANT_x000a_MILOS RESTAURANT_x000a_LAS VEGAS_x000a_NV_x000a_RESTAURANT_x000a_1019341          89109"/>
    <s v="MILOS RESTAURANT    LAS VEGAS           NV"/>
    <s v="ATTN TREASURY_x000a_DEPARTMENT 3355 LAS VEGAS BLVD S"/>
    <s v="LAS VEGAS_x000a_NV"/>
    <n v="89109"/>
    <s v="UNITED STATES"/>
    <s v="'320250970433215290'"/>
    <s v="Restaurant-Restaurant"/>
    <s v="DELTARESERVE"/>
    <x v="11"/>
  </r>
  <r>
    <d v="2025-04-06T00:00:00"/>
    <s v="KITCHEN AT COMMONS CLAS VEGAS           NV"/>
    <n v="60"/>
    <s v="1199938    1199938          89169_x000a_KITCHEN AT COMMONS CLUB_x000a_LAS VEGAS_x000a_NV_x000a_1199938          89169"/>
    <s v="KITCHEN AT COMMONS CLAS VEGAS           NV"/>
    <s v="4455 PARADISE RD"/>
    <s v="LAS VEGAS_x000a_NV"/>
    <n v="89169"/>
    <s v="UNITED STATES"/>
    <s v="'320250970433828718'"/>
    <s v="Restaurant-Restaurant"/>
    <s v="DELTARESERVE"/>
    <x v="11"/>
  </r>
  <r>
    <d v="2025-04-06T00:00:00"/>
    <s v="CVS PHARMACY        LAS VEGAS           NV"/>
    <n v="24.61"/>
    <s v="10095567   8007467287_x000a_PHARMACIES_x000a_CVS PHARMACY_x000a_LAS VEGAS_x000a_NV_x000a_PHARMACIES_x000a_8007467287"/>
    <s v="CVS PHARMACY        LAS VEGAS           NV"/>
    <s v="4490 PARADISE RD"/>
    <s v="LAS VEGAS_x000a_NV"/>
    <n v="89169"/>
    <s v="UNITED STATES"/>
    <s v="'320250970436947630'"/>
    <s v="Merchandise &amp; Supplies-Pharmacies"/>
    <s v="DELTARESERVE"/>
    <x v="18"/>
  </r>
  <r>
    <d v="2025-04-06T00:00:00"/>
    <s v="VIRGIN VALLEY CAB 43LAS VEGAS           NV"/>
    <n v="22.69"/>
    <s v="73011005097 GTBALABAN@GMAIL.COM_x000a_VIRGIN VALLEY CAB 436845560345349_x000a_LAS VEGAS_x000a_NV_x000a_GTBALABAN@GMAIL.COM"/>
    <s v="VIRGIN VALLEY CAB 43LAS VEGAS           NV"/>
    <s v="4675 WYNN RD"/>
    <s v="LAS VEGAS_x000a_NV"/>
    <n v="89103"/>
    <s v="UNITED STATES"/>
    <s v="'320250970447487068'"/>
    <s v="Transportation-Taxis &amp; Coach"/>
    <s v="DELTARESERVE"/>
    <x v="2"/>
  </r>
  <r>
    <d v="2025-04-07T00:00:00"/>
    <s v="Interest Charge on Pay Over Time Purchases"/>
    <n v="262.58"/>
    <s v="Interest Charge on Pay Over Time Purchases"/>
    <s v="Interest Charge on Pay Over Time Purchases"/>
    <m/>
    <m/>
    <m/>
    <m/>
    <s v="'150408060000496293'"/>
    <s v="Fees &amp; Adjustments-Fees &amp; Adjustments"/>
    <s v="AMEXPLATINUM"/>
    <x v="13"/>
  </r>
  <r>
    <d v="2025-04-07T00:00:00"/>
    <s v="LA COLOMBE - NOHO   New York            NY"/>
    <n v="8.35"/>
    <s v="z7Lrpn2xYH7 squareup.com/receipts_x000a_LA COLOMBE - NOHO_x000a_New York_x000a_NY_x000a_squareup.com/receipts"/>
    <s v="LA COLOMBE - NOHO   New York            NY"/>
    <s v="400 LAFAYETTE ST"/>
    <s v="NEW YORK_x000a_NY"/>
    <n v="10003"/>
    <s v="UNITED STATES"/>
    <s v="'320250970432166091'"/>
    <s v="Restaurant-Restaurant"/>
    <s v="AMEXPLATINUM"/>
    <x v="3"/>
  </r>
  <r>
    <d v="2025-04-07T00:00:00"/>
    <s v="A1010BUSD01         MSBILL.INFO"/>
    <n v="21.38"/>
    <s v="Z72C1MZS6BXZ72C1MZS6BXA     98052_x000a_A1010BUSD01_x000a_MSBILL.INFO_x000a_Z72C1MZS6BXA     98052"/>
    <s v="A1010BUSD01         MSBILL.INFO"/>
    <s v="8TH FLOOR_x000a_91 MAIN ST"/>
    <s v="DALLAS_x000a_TX"/>
    <n v="75202"/>
    <s v="UNITED STATES"/>
    <s v="'320250970444802730'"/>
    <s v="Other-Miscellaneous"/>
    <s v="DELTARESERVE"/>
    <x v="1"/>
  </r>
  <r>
    <d v="2025-04-07T00:00:00"/>
    <s v="ILLY CAFFE 000000001LAS VEGAS           NV"/>
    <n v="17.690000000000001"/>
    <s v="999999950987028692233_x000a_ILLY CAFFE 000000001_x000a_LAS VEGAS_x000a_NV_x000a_7028692233"/>
    <s v="ILLY CAFFE 000000001LAS VEGAS           NV"/>
    <s v="3325 LAS VEGAS BLVD SOUTH"/>
    <s v="LAS VEGAS_x000a_NV"/>
    <s v="89109-1414"/>
    <s v="UNITED STATES"/>
    <s v="'320250980458614017'"/>
    <s v="Restaurant-Restaurant"/>
    <s v="DELTARESERVE"/>
    <x v="11"/>
  </r>
  <r>
    <d v="2025-04-07T00:00:00"/>
    <s v="HUDSON-DUNKIN ST1599LAS VEGAS           NV"/>
    <n v="3.9"/>
    <s v="407195344  407155344        89169_x000a_DUTY FREE STORE_x000a_HUDSON-DUNKIN ST1599 1599_x000a_LAS VEGAS_x000a_NV_x000a_DUTY FREE STORE_x000a_407155344        89169"/>
    <s v="HUDSON-DUNKIN ST1599LAS VEGAS           NV"/>
    <s v="4495 WEST RENO AVE"/>
    <s v="LAS VEGAS_x000a_NV"/>
    <n v="89118"/>
    <s v="UNITED STATES"/>
    <s v="'320250980459108984'"/>
    <s v="Merchandise &amp; Supplies-General Retail"/>
    <s v="DELTARESERVE"/>
    <x v="18"/>
  </r>
  <r>
    <d v="2025-04-07T00:00:00"/>
    <s v="Delmonico SteakhouseNew Orleans         LA"/>
    <n v="430"/>
    <s v="11458      11458            70130_x000a_Bread_x000a_Martini Up_x000a_Bone-In Bacon_x000a_Caviar Deviled Eggs_x000a_Delmonico Steakhouse - 06 Dini_x000a_New Orleans_x000a_LA_x000a_Bread_x000a_Martini Up_x000a_Bone-In Bacon_x000a_Caviar Deviled Eggs_x000a_11458            70130"/>
    <s v="Delmonico SteakhouseNew Orleans         LA"/>
    <s v="3355 LAS VEGAS BLVD SOUTH"/>
    <s v="LAS VEGAS_x000a_NV"/>
    <s v="89109-8941"/>
    <s v="UNITED STATES"/>
    <s v="'320250980461058232'"/>
    <s v="Restaurant-Restaurant"/>
    <s v="DELTARESERVE"/>
    <x v="11"/>
  </r>
  <r>
    <d v="2025-04-07T00:00:00"/>
    <s v="ERACTOLL 7Q1N3L     877-860-1258        NY"/>
    <n v="31.44"/>
    <s v="T191873011  877-860-1258_x000a_ERACTOLL 7Q1N3L_x000a_877-860-1258_x000a_NY_x000a_Description : ERACTOLL 7Q1N3L Price : 0.00_x000a_877-860-1258"/>
    <s v="ERACTOLL 7Q1N3L     877-860-1258        NY"/>
    <s v="-"/>
    <e v="#NAME?"/>
    <n v="11577"/>
    <s v="UNITED STATES"/>
    <s v="'320250980464250656'"/>
    <s v="Transportation-Tolls &amp; Fees"/>
    <s v="DELTARESERVE"/>
    <x v="9"/>
  </r>
  <r>
    <d v="2025-04-07T00:00:00"/>
    <s v="IONOS               www.ionos.com       PA"/>
    <n v="41.12"/>
    <s v="00631157138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0980468774091'"/>
    <s v="Merchandise &amp; Supplies-Computer Supplies"/>
    <s v="AMEXPLATINUM"/>
    <x v="1"/>
  </r>
  <r>
    <d v="2025-04-07T00:00:00"/>
    <s v="INTUIT *TURBOTAX    800-446-8848        CA"/>
    <n v="217.21"/>
    <s v="09110U17440 CL.INTUIT.COM_x000a_INTUIT *TURBOTAX_x000a_800-446-8848_x000a_CA_x000a_CL.INTUIT.COM"/>
    <s v="INTUIT *TURBOTAX    800-446-8848        CA"/>
    <s v="7535 TORREY SANTA FE RD"/>
    <s v="SAN DIEGO_x000a_CA"/>
    <s v="92129-5704"/>
    <s v="UNITED STATES"/>
    <s v="'320250980470473365'"/>
    <s v="Merchandise &amp; Supplies-Computer Supplies"/>
    <s v="AMEXPLATINUM"/>
    <x v="1"/>
  </r>
  <r>
    <d v="2025-04-07T00:00:00"/>
    <s v="ARLOTECHNOLOGIES INC408-638-3750        CA"/>
    <n v="21.39"/>
    <s v="215462665  215462665        12866_x000a_ARLOTECHNOLOGIES INC_x000a_408-638-3750_x000a_CA_x000a_215462665        12866"/>
    <s v="ARLOTECHNOLOGIES INC408-638-3750        CA"/>
    <s v="STE 200_x000a_480 N MCCARTHY BLVD"/>
    <s v="MILPITAS_x000a_CA"/>
    <n v="95035"/>
    <s v="UNITED STATES"/>
    <s v="'320250990481498487'"/>
    <s v="Merchandise &amp; Supplies-Wholesale Stores"/>
    <s v="DELTARESERVE"/>
    <x v="1"/>
  </r>
  <r>
    <d v="2025-04-08T00:00:00"/>
    <s v="OGLMOVE.COM         ROOM 20 UNIT B3,07/FHK"/>
    <n v="130"/>
    <s v="CH_3RBJE7EK +8618620723738_x000a_OGLMOVE.COM_x000a_ROOM 20 UNIT B3,07/FL_x000a_HK"/>
    <s v="OGLMOVE.COM         ROOM 20 UNIT B3,07/FHK"/>
    <s v="&quot;NO.2 SANPING CIRCUIT,TUEN MUN&quot;_x000a_&quot;ROOM 20 UNIT B3,07/FL TUEN MUN INDUSTRIA&quot;"/>
    <m/>
    <m/>
    <s v="HONG KONG"/>
    <s v="'320250970428795559'"/>
    <s v="Merchandise &amp; Supplies-Clothing Stores"/>
    <s v="AMEXPLATINUM"/>
    <x v="3"/>
  </r>
  <r>
    <d v="2025-04-08T00:00:00"/>
    <s v="THE CLEANERS IO, LLCNew York            NY"/>
    <n v="33.25"/>
    <s v="p2Zu7noilFd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0980456462408'"/>
    <s v="Business Services-Other Services"/>
    <s v="AMEXPLATINUM"/>
    <x v="8"/>
  </r>
  <r>
    <d v="2025-04-08T00:00:00"/>
    <s v="THE BEAN            New York            NY"/>
    <n v="18.32"/>
    <s v="fLeSPvXBdqk squareup.com/receipts_x000a_THE BEAN_x000a_New York_x000a_NY_x000a_squareup.com/receipts"/>
    <s v="THE BEAN            New York            NY"/>
    <s v="771 BROADWAY"/>
    <s v="NEW YORK_x000a_NY"/>
    <n v="10003"/>
    <s v="UNITED STATES"/>
    <s v="'320250980458115304'"/>
    <s v="Restaurant-Bar &amp; CafÃ©"/>
    <s v="AMEXPLATINUM"/>
    <x v="3"/>
  </r>
  <r>
    <d v="2025-04-08T00:00:00"/>
    <s v="MOBILE PAYMENT - THANK YOU"/>
    <n v="-5000"/>
    <s v="MOBILE PAYMENT - THANK YOU"/>
    <s v="MOBILE PAYMENT - THANK YOU"/>
    <m/>
    <m/>
    <m/>
    <m/>
    <s v="'320250990473722327'"/>
    <m/>
    <s v="DELTARESERVE"/>
    <x v="0"/>
  </r>
  <r>
    <d v="2025-04-08T00:00:00"/>
    <s v="HUDSON-DUNKIN ST1599LAS VEGAS           NV"/>
    <n v="16.02"/>
    <s v="408150659  408110659        89169_x000a_DUTY FREE STORE_x000a_HUDSON-DUNKIN ST1599 1599_x000a_LAS VEGAS_x000a_NV_x000a_DUTY FREE STORE_x000a_408110659        89169"/>
    <s v="HUDSON-DUNKIN ST1599LAS VEGAS           NV"/>
    <s v="4495 WEST RENO AVE"/>
    <s v="LAS VEGAS_x000a_NV"/>
    <n v="89118"/>
    <s v="UNITED STATES"/>
    <s v="'320250990484934420'"/>
    <s v="Merchandise &amp; Supplies-General Retail"/>
    <s v="DELTARESERVE"/>
    <x v="18"/>
  </r>
  <r>
    <d v="2025-04-08T00:00:00"/>
    <s v="HUDSON-DUNKIN ST1599LAS VEGAS           NV"/>
    <n v="6.16"/>
    <s v="408150836  408110836        89169_x000a_DUTY FREE STORE_x000a_HUDSON-DUNKIN ST1599 1599_x000a_LAS VEGAS_x000a_NV_x000a_DUTY FREE STORE_x000a_408110836        89169"/>
    <s v="HUDSON-DUNKIN ST1599LAS VEGAS           NV"/>
    <s v="4495 WEST RENO AVE"/>
    <s v="LAS VEGAS_x000a_NV"/>
    <n v="89118"/>
    <s v="UNITED STATES"/>
    <s v="'320250990484934865'"/>
    <s v="Merchandise &amp; Supplies-General Retail"/>
    <s v="DELTARESERVE"/>
    <x v="18"/>
  </r>
  <r>
    <d v="2025-04-08T00:00:00"/>
    <s v="ILLY CAFFE 000000001LAS VEGAS           NV"/>
    <n v="9.68"/>
    <s v="999999950997028692233_x000a_ILLY CAFFE 000000001_x000a_LAS VEGAS_x000a_NV_x000a_7028692233"/>
    <s v="ILLY CAFFE 000000001LAS VEGAS           NV"/>
    <s v="3325 LAS VEGAS BLVD SOUTH"/>
    <s v="LAS VEGAS_x000a_NV"/>
    <s v="89109-1414"/>
    <s v="UNITED STATES"/>
    <s v="'320250990485748328'"/>
    <s v="Restaurant-Restaurant"/>
    <s v="DELTARESERVE"/>
    <x v="11"/>
  </r>
  <r>
    <d v="2025-04-08T00:00:00"/>
    <s v="ATHLETA US 7049     NEW YORK            NY"/>
    <n v="71.98"/>
    <s v="832159     0000000000000000010011_x000a_ATHLETA US 7049_x000a_NEW YORK_x000a_NY_x000a_0000000000000000010011"/>
    <s v="ATHLETA US 7049     NEW YORK            NY"/>
    <s v="126 5TH AVE"/>
    <s v="NEW YORK_x000a_NY"/>
    <n v="10011"/>
    <s v="UNITED STATES"/>
    <s v="'320250990494800935'"/>
    <s v="Merchandise &amp; Supplies-Clothing Stores"/>
    <s v="AMEXPLATINUM"/>
    <x v="3"/>
  </r>
  <r>
    <d v="2025-04-09T00:00:00"/>
    <s v="TST* RESTAURANT ROW LAS VEGAS           NV"/>
    <n v="319.2"/>
    <s v="00195989024 RESTAURANT_x000a_TST* RESTAURANT ROW CORNE 00195989_x000a_LAS VEGAS_x000a_NV_x000a_RESTAURANT"/>
    <s v="TST* RESTAURANT ROW LAS VEGAS           NV"/>
    <s v="3355 SOUTH LAS VEGAS BLVD ST 106"/>
    <s v="LAS VEGAS_x000a_NV"/>
    <n v="89109"/>
    <s v="UNITED STATES"/>
    <s v="'320250990486518553'"/>
    <s v="Restaurant-Restaurant"/>
    <s v="DELTARESERVE"/>
    <x v="11"/>
  </r>
  <r>
    <d v="2025-04-09T00:00:00"/>
    <s v="MICROSOFT           MSBILL.INFO"/>
    <n v="165.44"/>
    <s v="Z72H1QJYVH5Z72H1QJYVH5B     98052_x000a_MICROSOFT_x000a_MSBILL.INFO_x000a_Z72H1QJYVH5B     98052"/>
    <s v="MICROSOFT           MSBILL.INFO"/>
    <s v="1 MICROSOFT WAY"/>
    <s v="REDMOND_x000a_WA"/>
    <n v="98052"/>
    <s v="UNITED STATES"/>
    <s v="'320250990495603761'"/>
    <s v="Other-Miscellaneous"/>
    <s v="AMEXPLATINUM"/>
    <x v="1"/>
  </r>
  <r>
    <d v="2025-04-09T00:00:00"/>
    <s v="MICROSOFT           MSBILL.INFO"/>
    <n v="223.33"/>
    <s v="Z7381RYV04JZ7381RYV04J7     98052_x000a_MICROSOFT_x000a_MSBILL.INFO_x000a_Z7381RYV04J7     98052"/>
    <s v="MICROSOFT           MSBILL.INFO"/>
    <s v="1 MICROSOFT WAY"/>
    <s v="REDMOND_x000a_WA"/>
    <n v="98052"/>
    <s v="UNITED STATES"/>
    <s v="'320250990495909825'"/>
    <s v="Other-Miscellaneous"/>
    <s v="DELTARESERVE"/>
    <x v="1"/>
  </r>
  <r>
    <d v="2025-04-09T00:00:00"/>
    <s v="MOBILE PAYMENT - THANK YOU"/>
    <n v="-5000"/>
    <s v="MOBILE PAYMENT - THANK YOU"/>
    <s v="MOBILE PAYMENT - THANK YOU"/>
    <m/>
    <m/>
    <m/>
    <m/>
    <s v="'320250990500522453'"/>
    <m/>
    <s v="DELTARESERVE"/>
    <x v="0"/>
  </r>
  <r>
    <d v="2025-04-09T00:00:00"/>
    <s v="ILLY CAFFE 000000001LAS VEGAS           NV"/>
    <n v="22.61"/>
    <s v="999999951007028692233_x000a_ILLY CAFFE 000000001_x000a_LAS VEGAS_x000a_NV_x000a_7028692233"/>
    <s v="ILLY CAFFE 000000001LAS VEGAS           NV"/>
    <s v="3325 LAS VEGAS BLVD SOUTH"/>
    <s v="LAS VEGAS_x000a_NV"/>
    <s v="89109-1414"/>
    <s v="UNITED STATES"/>
    <s v="'320251000511493392'"/>
    <s v="Restaurant-Restaurant"/>
    <s v="AMEXPLATINUM"/>
    <x v="3"/>
  </r>
  <r>
    <d v="2025-04-09T00:00:00"/>
    <s v="YARDBIRD            LAS VEGAS           NV"/>
    <n v="304.56"/>
    <s v="4222990    4222990          89109_x000a_RESTAURANT_x000a_YARDBIRD_x000a_LAS VEGAS_x000a_NV_x000a_RESTAURANT_x000a_4222990          89109"/>
    <s v="YARDBIRD            LAS VEGAS           NV"/>
    <s v="ATTN TREASURY_x000a_DEPARTMENT 3355 LAS VEGAS BLVD S"/>
    <s v="LAS VEGAS_x000a_NV"/>
    <n v="89109"/>
    <s v="UNITED STATES"/>
    <s v="'320251000512283605'"/>
    <s v="Travel-Lodging"/>
    <s v="DELTARESERVE"/>
    <x v="17"/>
  </r>
  <r>
    <d v="2025-04-09T00:00:00"/>
    <s v="HUDSONNEWS  ST1176 1JAMAICA             NY"/>
    <n v="34"/>
    <s v="409142037  409102037        11430_x000a_NEWS DEALERS/NEWSSTANDS_x000a_HUDSONNEWS  ST1176 1176_x000a_JAMAICA_x000a_NY_x000a_NEWS DEALERS/NEWSSTANDS_x000a_409102037        11430"/>
    <s v="HUDSONNEWS  ST1176 1JAMAICA             NY"/>
    <s v="ROOM 2420_x000a_TERMINAL 4"/>
    <s v="JAMAICA_x000a_NY"/>
    <n v="11430"/>
    <s v="UNITED STATES"/>
    <s v="'320251000516311236'"/>
    <s v="Merchandise &amp; Supplies-Book Stores"/>
    <s v="AMEXPLATINUM"/>
    <x v="3"/>
  </r>
  <r>
    <d v="2025-04-09T00:00:00"/>
    <s v="6353310 - PEETS B26 JAMAICA             NY"/>
    <n v="9.4700000000000006"/>
    <s v="RESTAURANT_x000a_6353310 - PEETS B26 46457_x000a_JAMAICA_x000a_NY_x000a_RESTAURANT"/>
    <s v="6353310 - PEETS B26 JAMAICA             NY"/>
    <s v="JFK INTERNATIONAL AIRPORT_x000a_STORE 1051310"/>
    <s v="JAMAICA_x000a_NY"/>
    <n v="11430"/>
    <s v="UNITED STATES"/>
    <s v="'320251000520703790'"/>
    <s v="Business Services-Other Services"/>
    <s v="AMEXPLATINUM"/>
    <x v="3"/>
  </r>
  <r>
    <d v="2025-04-09T00:00:00"/>
    <s v="VENETIAN/PALAZZO FRTLAS VEGAS           NV"/>
    <n v="1183.1300000000001"/>
    <s v="11935693   11935693         89109_x000a_HOTEL_x000a_VENETIAN/PALAZZO FRT DES_x000a_LAS VEGAS_x000a_NV_x000a_HOTEL_x000a_11935693         89109"/>
    <s v="VENETIAN/PALAZZO FRTLAS VEGAS           NV"/>
    <s v="3355 SOUTH LAS VEGAS BLVD"/>
    <s v="LAS VEGAS_x000a_NV"/>
    <n v="89109"/>
    <s v="UNITED STATES"/>
    <s v="'320251000522711974'"/>
    <s v="Travel-Lodging"/>
    <s v="DELTARESERVE"/>
    <x v="17"/>
  </r>
  <r>
    <d v="2025-04-09T00:00:00"/>
    <s v="The Venetian/Palazzo7024141000          NV"/>
    <n v="361.91"/>
    <s v="11943695   11943695         89109_x000a_NONE_x000a_The Venetian/Palazzo_x000a_7024141000_x000a_NV_x000a_NONE_x000a_11943695         89109"/>
    <s v="The Venetian/Palazzo7024141000          NV"/>
    <s v="ATTN TREASURY_x000a_DEPARTMENT 3355 LAS VEGAS BLVD S"/>
    <s v="LAS VEGAS_x000a_NV"/>
    <s v="89109-8941"/>
    <s v="UNITED STATES"/>
    <s v="'320251000522987769'"/>
    <s v="Travel-Lodging"/>
    <s v="DELTARESERVE"/>
    <x v="17"/>
  </r>
  <r>
    <d v="2025-04-09T00:00:00"/>
    <s v="DESERT CAB 436845559LAS VEGAS           NV"/>
    <n v="18.88"/>
    <s v="73011005100 GTBALABAN@AOL.COM_x000a_DESERT CAB 436845559619159_x000a_LAS VEGAS_x000a_NV_x000a_GTBALABAN@AOL.COM"/>
    <s v="DESERT CAB 436845559LAS VEGAS           NV"/>
    <s v="4675 WYNN RD"/>
    <s v="LAS VEGAS_x000a_NV"/>
    <n v="89103"/>
    <s v="UNITED STATES"/>
    <s v="'320251000527558947'"/>
    <s v="Transportation-Taxis &amp; Coach"/>
    <s v="DELTARESERVE"/>
    <x v="2"/>
  </r>
  <r>
    <d v="2025-04-10T00:00:00"/>
    <s v="PADDLE.NET* GEOGUESSNEW YORK            NY"/>
    <n v="35.880000000000003"/>
    <s v="305733656   ALICE@PADDLE.COM_x000a_PADDLE.NET* GEOGUESSR 515334_x000a_NEW YORK_x000a_NY_x000a_ALICE@PADDLE.COM"/>
    <s v="PADDLE.NET* GEOGUESSNEW YORK            NY"/>
    <s v="70 WILSON STREET"/>
    <s v="LONDON_x000a_ENG"/>
    <s v="EC2A 2DB"/>
    <s v="UNITED KINGDOM OF GB AND NI"/>
    <s v="'320251000508159620'"/>
    <s v="Merchandise &amp; Supplies-Computer Supplies"/>
    <s v="AMEXPLATINUM"/>
    <x v="3"/>
  </r>
  <r>
    <d v="2025-04-10T00:00:00"/>
    <s v="UBER"/>
    <n v="26.28"/>
    <s v="PKPPDAH6   6AJC2DID         89109_x000a_Uber Trip_x000a_help.uber.com_x000a_CA_x000a_6AJC2DID         89109"/>
    <s v="Uber Trip           help.uber.com       CA"/>
    <s v="1455 MARKET ST_x000a_4TH FLOOR"/>
    <s v="SAN FRANCISCO_x000a_CA"/>
    <n v="94103"/>
    <s v="UNITED STATES"/>
    <s v="'320251000509879514'"/>
    <s v="Transportation-Taxis &amp; Coach"/>
    <s v="DELTARESERVE"/>
    <x v="2"/>
  </r>
  <r>
    <d v="2025-04-10T00:00:00"/>
    <s v="VIRGIN HOTELS LAS VELAS VEGAS           NV"/>
    <n v="1674.17"/>
    <s v="45732257201 7026935000_x000a_LODGING_x000a_VIRGIN HOTELS LAS VEGAS_x000a_LAS VEGAS_x000a_NV"/>
    <s v="VIRGIN HOTELS LAS VELAS VEGAS           NV"/>
    <s v="4455 PARADISE RD"/>
    <s v="LAS VEGAS_x000a_NV"/>
    <s v="89169-6574"/>
    <s v="UNITED STATES"/>
    <s v="'320251000512533292'"/>
    <s v="Travel-Lodging"/>
    <s v="DELTARESERVE"/>
    <x v="17"/>
  </r>
  <r>
    <d v="2025-04-10T00:00:00"/>
    <s v="VENETIAN/PALAZZO FRTLAS VEGAS           NV"/>
    <n v="62.36"/>
    <s v="11944819   11944819         89109_x000a_HOTEL_x000a_VENETIAN/PALAZZO FRT DES_x000a_LAS VEGAS_x000a_NV_x000a_HOTEL_x000a_11944819         89109"/>
    <s v="VENETIAN/PALAZZO FRTLAS VEGAS           NV"/>
    <s v="3355 SOUTH LAS VEGAS BLVD"/>
    <s v="LAS VEGAS_x000a_NV"/>
    <n v="89109"/>
    <s v="UNITED STATES"/>
    <s v="'320251000527510251'"/>
    <s v="Travel-Lodging"/>
    <s v="DELTARESERVE"/>
    <x v="17"/>
  </r>
  <r>
    <d v="2025-04-10T00:00:00"/>
    <s v="PALAZZO POOL BAR    LAS VEGAS           NV"/>
    <n v="31.58"/>
    <s v="127919     127919           89109_x000a_NONE_x000a_PALAZZO POOL BAR_x000a_LAS VEGAS_x000a_NV_x000a_NONE_x000a_127919           89109"/>
    <s v="PALAZZO POOL BAR    LAS VEGAS           NV"/>
    <s v="ATTN TREASURY_x000a_DEPARTMENT 3355 LAS VEGAS BLVD S"/>
    <s v="LAS VEGAS_x000a_NV"/>
    <s v="89109-8941"/>
    <s v="UNITED STATES"/>
    <s v="'320251010537905439'"/>
    <s v="Merchandise &amp; Supplies-General Retail"/>
    <s v="AMEXPLATINUM"/>
    <x v="3"/>
  </r>
  <r>
    <d v="2025-04-10T00:00:00"/>
    <s v="ILLY CAFFE 000000001LAS VEGAS           NV"/>
    <n v="7.13"/>
    <s v="999999951017028692233_x000a_ILLY CAFFE 000000001_x000a_LAS VEGAS_x000a_NV_x000a_7028692233"/>
    <s v="ILLY CAFFE 000000001LAS VEGAS           NV"/>
    <s v="3325 LAS VEGAS BLVD SOUTH"/>
    <s v="LAS VEGAS_x000a_NV"/>
    <s v="89109-1414"/>
    <s v="UNITED STATES"/>
    <s v="'320251010538467237'"/>
    <s v="Restaurant-Restaurant"/>
    <s v="DELTARESERVE"/>
    <x v="11"/>
  </r>
  <r>
    <d v="2025-04-10T00:00:00"/>
    <s v="MOTT 32             LAS VEGAS           NV"/>
    <n v="450"/>
    <s v="999857      702-414-1000_x000a_MOTT 32_x000a_LAS VEGAS_x000a_NV"/>
    <s v="MOTT 32             LAS VEGAS           NV"/>
    <s v="ATTN TREASURY_x000a_DEPARTMENT 3355 LAS VEGAS BLVD S"/>
    <s v="LAS VEGAS_x000a_NV"/>
    <n v="89084"/>
    <s v="UNITED STATES"/>
    <s v="'320251010547414625'"/>
    <s v="Restaurant-Restaurant"/>
    <s v="DELTARESERVE"/>
    <x v="11"/>
  </r>
  <r>
    <d v="2025-04-11T00:00:00"/>
    <s v="RWLV STUBBORN SEED RLAS VEGAS           NV"/>
    <n v="1100"/>
    <s v="793069021   702-676-6632_x000a_RWLV STUBBORN SEED RWLV STUBBORN S_x000a_LAS VEGAS_x000a_NV_x000a_702-676-6632"/>
    <s v="RWLV STUBBORN SEED RLAS VEGAS           NV"/>
    <s v="3000 SOUTH LAS VEGAS BLVD"/>
    <s v="LAS VEGAS_x000a_NV"/>
    <n v="89109"/>
    <s v="UNITED STATES"/>
    <s v="'320251020567758580'"/>
    <s v="Travel-Lodging"/>
    <s v="AMEXPLATINUM"/>
    <x v="11"/>
  </r>
  <r>
    <d v="2025-04-11T00:00:00"/>
    <s v="ILLUSTRATOR Adobe SySAN JOSE            CA"/>
    <n v="36.9"/>
    <s v="580372141   ADOBE.LY/ENUS_x000a_ILLUSTRATOR Adobe Systems_x000a_SAN JOSE_x000a_CA_x000a_Description : 0 Price : 0.3449_x000a_ADOBE.LY/ENUS"/>
    <s v="ILLUSTRATOR Adobe SySAN JOSE            CA"/>
    <s v="801 N 34TH ST"/>
    <s v="SEATTLE_x000a_WA"/>
    <n v="98103"/>
    <s v="UNITED STATES"/>
    <s v="'320251020572902742'"/>
    <s v="Merchandise &amp; Supplies-Mail Order"/>
    <s v="AMEXPLATINUM"/>
    <x v="1"/>
  </r>
  <r>
    <d v="2025-04-11T00:00:00"/>
    <s v="ADOBE SYSTEMS Adobe SAN JOSE            CA"/>
    <n v="21.39"/>
    <s v="580372089   www.adobe.com_x000a_ADOBE SYSTEMS Adobe Systems_x000a_SAN JOSE_x000a_CA_x000a_Description : 0 Price : 0.1999_x000a_www.adobe.com"/>
    <s v="ADOBE SYSTEMS Adobe SAN JOSE            CA"/>
    <s v="801 N 34TH ST"/>
    <s v="SEATTLE_x000a_WA"/>
    <n v="98103"/>
    <s v="UNITED STATES"/>
    <s v="'320251020572902895'"/>
    <s v="Merchandise &amp; Supplies-Mail Order"/>
    <s v="AMEXPLATINUM"/>
    <x v="1"/>
  </r>
  <r>
    <d v="2025-04-11T00:00:00"/>
    <s v="AMAZON MARKEPLACE NA PA"/>
    <n v="21.71"/>
    <s v="7DH7DZZES2Q MERCHANDISE_x000a_AMAZON MARKETPLACE NA PA_x000a_AMZN.COM/BILL_x000a_WA_x000a_MERCHANDISE"/>
    <s v="AMAZON MARKETPLACE NAMZN.COM/BILL       WA"/>
    <s v="410 TERRY AVE N"/>
    <s v="SEATTLE_x000a_WA"/>
    <n v="98109"/>
    <s v="UNITED STATES"/>
    <s v="'320251020576721586'"/>
    <s v="Merchandise &amp; Supplies-Internet Purchase"/>
    <s v="DELTARESERVE"/>
    <x v="3"/>
  </r>
  <r>
    <d v="2025-04-11T00:00:00"/>
    <s v="TOPTAL.COM          SAN FRANCISCO       CA"/>
    <n v="533.5"/>
    <s v="CH_2RCWBTVY +18886043188_x000a_TOPTAL.COM_x000a_SAN FRANCISCO_x000a_CA_x000a_+18886043188"/>
    <s v="TOPTAL.COM          SAN FRANCISCO       CA"/>
    <s v="548 MARKET ST 36879"/>
    <s v="SAN FRANCISCO_x000a_CA"/>
    <n v="94104"/>
    <s v="UNITED STATES"/>
    <s v="'320251020580925647'"/>
    <s v="Merchandise &amp; Supplies-Computer Supplies"/>
    <s v="DELTARESERVE"/>
    <x v="6"/>
  </r>
  <r>
    <d v="2025-04-12T00:00:00"/>
    <s v="UBER"/>
    <n v="29.33"/>
    <s v="8XFVD9DH   45URRQRX         89109_x000a_Uber Trip_x000a_help.uber.com_x000a_CA_x000a_45URRQRX         89109"/>
    <s v="Uber Trip           help.uber.com       CA"/>
    <s v="1455 MARKET ST_x000a_4TH FLOOR"/>
    <s v="SAN FRANCISCO_x000a_CA"/>
    <n v="94103"/>
    <s v="UNITED STATES"/>
    <s v="'320251020569455859'"/>
    <s v="Transportation-Taxis &amp; Coach"/>
    <s v="DELTARESERVE"/>
    <x v="2"/>
  </r>
  <r>
    <d v="2025-04-12T00:00:00"/>
    <s v="GOOGLE *ISHARINGSOFT G.CO/HELPPAY#      CA"/>
    <n v="16.04"/>
    <s v="A105EZHU    SELLER_x000a_GOOGLE *ISHARINGSOFT_x000a_G.CO/HELPPAY#_x000a_CA_x000a_SELLER"/>
    <s v="GOOGLE *ISHARINGSOFT G.CO/HELPPAY#      CA"/>
    <s v="1600 AMPHITHEATRE PKWY"/>
    <s v="MOUNTAIN VIEW_x000a_CA"/>
    <s v="94043-1351"/>
    <s v="UNITED STATES"/>
    <s v="'320251020578877096'"/>
    <s v="Business Services-Internet Services"/>
    <s v="DELTARESERVE"/>
    <x v="1"/>
  </r>
  <r>
    <d v="2025-04-12T00:00:00"/>
    <s v="CARVERSTEAK         LAS VEGAS           NV"/>
    <n v="600"/>
    <s v="35096455   87265            89109_x000a_BREAD_x000a_TUNATARTARE_x000a_CAVIARPOPPERS_x000a_STEAKTARTARE_x000a_CARVERSTEAK_x000a_LAS VEGAS_x000a_NV_x000a_BREAD_x000a_TUNATARTARE_x000a_CAVIARPOPPERS_x000a_STEAKTARTARE_x000a_87265            89109"/>
    <s v="CARVERSTEAK         LAS VEGAS           NV"/>
    <s v="3000 SOUTH LAS VEGAS"/>
    <s v="LAS VEGAS_x000a_NV"/>
    <n v="89109"/>
    <s v="UNITED STATES"/>
    <s v="'320251030591979739'"/>
    <s v="Restaurant-Restaurant"/>
    <s v="AMEXPLATINUM"/>
    <x v="11"/>
  </r>
  <r>
    <d v="2025-04-12T00:00:00"/>
    <s v="CAPRI               LAS VEGAS           NV"/>
    <n v="140"/>
    <s v="3466243    3466243          89109_x000a_RESTAURANT_x000a_CAPRI_x000a_LAS VEGAS_x000a_NV_x000a_RESTAURANT_x000a_3466243          89109"/>
    <s v="CAPRI               LAS VEGAS           NV"/>
    <s v="ATTN TREASURY_x000a_DEPARTMENT 3355 LAS VEGAS BLVD S"/>
    <s v="LAS VEGAS_x000a_NV"/>
    <n v="89109"/>
    <s v="UNITED STATES"/>
    <s v="'320251030593900173'"/>
    <s v="Travel-Lodging"/>
    <s v="DELTARESERVE"/>
    <x v="17"/>
  </r>
  <r>
    <d v="2025-04-12T00:00:00"/>
    <s v="CR SPA VEGAS        S LAS VEGAS         NV"/>
    <n v="3.25"/>
    <s v="99081687   99081687         89109_x000a_CR SPA VEGAS_x000a_S LAS VEGAS_x000a_NV_x000a_99081687         89109"/>
    <s v="CR SPA VEGAS        S LAS VEGAS         NV"/>
    <s v="3355 LAS VEGAS BLVD SOUTH"/>
    <s v="LAS VEGAS_x000a_NV"/>
    <n v="89109"/>
    <s v="UNITED STATES"/>
    <s v="'320251030600432833'"/>
    <s v="Restaurant-Bar &amp; CafÃ©"/>
    <s v="AMEXPLATINUM"/>
    <x v="11"/>
  </r>
  <r>
    <d v="2025-04-12T00:00:00"/>
    <s v="FACEBK *META VERIFIEFB.ME/CC            CA"/>
    <n v="11.99"/>
    <s v="94648415302 DGTL CONTENT_x000a_FACEBK *META VERIFIED_x000a_FB.ME/CC_x000a_CA_x000a_DGTL CONTENT"/>
    <s v="FACEBK *META VERIFIEFB.ME/CC            CA"/>
    <s v="1 HACKER WAY"/>
    <s v="MENLO PARK_x000a_CA"/>
    <n v="94025"/>
    <s v="UNITED STATES"/>
    <s v="'320251030608643481'"/>
    <s v="Business Services-Office Supplies"/>
    <s v="AMEXPLATINUM"/>
    <x v="3"/>
  </r>
  <r>
    <d v="2025-04-13T00:00:00"/>
    <s v="LINKEDIN SN P5451083MOUNTAIN VIEW"/>
    <n v="106.99"/>
    <s v="P545108364  SUBSCRIPTIONS_x000a_LINKEDIN SN P545108364_x000a_MOUNTAIN VIEW_x000a_SUBSCRIPTIONS"/>
    <s v="LINKEDIN SN P5451083MOUNTAIN VIEW"/>
    <s v="2029 STIERLIN CT_x000a_STE 200"/>
    <s v="MOUNTAIN VIEW_x000a_CA"/>
    <s v="94043-4655"/>
    <s v="UNITED STATES"/>
    <s v="'320251030590486946'"/>
    <s v="Merchandise &amp; Supplies-Internet Purchase"/>
    <s v="AMEXPLATINUM"/>
    <x v="4"/>
  </r>
  <r>
    <d v="2025-04-13T00:00:00"/>
    <s v="DUTY FREE STORE BY NLAS VEGAS           NV"/>
    <n v="56.63"/>
    <s v="413170729  413130729        89120_x000a_DUTY FREE STORE_x000a_DUTY FREE STORE BY NUA USVE_x000a_LAS VEGAS_x000a_NV_x000a_DUTY FREE STORE_x000a_413130729        89120"/>
    <s v="DUTY FREE STORE BY NLAS VEGAS           NV"/>
    <s v="5757 WAYNE NEWTON BLVD"/>
    <s v="LAS VEGAS_x000a_NV"/>
    <n v="89119"/>
    <s v="UNITED STATES"/>
    <s v="'320251040621690064'"/>
    <s v="Merchandise &amp; Supplies-General Retail"/>
    <s v="AMEXPLATINUM"/>
    <x v="3"/>
  </r>
  <r>
    <d v="2025-04-13T00:00:00"/>
    <s v="HUDSON NEWS ST 1953 LAS VEGAS           NV"/>
    <n v="8"/>
    <s v="413172126  413132126        89119_x000a_NEWS DEALERS/NEWSSTANDS_x000a_HUDSON NEWS ST 1953 1953_x000a_LAS VEGAS_x000a_NV_x000a_NEWS DEALERS/NEWSSTANDS_x000a_413132126        89119"/>
    <s v="HUDSON NEWS ST 1953 LAS VEGAS           NV"/>
    <s v="LAS VEGAS DISTRIBUTION CE_x000a_1120 GRIER DRIVE"/>
    <s v="LAS VEGAS_x000a_NV"/>
    <n v="89119"/>
    <s v="UNITED STATES"/>
    <s v="'320251040621697338'"/>
    <s v="Merchandise &amp; Supplies-Book Stores"/>
    <s v="AMEXPLATINUM"/>
    <x v="3"/>
  </r>
  <r>
    <d v="2025-04-14T00:00:00"/>
    <s v="PATREON* MEMBERSHIP SAN FRANCISCO       CA"/>
    <n v="20.18"/>
    <s v="IAJHJL00085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1040616890146'"/>
    <s v="Business Services-Office Supplies"/>
    <s v="AMEXPLATINUM"/>
    <x v="3"/>
  </r>
  <r>
    <d v="2025-04-14T00:00:00"/>
    <s v="LEMONADE INSURANCE 5INTERNET            NY"/>
    <n v="50.67"/>
    <s v="GHG4WY00085 HELP@LEMONADE.COM_x000a_LEMONADE INSURANCE 529657_x000a_INTERNET_x000a_NY_x000a_HELP@LEMONADE.COM"/>
    <s v="LEMONADE INSURANCE 5INTERNET            NY"/>
    <s v="5 CROSBY ST FL 3"/>
    <s v="NEW YORK_x000a_NY"/>
    <n v="10013"/>
    <s v="UNITED STATES"/>
    <s v="'320251040616893232'"/>
    <s v="Business Services-Insurance Services"/>
    <s v="AMEXPLATINUM"/>
    <x v="3"/>
  </r>
  <r>
    <d v="2025-04-14T00:00:00"/>
    <s v="LA COLOMBE - NOHO   New York            NY"/>
    <n v="14.7"/>
    <s v="nPiojUjZTMk squareup.com/receipts_x000a_LA COLOMBE - NOHO_x000a_New York_x000a_NY_x000a_squareup.com/receipts"/>
    <s v="LA COLOMBE - NOHO   New York            NY"/>
    <s v="400 LAFAYETTE ST"/>
    <s v="NEW YORK_x000a_NY"/>
    <n v="10003"/>
    <s v="UNITED STATES"/>
    <s v="'320251040618894081'"/>
    <s v="Restaurant-Restaurant"/>
    <s v="AMEXPLATINUM"/>
    <x v="3"/>
  </r>
  <r>
    <d v="2025-04-14T00:00:00"/>
    <s v="UBER"/>
    <n v="205.39"/>
    <s v="5QVZC52T   IWAEUPDC         10012_x000a_Uber Trip_x000a_help.uber.com_x000a_CA_x000a_IWAEUPDC         10012"/>
    <s v="Uber Trip           help.uber.com       CA"/>
    <s v="1455 MARKET ST_x000a_4TH FLOOR"/>
    <s v="SAN FRANCISCO_x000a_CA"/>
    <n v="94103"/>
    <s v="UNITED STATES"/>
    <s v="'320251040619488879'"/>
    <s v="Transportation-Taxis &amp; Coach"/>
    <s v="DELTARESERVE"/>
    <x v="2"/>
  </r>
  <r>
    <d v="2025-04-14T00:00:00"/>
    <s v="UBER"/>
    <n v="32.69"/>
    <s v="HRT5FZVY   YUODQWER         89119_x000a_Uber Trip_x000a_help.uber.com_x000a_CA_x000a_YUODQWER         89119"/>
    <s v="Uber Trip           help.uber.com       CA"/>
    <s v="1455 MARKET ST_x000a_4TH FLOOR"/>
    <s v="SAN FRANCISCO_x000a_CA"/>
    <n v="94103"/>
    <s v="UNITED STATES"/>
    <s v="'320251040619867103'"/>
    <s v="Transportation-Taxis &amp; Coach"/>
    <s v="DELTARESERVE"/>
    <x v="2"/>
  </r>
  <r>
    <d v="2025-04-14T00:00:00"/>
    <s v="VENETIAN/PALAZZO FRTLAS VEGAS           NV"/>
    <n v="4138.93"/>
    <s v="11947364   11947364         89109_x000a_HOTEL_x000a_VENETIAN/PALAZZO FRT DES_x000a_LAS VEGAS_x000a_NV_x000a_HOTEL_x000a_11947364         89109"/>
    <s v="VENETIAN/PALAZZO FRTLAS VEGAS           NV"/>
    <s v="3355 SOUTH LAS VEGAS BLVD"/>
    <s v="LAS VEGAS_x000a_NV"/>
    <n v="89109"/>
    <s v="UNITED STATES"/>
    <s v="'320251040636338298'"/>
    <s v="Travel-Lodging"/>
    <s v="DELTARESERVE"/>
    <x v="17"/>
  </r>
  <r>
    <d v="2025-04-14T00:00:00"/>
    <s v="AT&amp;T"/>
    <n v="104.4"/>
    <s v="47840530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1050657151667'"/>
    <s v="Communications-Mobile Telecom"/>
    <s v="DELTARESERVE"/>
    <x v="5"/>
  </r>
  <r>
    <d v="2025-04-15T00:00:00"/>
    <s v="THE CLEANERS IO, LLCNew York            NY"/>
    <n v="55.35"/>
    <s v="tIBWLr7xezQ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050644554761'"/>
    <s v="Business Services-Other Services"/>
    <s v="AMEXPLATINUM"/>
    <x v="8"/>
  </r>
  <r>
    <d v="2025-04-15T00:00:00"/>
    <s v="USPS PO BOXES ONLINE800-344-7779        DC"/>
    <n v="239"/>
    <s v="128479841548007826724_x000a_USPS PO BOXES ONLINE 660247000_x000a_800-344-7779_x000a_DC_x000a_8007826724"/>
    <s v="USPS PO BOXES ONLINE800-344-7779        DC"/>
    <s v="475 LENFANT PLZ SOUTH WEST RM 5540"/>
    <s v="WASHINGTON_x000a_DC"/>
    <n v="20260"/>
    <s v="UNITED STATES"/>
    <s v="'320251050665856093'"/>
    <s v="Business Services-Mailing &amp; Shipping"/>
    <s v="AMEXPLATINUM"/>
    <x v="19"/>
  </r>
  <r>
    <d v="2025-04-15T00:00:00"/>
    <s v="CVS PHARMACY        NEW YORK            NY"/>
    <n v="49.82"/>
    <s v="10085783    8007467287_x000a_CVS PHARMACY_x000a_NEW YORK_x000a_NY_x000a_Description : PHARMACIES Price : 0.4982_x000a_8007467287"/>
    <s v="CVS PHARMACY        NEW YORK            NY"/>
    <s v="158 BLEECKER ST"/>
    <s v="NEW YORK_x000a_NY"/>
    <n v="10012"/>
    <s v="UNITED STATES"/>
    <s v="'320251060681142670'"/>
    <s v="Merchandise &amp; Supplies-Pharmacies"/>
    <s v="AMEXPLATINUM"/>
    <x v="3"/>
  </r>
  <r>
    <d v="2025-04-15T00:00:00"/>
    <s v="TABULAR EDITOR APS  COPENHAGEN V        DK"/>
    <n v="10"/>
    <s v="CH_3REIL4AV +4553503099_x000a_TABULAR EDITOR APS_x000a_COPENHAGEN V_x000a_DK_x000a_+4553503099"/>
    <s v="TABULAR EDITOR APS  COPENHAGEN V        DK"/>
    <s v="SUNDKAJ 125_x000a_NORDHAVN"/>
    <m/>
    <n v="2150"/>
    <s v="DENMARK"/>
    <s v="'320251060681514232'"/>
    <s v="Merchandise &amp; Supplies-Computer Supplies"/>
    <s v="DELTARESERVE"/>
    <x v="1"/>
  </r>
  <r>
    <d v="2025-04-15T00:00:00"/>
    <s v="PETCO 3741 0374     NEW YORK            NY"/>
    <n v="32.57"/>
    <s v="32200010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1060684940527'"/>
    <s v="Merchandise &amp; Supplies-General Retail"/>
    <s v="AMEXPLATINUM"/>
    <x v="3"/>
  </r>
  <r>
    <d v="2025-04-15T00:00:00"/>
    <s v="KIMBERLY MEEHAN, NP NEW YORK            NY"/>
    <n v="200"/>
    <s v="73011005106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1070716746895'"/>
    <s v="Business Services-Health Care Services"/>
    <s v="AMEXPLATINUM"/>
    <x v="3"/>
  </r>
  <r>
    <d v="2025-04-16T00:00:00"/>
    <s v="SPLICE.COM          NEW YORK CITY       NY"/>
    <n v="27.99"/>
    <s v="CH_3REZTBCF 3235775423_x000a_SPLICE.COM_x000a_NEW YORK CITY_x000a_NY_x000a_3235775423"/>
    <s v="SPLICE.COM          NEW YORK CITY       NY"/>
    <s v="817 BROADWAY FLOOR 4"/>
    <s v="NEW YORK_x000a_NY"/>
    <n v="10003"/>
    <s v="UNITED STATES"/>
    <s v="'320251060671446179'"/>
    <s v="Merchandise &amp; Supplies-Computer Supplies"/>
    <s v="AMEXPLATINUM"/>
    <x v="3"/>
  </r>
  <r>
    <d v="2025-04-16T00:00:00"/>
    <s v="Zaytinya St         New York            NY"/>
    <n v="128.47"/>
    <s v="1527       1527             10001_x000a_Zaytinya St_x000a_New York_x000a_NY_x000a_1527             10001"/>
    <s v="Zaytinya St         New York            NY"/>
    <s v="1185 BROADWAY"/>
    <s v="NEW YORK_x000a_NY"/>
    <n v="10001"/>
    <s v="UNITED STATES"/>
    <s v="'320251070709450958'"/>
    <s v="Restaurant-Restaurant"/>
    <s v="DELTARESERVE"/>
    <x v="11"/>
  </r>
  <r>
    <d v="2025-04-16T00:00:00"/>
    <s v="Zaytinya St         New York            NY"/>
    <n v="821"/>
    <s v="1502       1502             10001_x000a_Zaytinya St_x000a_New York_x000a_NY_x000a_1502             10001"/>
    <s v="Zaytinya St         New York            NY"/>
    <s v="1185 BROADWAY"/>
    <s v="NEW YORK_x000a_NY"/>
    <n v="10001"/>
    <s v="UNITED STATES"/>
    <s v="'320251070709451326'"/>
    <s v="Restaurant-Restaurant"/>
    <s v="DELTARESERVE"/>
    <x v="11"/>
  </r>
  <r>
    <d v="2025-04-17T00:00:00"/>
    <s v="UBER"/>
    <n v="24.7"/>
    <s v="DQDB82WF   F3SXYWFY         10001_x000a_Uber Trip_x000a_help.uber.com_x000a_CA_x000a_F3SXYWFY         10001"/>
    <s v="Uber Trip           help.uber.com       CA"/>
    <s v="1455 MARKET ST_x000a_4TH FLOOR"/>
    <s v="SAN FRANCISCO_x000a_CA"/>
    <n v="94103"/>
    <s v="UNITED STATES"/>
    <s v="'320251070701748843'"/>
    <s v="Transportation-Taxis &amp; Coach"/>
    <s v="DELTARESERVE"/>
    <x v="2"/>
  </r>
  <r>
    <d v="2025-04-17T00:00:00"/>
    <s v="UBER"/>
    <n v="32.58"/>
    <s v="J82QMD2W   EWJRRWC4         10012_x000a_Uber Trip_x000a_help.uber.com_x000a_CA_x000a_EWJRRWC4         10012"/>
    <s v="Uber Trip           help.uber.com       CA"/>
    <s v="1455 MARKET ST_x000a_4TH FLOOR"/>
    <s v="SAN FRANCISCO_x000a_CA"/>
    <n v="94103"/>
    <s v="UNITED STATES"/>
    <s v="'320251070702972226'"/>
    <s v="Transportation-Taxis &amp; Coach"/>
    <s v="DELTARESERVE"/>
    <x v="2"/>
  </r>
  <r>
    <d v="2025-04-17T00:00:00"/>
    <s v="ARISTON CAFE 0000   NEW YORK            NY"/>
    <n v="18.57"/>
    <s v="40100233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080733549592'"/>
    <s v="Restaurant-Bar &amp; CafÃ©"/>
    <s v="AMEXPLATINUM"/>
    <x v="3"/>
  </r>
  <r>
    <d v="2025-04-18T00:00:00"/>
    <s v="ONLINE PAYMENT - THANK YOU"/>
    <n v="-5000"/>
    <s v="ONLINE PAYMENT - THANK YOU"/>
    <s v="ONLINE PAYMENT - THANK YOU"/>
    <m/>
    <m/>
    <m/>
    <m/>
    <s v="'320251080723490449'"/>
    <m/>
    <s v="DELTARESERVE"/>
    <x v="0"/>
  </r>
  <r>
    <d v="2025-04-18T00:00:00"/>
    <s v="THE CLEANERS IO, LLCNew York            NY"/>
    <n v="48.65"/>
    <s v="jjBiLqIIae3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080728304362'"/>
    <s v="Business Services-Other Services"/>
    <s v="AMEXPLATINUM"/>
    <x v="8"/>
  </r>
  <r>
    <d v="2025-04-18T00:00:00"/>
    <s v="SUNOCO 0042337601 00SLOATSBURG          NY"/>
    <n v="37.049999999999997"/>
    <s v="00712415    845-753-5091_x000a_SUNOCO 0042337601 0042_x000a_SLOATSBURG_x000a_NY_x000a_Description : Unleaded (88 octane Price : 0.00_x000a_845-753-5091"/>
    <s v="SUNOCO 0042337601 00SLOATSBURG          NY"/>
    <s v="-"/>
    <e v="#NAME?"/>
    <n v="75231"/>
    <s v="UNITED STATES"/>
    <s v="'320251090760192247'"/>
    <s v="Transportation-Fuel"/>
    <s v="DELTARESERVE"/>
    <x v="7"/>
  </r>
  <r>
    <d v="2025-04-18T00:00:00"/>
    <s v="NYU PHYSICIAN SERVICNEW YORK            NY"/>
    <n v="62.53"/>
    <s v="039-0291485 HEALTHCARE,_x000a_NYU PHYSICIAN SERVIC_x000a_NEW YORK_x000a_NY_x000a_&quot;HEALTHCARE,&quot;"/>
    <s v="NYU PHYSICIAN SERVICNEW YORK            NY"/>
    <s v="550 1ST AVE"/>
    <s v="NEW YORK_x000a_NY"/>
    <s v="10016-6402"/>
    <s v="UNITED STATES"/>
    <s v="'320251090765540306'"/>
    <s v="Business Services-Health Care Services"/>
    <s v="AMEXPLATINUM"/>
    <x v="3"/>
  </r>
  <r>
    <d v="2025-04-18T00:00:00"/>
    <s v="PRKNG&amp;CAMERATIX SERVNEW YORK            NY"/>
    <n v="6.08"/>
    <s v="CPY04389194437252756        12866_x000a_GOVERNMENT SERVICES_x000a_PRKNG&amp;CAMERATIX SERVFEE_x000a_NEW YORK_x000a_NY_x000a_GOVERNMENT SERVICES_x000a_437252756        12866"/>
    <s v="PRKNG&amp;CAMERATIX SERVNEW YORK            NY"/>
    <s v="59 MAIDEN LN 18TH_x000a_FL"/>
    <s v="NEW YORK_x000a_NY"/>
    <n v="10038"/>
    <s v="UNITED STATES"/>
    <s v="'320251090766513622'"/>
    <s v="Other-Government Services"/>
    <s v="DELTARESERVE"/>
    <x v="9"/>
  </r>
  <r>
    <d v="2025-04-18T00:00:00"/>
    <s v="DOF PARKINGANDCAMERANEW YORK            NY"/>
    <n v="304.20999999999998"/>
    <s v="CPY04389194437252753        12866_x000a_GOVERNMENT SERVICES_x000a_DOF PARKINGANDCAMERA TIX_x000a_NEW YORK_x000a_NY_x000a_GOVERNMENT SERVICES_x000a_437252753        12866"/>
    <s v="DOF PARKINGANDCAMERANEW YORK            NY"/>
    <s v="59 MAIDEN LANE19TH_x000a_FL"/>
    <s v="NEW YORK_x000a_NY"/>
    <n v="10038"/>
    <s v="UNITED STATES"/>
    <s v="'320251090768141186'"/>
    <s v="Other-Government Services"/>
    <s v="DELTARESERVE"/>
    <x v="9"/>
  </r>
  <r>
    <d v="2025-04-18T00:00:00"/>
    <s v="WEGMANS ASTOR PLACE NEW YORK            NY"/>
    <n v="39.619999999999997"/>
    <s v="W15639800215854293656_x000a_WEGMANS ASTOR PLACE 156 000000156_x000a_NEW YORK_x000a_NY_x000a_5854293656"/>
    <s v="WEGMANS ASTOR PLACE NEW YORK            NY"/>
    <s v="770 BROADWAY"/>
    <s v="NEW YORK_x000a_NY"/>
    <n v="10003"/>
    <s v="UNITED STATES"/>
    <s v="'320251090768713729'"/>
    <s v="Merchandise &amp; Supplies-Groceries"/>
    <s v="AMEXPLATINUM"/>
    <x v="3"/>
  </r>
  <r>
    <d v="2025-04-19T00:00:00"/>
    <s v="JOEANDTHEJUICE      NEW YORK"/>
    <n v="25.25"/>
    <s v="######BZcTA RESTAURANT_x000a_JOEANDTHEJUICE_x000a_NEW YORK_x000a_RESTAURANT"/>
    <s v="JOEANDTHEJUICE      NEW YORK"/>
    <s v="110 GREENE ST"/>
    <s v="NEW YORK_x000a_NY"/>
    <n v="10012"/>
    <s v="UNITED STATES"/>
    <s v="'320251090755733879'"/>
    <s v="Restaurant-Restaurant"/>
    <s v="AMEXPLATINUM"/>
    <x v="3"/>
  </r>
  <r>
    <d v="2025-04-19T00:00:00"/>
    <s v="LA COLOMBE - NOHO   New York            NY"/>
    <n v="8.35"/>
    <s v="FQ30SwXmATo squareup.com/receipts_x000a_LA COLOMBE - NOHO_x000a_New York_x000a_NY_x000a_squareup.com/receipts"/>
    <s v="LA COLOMBE - NOHO   New York            NY"/>
    <s v="400 LAFAYETTE ST"/>
    <s v="NEW YORK_x000a_NY"/>
    <n v="10003"/>
    <s v="UNITED STATES"/>
    <s v="'320251090756957301'"/>
    <s v="Restaurant-Restaurant"/>
    <s v="AMEXPLATINUM"/>
    <x v="3"/>
  </r>
  <r>
    <d v="2025-04-19T00:00:00"/>
    <s v="DELTA AIR LINES"/>
    <n v="558.95000000000005"/>
    <s v="18002211212_x000a_PASSENGER TICKET_x000a_DELTA AIR LINES_x000a_ATLANTA_x000a_Carrier : DELTA AIR LINES_x000a_Passenger Name : NICOLA/CRISTIAN ALEXANDRU_x000a_Ticket Number : 00623246036895_x000a_Departure Day : 04/25_x000a_Additional Info : PASSENGER TICKET_x000a_From : N.Y. J F KENNEDY I_x000a_To : TORONTO LESTER B P_x000a_Class : Z_x000a_From : TORONTO LESTER B P_x000a_To : N.Y. J F KENNEDY I_x000a_Class : Z"/>
    <s v="DELTA AIR LINES     ATLANTA"/>
    <s v="ATLANTA AIRPORT"/>
    <s v="ATLANTA_x000a_GA"/>
    <n v="30344"/>
    <s v="UNITED STATES"/>
    <s v="'320251090769967148'"/>
    <s v="Travel-Airline"/>
    <s v="DELTARESERVE"/>
    <x v="16"/>
  </r>
  <r>
    <d v="2025-04-19T00:00:00"/>
    <s v="DELTA AIR LINES"/>
    <n v="558.95000000000005"/>
    <s v="18002211212_x000a_PASSENGER TICKET_x000a_DELTA AIR LINES_x000a_ATLANTA_x000a_Carrier : DELTA AIR LINES_x000a_Passenger Name : DALESSANDRO/KYLIE_x000a_Ticket Number : 00623246036906_x000a_Departure Day : 04/25_x000a_Additional Info : PASSENGER TICKET_x000a_From : N.Y. J F KENNEDY I_x000a_To : TORONTO LESTER B P_x000a_Class : Z_x000a_From : TORONTO LESTER B P_x000a_To : N.Y. J F KENNEDY I_x000a_Class : Z"/>
    <s v="DELTA AIR LINES     ATLANTA"/>
    <s v="ATLANTA AIRPORT"/>
    <s v="ATLANTA_x000a_GA"/>
    <n v="30344"/>
    <s v="UNITED STATES"/>
    <s v="'320251090773821026'"/>
    <s v="Travel-Airline"/>
    <s v="DELTARESERVE"/>
    <x v="16"/>
  </r>
  <r>
    <d v="2025-04-19T00:00:00"/>
    <s v="SEPHORA             NEW YORK            NY"/>
    <n v="272.83"/>
    <s v="03020008019 COSMETIC STORE_x000a_SEPHORA_x000a_NEW YORK_x000a_NY_x000a_COSMETIC STORE"/>
    <s v="SEPHORA             NEW YORK            NY"/>
    <s v="555 BROADWAY_x000a_FRNT B"/>
    <s v="NEW YORK_x000a_NY"/>
    <s v="10012-3919"/>
    <s v="UNITED STATES"/>
    <s v="'320251100789721100'"/>
    <s v="Merchandise &amp; Supplies-Department Stores"/>
    <s v="AMEXPLATINUM"/>
    <x v="3"/>
  </r>
  <r>
    <d v="2025-04-19T00:00:00"/>
    <s v="LEVIS STORE         NEW YORK            NY"/>
    <n v="68.599999999999994"/>
    <s v="126587003   646-613-1847_x000a_LEVIS STORE_x000a_NEW YORK_x000a_NY_x000a_Description : APPAREL/ACC Price : 0.00_x000a_646-613-1847"/>
    <s v="LEVIS STORE         NEW YORK            NY"/>
    <s v="536 BROADWAY_x000a_FRNT A"/>
    <s v="NEW YORK_x000a_NY"/>
    <s v="10012-3915"/>
    <s v="UNITED STATES"/>
    <s v="'320251100792820109'"/>
    <s v="Merchandise &amp; Supplies-Clothing Stores"/>
    <s v="AMEXPLATINUM"/>
    <x v="3"/>
  </r>
  <r>
    <d v="2025-04-19T00:00:00"/>
    <s v="WINDSOR FASHIONS #32NEW YORK            NY"/>
    <n v="67.489999999999995"/>
    <s v="806476      WOMEN'S CLOTHING_x000a_WINDSOR FASHIONS #32_x000a_NEW YORK_x000a_NY_x000a_WOMEN'S CLOTHING"/>
    <s v="WINDSOR FASHIONS #32NEW YORK            NY"/>
    <s v="499 BROADWAY"/>
    <s v="NEW YORK_x000a_NY"/>
    <n v="10012"/>
    <s v="UNITED STATES"/>
    <s v="'320251100798224697'"/>
    <s v="Merchandise &amp; Supplies-Clothing Stores"/>
    <s v="AMEXPLATINUM"/>
    <x v="3"/>
  </r>
  <r>
    <d v="2025-04-19T00:00:00"/>
    <s v="AMAZON MARKEPLACE NA PA"/>
    <n v="21.76"/>
    <s v="1HIZ2K4VNBB MERCHANDISE_x000a_AMAZON MARKETPLACE NA PA_x000a_AMZN.COM/BILL_x000a_WA_x000a_MERCHANDISE"/>
    <s v="AMAZON MARKETPLACE NAMZN.COM/BILL       WA"/>
    <s v="410 TERRY AVE N"/>
    <s v="SEATTLE_x000a_WA"/>
    <n v="98109"/>
    <s v="UNITED STATES"/>
    <s v="'320251110810170510'"/>
    <s v="Merchandise &amp; Supplies-Internet Purchase"/>
    <s v="DELTARESERVE"/>
    <x v="3"/>
  </r>
  <r>
    <d v="2025-04-20T00:00:00"/>
    <s v="SPLICE.COM          NEW YORK CITY       NY"/>
    <n v="13.9"/>
    <s v="CH_3RFZ30CF 3235775423_x000a_SPLICE.COM_x000a_NEW YORK CITY_x000a_NY_x000a_3235775423"/>
    <s v="SPLICE.COM          NEW YORK CITY       NY"/>
    <s v="817 BROADWAY FLOOR 4"/>
    <s v="NEW YORK_x000a_NY"/>
    <n v="10003"/>
    <s v="UNITED STATES"/>
    <s v="'320251100786439791'"/>
    <s v="Merchandise &amp; Supplies-Computer Supplies"/>
    <s v="AMEXPLATINUM"/>
    <x v="3"/>
  </r>
  <r>
    <d v="2025-04-20T00:00:00"/>
    <s v="TRAVEL DELAY 800-228-6855"/>
    <n v="9.9499999999999993"/>
    <s v="TKT NO. 00623246036895_x000a_TRAVEL DELAY 800-228-6855"/>
    <s v="TRAVEL DELAY 800-228-6855"/>
    <s v="3200 E CAMELBACK"/>
    <s v="PHOENIX_x000a_AZ"/>
    <n v="85016"/>
    <s v="UNITED STATES OF AMERICA (THE)"/>
    <s v="'320251100802347302'"/>
    <s v="Business Services-Insurance Services"/>
    <s v="DELTARESERVE"/>
    <x v="16"/>
  </r>
  <r>
    <d v="2025-04-20T00:00:00"/>
    <s v="TRAVEL DELAY 800-228-6855"/>
    <n v="9.9499999999999993"/>
    <s v="TKT NO. 00623246036906_x000a_TRAVEL DELAY 800-228-6855"/>
    <s v="TRAVEL DELAY 800-228-6855"/>
    <s v="3200 E CAMELBACK"/>
    <s v="PHOENIX_x000a_AZ"/>
    <n v="85016"/>
    <s v="UNITED STATES OF AMERICA (THE)"/>
    <s v="'320251100802347303'"/>
    <s v="Business Services-Insurance Services"/>
    <s v="DELTARESERVE"/>
    <x v="16"/>
  </r>
  <r>
    <d v="2025-04-20T00:00:00"/>
    <s v="AIRFLIGHT INSURANCE PREMIUM 800-228-6855"/>
    <n v="14"/>
    <s v="TKT NO. 00623246036895_x000a_AIRFLIGHT INSURANCE PREMIUM 800-228-6855"/>
    <s v="AIRFLIGHT INSURANCE PREMIUM 800-228-6855"/>
    <s v="P O BOX 19020"/>
    <s v="GREENBAY_x000a_WI"/>
    <n v="54307"/>
    <s v="UNITED STATES"/>
    <s v="'320251100802347304'"/>
    <s v="Business Services-Insurance Services"/>
    <s v="DELTARESERVE"/>
    <x v="16"/>
  </r>
  <r>
    <d v="2025-04-20T00:00:00"/>
    <s v="AIRFLIGHT INSURANCE PREMIUM 800-228-6855"/>
    <n v="14"/>
    <s v="TKT NO. 00623246036906_x000a_AIRFLIGHT INSURANCE PREMIUM 800-228-6855"/>
    <s v="AIRFLIGHT INSURANCE PREMIUM 800-228-6855"/>
    <s v="P O BOX 19020"/>
    <s v="GREENBAY_x000a_WI"/>
    <n v="54307"/>
    <s v="UNITED STATES"/>
    <s v="'320251100802347305'"/>
    <s v="Business Services-Insurance Services"/>
    <s v="DELTARESERVE"/>
    <x v="16"/>
  </r>
  <r>
    <d v="2025-04-20T00:00:00"/>
    <s v="BAGGAGE INSURANCE PREMIUM 800-228-6855"/>
    <n v="9.9499999999999993"/>
    <s v="TKT NO. 00623246036906_x000a_BAGGAGE INSURANCE PREMIUM 800-228-6855"/>
    <s v="BAGGAGE INSURANCE PREMIUM 800-228-6855"/>
    <s v="777 AMERICAN EXPRESSWAY_x000a_ATTN: TINA HYMAN"/>
    <s v="FT LAUDERDALE_x000a_FL"/>
    <n v="33337"/>
    <s v="UNITED STATES"/>
    <s v="'320251100802347306'"/>
    <s v="Business Services-Insurance Services"/>
    <s v="DELTARESERVE"/>
    <x v="16"/>
  </r>
  <r>
    <d v="2025-04-20T00:00:00"/>
    <s v="BAGGAGE INSURANCE PREMIUM 800-228-6855"/>
    <n v="9.9499999999999993"/>
    <s v="TKT NO. 00623246036895_x000a_BAGGAGE INSURANCE PREMIUM 800-228-6855"/>
    <s v="BAGGAGE INSURANCE PREMIUM 800-228-6855"/>
    <s v="777 AMERICAN EXPRESSWAY_x000a_ATTN: TINA HYMAN"/>
    <s v="FT LAUDERDALE_x000a_FL"/>
    <n v="33337"/>
    <s v="UNITED STATES"/>
    <s v="'320251100802347307'"/>
    <s v="Business Services-Insurance Services"/>
    <s v="DELTARESERVE"/>
    <x v="16"/>
  </r>
  <r>
    <d v="2025-04-20T00:00:00"/>
    <s v="STEWARTS ICE CREAM  SARATOGA SPRINGS    NY"/>
    <n v="19.14"/>
    <s v="00200100729 5185811201_x000a_STEWARTS ICE CREAM_x000a_SARATOGA SPRINGS_x000a_NY_x000a_Description : AUTOMATED FUEL Price : 0.1914_x000a_5185811201"/>
    <s v="STEWARTS ICE CREAM  SARATOGA SPRINGS    NY"/>
    <s v="402 LK AVE"/>
    <s v="SARATOGA SPRINGS_x000a_NY"/>
    <n v="12866"/>
    <s v="UNITED STATES"/>
    <s v="'320251110807302624'"/>
    <s v="Transportation-Fuel"/>
    <s v="DELTARESERVE"/>
    <x v="7"/>
  </r>
  <r>
    <d v="2025-04-20T00:00:00"/>
    <s v="VILLAGE CRAFT BEER &amp;NEW YORK            NY"/>
    <n v="7.27"/>
    <s v="49400023    646-707-3565_x000a_VILLAGE CRAFT BEER &amp; SMO 0000_x000a_NEW YORK_x000a_NY_x000a_Description : GROCERIES/SUNDRIES Price : 0.00_x000a_646-707-3565"/>
    <s v="VILLAGE CRAFT BEER &amp;NEW YORK            NY"/>
    <s v="552 LAGUARDIA PL"/>
    <s v="NEW YORK_x000a_NY"/>
    <n v="10012"/>
    <s v="UNITED STATES"/>
    <s v="'320251110812543555'"/>
    <s v="Merchandise &amp; Supplies-Groceries"/>
    <s v="AMEXPLATINUM"/>
    <x v="3"/>
  </r>
  <r>
    <d v="2025-04-20T00:00:00"/>
    <s v="WEGMANS ASTOR PLACE NEW YORK            NY"/>
    <n v="51.15"/>
    <s v="W15608600495854293656_x000a_WEGMANS ASTOR PLACE 156 000000156_x000a_NEW YORK_x000a_NY_x000a_5854293656"/>
    <s v="WEGMANS ASTOR PLACE NEW YORK            NY"/>
    <s v="770 BROADWAY"/>
    <s v="NEW YORK_x000a_NY"/>
    <n v="10003"/>
    <s v="UNITED STATES"/>
    <s v="'320251110819305262'"/>
    <s v="Merchandise &amp; Supplies-Groceries"/>
    <s v="AMEXPLATINUM"/>
    <x v="3"/>
  </r>
  <r>
    <d v="2025-04-21T00:00:00"/>
    <s v="CANVA* I04493-802043CAMDEN              DE"/>
    <n v="15"/>
    <s v="CH_2RGRVHK8 +17372853388_x000a_CANVA* I04493-80204383_x000a_CAMDEN_x000a_DE_x000a_+17372853388"/>
    <s v="CANVA* I04493-802043CAMDEN              DE"/>
    <s v="2140 SOUTH DUPONT HWY"/>
    <s v="CAMDEN_x000a_DE"/>
    <n v="19934"/>
    <s v="UNITED STATES"/>
    <s v="'320251110807851792'"/>
    <s v="Business Services-Professional Services"/>
    <s v="AMEXPLATINUM"/>
    <x v="1"/>
  </r>
  <r>
    <d v="2025-04-21T00:00:00"/>
    <s v="EB *DYNAMICSCON 2025SAN FRANCISCO       CA"/>
    <n v="1856.4"/>
    <s v="HASJHNK4   12280342773      94105_x000a_EB *DYNAMICSCON 2025_x000a_SAN FRANCISCO_x000a_CA_x000a_12280342773      94105"/>
    <s v="EB *DYNAMICSCON 2025SAN FRANCISCO       CA"/>
    <s v="155 5TH ST 7"/>
    <s v="SAN FRANCISCO_x000a_CA"/>
    <s v="94103-2919"/>
    <s v="UNITED STATES"/>
    <s v="'320251110814395515'"/>
    <s v="Entertainment-General Events"/>
    <s v="DELTARESERVE"/>
    <x v="4"/>
  </r>
  <r>
    <d v="2025-04-21T00:00:00"/>
    <s v="RIPLEYSAQUARIUM     647-351-3474"/>
    <n v="82.01"/>
    <s v="40591534K9B TICKETS_x000a_RIPLEYSAQUARIUM_x000a_647-351-3474_x000a_TICKETSForeign Spend Amount: 113.00 CANADIAN DOLLAR Commission Amount:  Currency Exchange Rate: null"/>
    <s v="RIPLEYSAQUARIUM     647-351-3474"/>
    <s v="288 BREMNER BLVD"/>
    <s v="TORONTO_x000a_ON"/>
    <s v="M5J 3A6"/>
    <s v="CANADA"/>
    <s v="'320251120838278911'"/>
    <s v="Entertainment-Theme Parks"/>
    <s v="AMEXPLATINUM"/>
    <x v="3"/>
  </r>
  <r>
    <d v="2025-04-21T00:00:00"/>
    <s v="TST* FRENCHETTE RESTNEW YORK            NY"/>
    <n v="1080"/>
    <s v="00143306024 RESTAURANT_x000a_TST* FRENCHETTE RESTAURAN 00143306_x000a_NEW YORK_x000a_NY_x000a_RESTAURANT"/>
    <s v="TST* FRENCHETTE RESTNEW YORK            NY"/>
    <s v="241 WEST BROADWAY"/>
    <s v="NEW YORK_x000a_NY"/>
    <n v="10013"/>
    <s v="UNITED STATES"/>
    <s v="'320251120839186464'"/>
    <s v="Restaurant-Restaurant"/>
    <s v="DELTARESERVE"/>
    <x v="11"/>
  </r>
  <r>
    <d v="2025-04-21T00:00:00"/>
    <s v="ENTERPRISE RENT-A-CANEW YORK            NY"/>
    <n v="931.67"/>
    <s v="034476339   212-5332900_x000a_ENTERPRISE RENT-A-CAR_x000a_NEW YORK_x000a_NY"/>
    <s v="ENTERPRISE RENT-A-CANEW YORK            NY"/>
    <s v="221 THOMPSON ST"/>
    <s v="NEW YORK_x000a_NY"/>
    <n v="10012"/>
    <s v="UNITED STATES"/>
    <s v="'320251120845875199'"/>
    <s v="Travel-Vehicle Rental"/>
    <s v="DELTARESERVE"/>
    <x v="9"/>
  </r>
  <r>
    <d v="2025-04-22T00:00:00"/>
    <s v="HUBSPOT INC.        CAMBRIDGE, MASSACHUSMA"/>
    <n v="192.6"/>
    <s v="30074529    COMPUTER PROGRAMMING_x000a_HUBSPOT INC._x000a_CAMBRIDGE, MASSACHUSE_x000a_MA_x000a_COMPUTER PROGRAMMING"/>
    <s v="HUBSPOT INC.        CAMBRIDGE, MASSACHUSMA"/>
    <s v="25 FIRST STREET_x000a_-"/>
    <s v="CAMBRIDGE_x000a_MA"/>
    <s v="02141"/>
    <s v="UNITED STATES"/>
    <s v="'320251120831122898'"/>
    <s v="Business Services-Employment Agencies"/>
    <s v="DELTARESERVE"/>
    <x v="1"/>
  </r>
  <r>
    <d v="2025-04-22T00:00:00"/>
    <s v="OPENAI *CHATGPT SUBSSAN FRANCISCO       CA"/>
    <n v="21.4"/>
    <s v="CH_3RGHSKC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1120833740747'"/>
    <s v="Merchandise &amp; Supplies-Computer Supplies"/>
    <s v="DELTARESERVE"/>
    <x v="1"/>
  </r>
  <r>
    <d v="2025-04-22T00:00:00"/>
    <s v="HAVEN               NEW YORK            NY"/>
    <n v="249.01"/>
    <s v="######BeBCa COMPUTERS &amp; EQUIPMENT_x000a_HAVEN_x000a_NEW YORK_x000a_NY_x000a_COMPUTERS &amp; EQUIPMENT"/>
    <s v="HAVEN               NEW YORK            NY"/>
    <s v="250 MERCER ST"/>
    <s v="NEW YORK_x000a_NY"/>
    <n v="10012"/>
    <s v="UNITED STATES"/>
    <s v="'320251120852350785'"/>
    <s v="Merchandise &amp; Supplies-Computer Supplies"/>
    <s v="AMEXPLATINUM"/>
    <x v="3"/>
  </r>
  <r>
    <d v="2025-04-22T00:00:00"/>
    <s v="WIX.COM             SAN FRANCISCO       CA"/>
    <n v="243.96"/>
    <s v="FTKEQ1XH    14156399034_x000a_WIX.COM_x000a_SAN FRANCISCO_x000a_CA_x000a_14156399034"/>
    <s v="WIX.COM             SAN FRANCISCO       CA"/>
    <s v="500 TERRY A FRANCOIS BLVD STE 600"/>
    <s v="SAN FRANCISCO_x000a_CA"/>
    <n v="94158"/>
    <s v="UNITED STATES"/>
    <s v="'320251130860503262'"/>
    <s v="Merchandise &amp; Supplies-Internet Purchase"/>
    <s v="DELTARESERVE"/>
    <x v="1"/>
  </r>
  <r>
    <d v="2025-04-23T00:00:00"/>
    <s v="LA COLOMBE - NOHO   New York            NY"/>
    <n v="10.79"/>
    <s v="LHtUnGMNtGa squareup.com/receipts_x000a_LA COLOMBE - NOHO_x000a_New York_x000a_NY_x000a_squareup.com/receipts"/>
    <s v="LA COLOMBE - NOHO   New York            NY"/>
    <s v="400 LAFAYETTE ST"/>
    <s v="NEW YORK_x000a_NY"/>
    <n v="10003"/>
    <s v="UNITED STATES"/>
    <s v="'320251130860991446'"/>
    <s v="Restaurant-Restaurant"/>
    <s v="AMEXPLATINUM"/>
    <x v="3"/>
  </r>
  <r>
    <d v="2025-04-23T00:00:00"/>
    <s v="THE CLEANERS IO, LLCNew York            NY"/>
    <n v="72"/>
    <s v="3vkNqXWUaEw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130862153169'"/>
    <s v="Business Services-Other Services"/>
    <s v="DELTARESERVE"/>
    <x v="8"/>
  </r>
  <r>
    <d v="2025-04-23T00:00:00"/>
    <s v="DELMONICOS 068880022NEW YORK            NY"/>
    <n v="650"/>
    <s v="73011005114 JLICUL@ICLOUD.COM_x000a_DELMONICOS 068880022170850_x000a_NEW YORK_x000a_NY_x000a_JLICUL@ICLOUD.COM"/>
    <s v="DELMONICOS 068880022NEW YORK            NY"/>
    <s v="56 BEAVER ST_x000a_FRNT A"/>
    <s v="NEW YORK_x000a_NY"/>
    <n v="10004"/>
    <s v="UNITED STATES"/>
    <s v="'320251140905938230'"/>
    <s v="Restaurant-Restaurant"/>
    <s v="DELTARESERVE"/>
    <x v="11"/>
  </r>
  <r>
    <d v="2025-04-24T00:00:00"/>
    <s v="UBER"/>
    <n v="38.83"/>
    <s v="15ASNVRJ   ZHH2VVZR         10012_x000a_Uber Trip_x000a_help.uber.com_x000a_CA_x000a_ZHH2VVZR         10012"/>
    <s v="Uber Trip           help.uber.com       CA"/>
    <s v="1455 MARKET ST_x000a_4TH FLOOR"/>
    <s v="SAN FRANCISCO_x000a_CA"/>
    <n v="94103"/>
    <s v="UNITED STATES"/>
    <s v="'320251140885867416'"/>
    <s v="Transportation-Taxis &amp; Coach"/>
    <s v="DELTARESERVE"/>
    <x v="2"/>
  </r>
  <r>
    <d v="2025-04-24T00:00:00"/>
    <s v="UBER"/>
    <n v="70.510000000000005"/>
    <s v="HA1WHQZH   PZQBV5SL         11249_x000a_Uber Trip_x000a_help.uber.com_x000a_CA_x000a_PZQBV5SL         11249"/>
    <s v="Uber Trip           help.uber.com       CA"/>
    <s v="1455 MARKET ST_x000a_4TH FLOOR"/>
    <s v="SAN FRANCISCO_x000a_CA"/>
    <n v="94103"/>
    <s v="UNITED STATES"/>
    <s v="'320251140885905870'"/>
    <s v="Transportation-Taxis &amp; Coach"/>
    <s v="DELTARESERVE"/>
    <x v="2"/>
  </r>
  <r>
    <d v="2025-04-24T00:00:00"/>
    <s v="UBER"/>
    <n v="63.73"/>
    <s v="RKKQFTD5   EJLEUKPS         10004_x000a_Uber Trip_x000a_help.uber.com_x000a_CA_x000a_EJLEUKPS         10004"/>
    <s v="Uber Trip           help.uber.com       CA"/>
    <s v="1455 MARKET ST_x000a_4TH FLOOR"/>
    <s v="SAN FRANCISCO_x000a_CA"/>
    <n v="94103"/>
    <s v="UNITED STATES"/>
    <s v="'320251140886365100'"/>
    <s v="Transportation-Taxis &amp; Coach"/>
    <s v="DELTARESERVE"/>
    <x v="2"/>
  </r>
  <r>
    <d v="2025-04-24T00:00:00"/>
    <s v="THE CLEANERS IO, LLCNew York            NY"/>
    <n v="77.760000000000005"/>
    <s v="t8T8ILZTIBH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140888688715'"/>
    <s v="Business Services-Other Services"/>
    <s v="AMEXPLATINUM"/>
    <x v="8"/>
  </r>
  <r>
    <d v="2025-04-24T00:00:00"/>
    <s v="COVERGIRL.MAXIM.COM SAN ANTONIO         TX"/>
    <n v="10"/>
    <s v="CH_3RHVCR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140903731314'"/>
    <s v="Business Services-Office Supplies"/>
    <s v="AMEXPLATINUM"/>
    <x v="3"/>
  </r>
  <r>
    <d v="2025-04-24T00:00:00"/>
    <s v="CVS PHARMACY        NEW YORK            NY"/>
    <n v="21.52"/>
    <s v="10185046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1150924857769'"/>
    <s v="Merchandise &amp; Supplies-Pharmacies"/>
    <s v="AMEXPLATINUM"/>
    <x v="3"/>
  </r>
  <r>
    <d v="2025-04-25T00:00:00"/>
    <s v="MOBILE PAYMENT - THANK YOU"/>
    <n v="-7500"/>
    <s v="MOBILE PAYMENT - THANK YOU"/>
    <s v="MOBILE PAYMENT - THANK YOU"/>
    <m/>
    <m/>
    <m/>
    <m/>
    <s v="'320251150908785485'"/>
    <m/>
    <s v="DELTARESERVE"/>
    <x v="0"/>
  </r>
  <r>
    <d v="2025-04-25T00:00:00"/>
    <s v="UBER"/>
    <n v="69.11"/>
    <s v="JTTXRHYQ   LFB6FW4I         10014_x000a_Uber Trip_x000a_help.uber.com_x000a_CA_x000a_LFB6FW4I         10014"/>
    <s v="Uber Trip           help.uber.com       CA"/>
    <s v="1455 MARKET ST_x000a_4TH FLOOR"/>
    <s v="SAN FRANCISCO_x000a_CA"/>
    <n v="94103"/>
    <s v="UNITED STATES"/>
    <s v="'320251150916188882'"/>
    <s v="Transportation-Taxis &amp; Coach"/>
    <s v="DELTARESERVE"/>
    <x v="2"/>
  </r>
  <r>
    <d v="2025-04-25T00:00:00"/>
    <s v="UBER"/>
    <n v="49.77"/>
    <s v="BHW4W9KX   GC23WDVI         10018_x000a_Uber Trip_x000a_help.uber.com_x000a_CA_x000a_GC23WDVI         10018"/>
    <s v="Uber Trip           help.uber.com       CA"/>
    <s v="1455 MARKET ST_x000a_4TH FLOOR"/>
    <s v="SAN FRANCISCO_x000a_CA"/>
    <n v="94103"/>
    <s v="UNITED STATES"/>
    <s v="'320251150917032176'"/>
    <s v="Transportation-Taxis &amp; Coach"/>
    <s v="DELTARESERVE"/>
    <x v="2"/>
  </r>
  <r>
    <d v="2025-04-25T00:00:00"/>
    <s v="UBER"/>
    <n v="53.05"/>
    <s v="GAP8XC1G   Z2K6I6TK         10036_x000a_Uber Trip_x000a_help.uber.com_x000a_CA_x000a_Z2K6I6TK         10036"/>
    <s v="Uber Trip           help.uber.com       CA"/>
    <s v="1455 MARKET ST_x000a_4TH FLOOR"/>
    <s v="SAN FRANCISCO_x000a_CA"/>
    <n v="94103"/>
    <s v="UNITED STATES"/>
    <s v="'320251150917234148'"/>
    <s v="Transportation-Taxis &amp; Coach"/>
    <s v="DELTARESERVE"/>
    <x v="2"/>
  </r>
  <r>
    <d v="2025-04-25T00:00:00"/>
    <s v="UBER"/>
    <n v="48.8"/>
    <s v="N334N60R   WXBZ3VOB         10003_x000a_Uber Trip_x000a_help.uber.com_x000a_CA_x000a_WXBZ3VOB         10003"/>
    <s v="Uber Trip           help.uber.com       CA"/>
    <s v="1455 MARKET ST_x000a_4TH FLOOR"/>
    <s v="SAN FRANCISCO_x000a_CA"/>
    <n v="94103"/>
    <s v="UNITED STATES"/>
    <s v="'320251150917412351'"/>
    <s v="Transportation-Taxis &amp; Coach"/>
    <s v="DELTARESERVE"/>
    <x v="2"/>
  </r>
  <r>
    <d v="2025-04-25T00:00:00"/>
    <s v="UBER"/>
    <n v="120.41"/>
    <s v="D6ED261E    8005928996_x000a_Uber Trip_x000a_help.uber.com_x000a_CA_x000a_8005928996"/>
    <s v="Uber Trip           help.uber.com       CA"/>
    <s v="1455 MARKET ST_x000a_4TH FLOOR"/>
    <s v="SAN FRANCISCO_x000a_CA"/>
    <n v="94103"/>
    <s v="UNITED STATES"/>
    <s v="'320251160944238379'"/>
    <s v="Transportation-Taxis &amp; Coach"/>
    <s v="DELTARESERVE"/>
    <x v="2"/>
  </r>
  <r>
    <d v="2025-04-25T00:00:00"/>
    <s v="UBER"/>
    <n v="18.059999999999999"/>
    <s v="5VGPQB09   EIAGFEOG         M5H_x000a_Uber Trip_x000a_help.uber.com_x000a_CA_x000a_EIAGFEOG         M5H"/>
    <s v="Uber Trip           help.uber.com       CA"/>
    <s v="1455 MARKET ST_x000a_4TH FLOOR"/>
    <s v="SAN FRANCISCO_x000a_CA"/>
    <n v="94103"/>
    <s v="UNITED STATES"/>
    <s v="'320251160945204984'"/>
    <s v="Transportation-Taxis &amp; Coach"/>
    <s v="DELTARESERVE"/>
    <x v="2"/>
  </r>
  <r>
    <d v="2025-04-25T00:00:00"/>
    <s v="HUDSON ST2377 2377  JAMAICA             NY"/>
    <n v="19.670000000000002"/>
    <s v="425180919  425140919        11430_x000a_NEWS DEALERS/NEWSSTANDS_x000a_HUDSON ST2377 2377_x000a_JAMAICA_x000a_NY_x000a_NEWS DEALERS/NEWSSTANDS_x000a_425140919        11430"/>
    <s v="HUDSON ST2377 2377  JAMAICA             NY"/>
    <s v="ROOM 2420_x000a_TERMINAL 4"/>
    <s v="JAMAICA_x000a_NY"/>
    <n v="11430"/>
    <s v="UNITED STATES"/>
    <s v="'320251160951482442'"/>
    <s v="Merchandise &amp; Supplies-Book Stores"/>
    <s v="DELTARESERVE"/>
    <x v="3"/>
  </r>
  <r>
    <d v="2025-04-25T00:00:00"/>
    <s v="TOPTAL.COM          SAN FRANCISCO       CA"/>
    <n v="436.5"/>
    <s v="CH_2RI0S2VY +18886043188_x000a_TOPTAL.COM_x000a_SAN FRANCISCO_x000a_CA_x000a_+18886043188"/>
    <s v="TOPTAL.COM          SAN FRANCISCO       CA"/>
    <s v="548 MARKET ST 36879"/>
    <s v="SAN FRANCISCO_x000a_CA"/>
    <n v="94104"/>
    <s v="UNITED STATES"/>
    <s v="'320251160956018143'"/>
    <s v="Merchandise &amp; Supplies-Computer Supplies"/>
    <s v="DELTARESERVE"/>
    <x v="6"/>
  </r>
  <r>
    <d v="2025-04-25T00:00:00"/>
    <s v="EDNA + VITA         TORONTO"/>
    <n v="245.2"/>
    <s v="1454156     9056812997_x000a_EDNA + VITA_x000a_TORONTO_x000a_9056812997Foreign Spend Amount: 339.53 CANADIAN DOLLAR Commission Amount:  Currency Exchange Rate: null"/>
    <s v="EDNA + VITA         TORONTO"/>
    <s v="1ST CDN PL_x000a_77 ADELAIDE ST W"/>
    <s v="TORONTO_x000a_ON"/>
    <s v="M5X 1B1"/>
    <s v="CANADA"/>
    <s v="'320251170979483865'"/>
    <s v="Restaurant-Restaurant"/>
    <s v="DELTARESERVE"/>
    <x v="11"/>
  </r>
  <r>
    <d v="2025-04-26T00:00:00"/>
    <s v="FBCOMEDYPRODUCTIONS AUSTIN              TX"/>
    <n v="80"/>
    <s v="CH_3RIA9EAC +18479736640_x000a_FBCOMEDYPRODUCTIONS_x000a_AUSTIN_x000a_TX_x000a_+18479736640"/>
    <s v="FBCOMEDYPRODUCTIONS AUSTIN              TX"/>
    <s v="5900 BALCONES DR_x000a_STE 100"/>
    <s v="AUSTIN_x000a_TX"/>
    <n v="78731"/>
    <s v="UNITED STATES"/>
    <s v="'320251160938649305'"/>
    <s v="Entertainment-General Events"/>
    <s v="DELTARESERVE"/>
    <x v="3"/>
  </r>
  <r>
    <d v="2025-04-26T00:00:00"/>
    <s v="AMAZON MUSIC*UC7E23L888-802-3080        WA"/>
    <n v="10.99"/>
    <s v="1CL2ZDVFKSL DIGITAL_x000a_AMAZON MUSIC*UC7E23LA3_x000a_888-802-3080_x000a_WA_x000a_DIGITAL"/>
    <s v="AMAZON MUSIC*UC7E23L888-802-3080        WA"/>
    <s v="1512 2ND AVE"/>
    <s v="SEATTLE_x000a_WA"/>
    <s v="98101-1508"/>
    <s v="UNITED STATES"/>
    <s v="'320251160941689250'"/>
    <s v="Merchandise &amp; Supplies-Internet Purchase"/>
    <s v="DELTARESERVE"/>
    <x v="3"/>
  </r>
  <r>
    <d v="2025-04-26T00:00:00"/>
    <s v="UBER"/>
    <n v="249.92"/>
    <s v="4TZ7EEJY   L62HD25Y         11430_x000a_Uber Trip_x000a_help.uber.com_x000a_CA_x000a_L62HD25Y         11430"/>
    <s v="Uber Trip           help.uber.com       CA"/>
    <s v="1455 MARKET ST_x000a_4TH FLOOR"/>
    <s v="SAN FRANCISCO_x000a_CA"/>
    <n v="94103"/>
    <s v="UNITED STATES"/>
    <s v="'320251160944961249'"/>
    <s v="Transportation-Taxis &amp; Coach"/>
    <s v="DELTARESERVE"/>
    <x v="2"/>
  </r>
  <r>
    <d v="2025-04-26T00:00:00"/>
    <s v="HONEY               TORONTO"/>
    <n v="535.34"/>
    <s v="840299      WOMEN'S CLOTHING_x000a_HONEY_x000a_TORONTO_x000a_WOMEN'S CLOTHINGForeign Spend Amount: 741.28 CANADIAN DOLLAR Commission Amount:  Currency Exchange Rate: null"/>
    <s v="HONEY               TORONTO"/>
    <s v="220 YONGE ST_x000a_2123A"/>
    <s v="TORONTO_x000a_ON"/>
    <s v="M5B 2H1"/>
    <s v="CANADA"/>
    <s v="'320251170978889697'"/>
    <s v="Merchandise &amp; Supplies-Clothing Stores"/>
    <s v="AMEXPLATINUM"/>
    <x v="3"/>
  </r>
  <r>
    <d v="2025-04-26T00:00:00"/>
    <s v="EVER NEW MELBOURNE LMISSISSUAGA"/>
    <n v="236.64"/>
    <s v="AATL573     MEN'S/WOMEN'S CLOTHNG_x000a_EVER NEW MELBOURNE LTD_x000a_MISSISSUAGA_x000a_MEN'S/WOMEN'S CLOTHNGForeign Spend Amount: 327.68 CANADIAN DOLLAR Commission Amount:  Currency Exchange Rate: null"/>
    <s v="EVER NEW MELBOURNE LMISSISSUAGA"/>
    <s v="220 YONGE ST_x000a_B221C"/>
    <s v="TORONTO_x000a_ON"/>
    <s v="M5B 2H1"/>
    <s v="CANADA"/>
    <s v="'320251170982812028'"/>
    <s v="Merchandise &amp; Supplies-Clothing Stores"/>
    <s v="AMEXPLATINUM"/>
    <x v="3"/>
  </r>
  <r>
    <d v="2025-04-26T00:00:00"/>
    <s v="SP ALO YOGA CANADA  TORONTO"/>
    <n v="90.26"/>
    <s v="CH_3RIGJRS0 +13232487531_x000a_SP ALO YOGA CANADA_x000a_TORONTO_x000a_+13232487531Foreign Spend Amount: 124.98 CANADIAN DOLLAR Commission Amount:  Currency Exchange Rate: null"/>
    <s v="SP ALO YOGA CANADA  TORONTO"/>
    <s v="145 KING ST WEST"/>
    <s v="TORONTO_x000a_ON"/>
    <s v="M5H 4G2"/>
    <s v="CANADA"/>
    <s v="'320251170984615501'"/>
    <s v="Merchandise &amp; Supplies-Clothing Stores"/>
    <s v="AMEXPLATINUM"/>
    <x v="3"/>
  </r>
  <r>
    <d v="2025-04-26T00:00:00"/>
    <s v="CALENDLY            AVONDALE ESTATES    GA"/>
    <n v="16.05"/>
    <s v="CH_3RIIXJ4Y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1170984861903'"/>
    <s v="Merchandise &amp; Supplies-Computer Supplies"/>
    <s v="AMEXPLATINUM"/>
    <x v="1"/>
  </r>
  <r>
    <d v="2025-04-27T00:00:00"/>
    <s v="RIPLEYS AQUARIUM    TORONTO"/>
    <n v="6.12"/>
    <s v="857109      AQUARIUM_x000a_RIPLEYS AQUARIUM_x000a_TORONTO_x000a_AQUARIUMForeign Spend Amount: 8.48 CANADIAN DOLLAR Commission Amount:  Currency Exchange Rate: null"/>
    <s v="RIPLEYS AQUARIUM    TORONTO"/>
    <s v="288 BREMNER BLVD"/>
    <s v="TORONTO_x000a_ON"/>
    <s v="M5V 3L9"/>
    <s v="CANADA"/>
    <s v="'320251180004881969'"/>
    <s v="Entertainment-Theatrical Events"/>
    <s v="AMEXPLATINUM"/>
    <x v="3"/>
  </r>
  <r>
    <d v="2025-04-27T00:00:00"/>
    <s v="RIPLEYS AQUARIUM    TORONTO"/>
    <n v="7.34"/>
    <s v="898418      AQUARIUM_x000a_RIPLEYS AQUARIUM_x000a_TORONTO_x000a_AQUARIUMForeign Spend Amount: 10.16 CANADIAN DOLLAR Commission Amount:  Currency Exchange Rate: null"/>
    <s v="RIPLEYS AQUARIUM    TORONTO"/>
    <s v="288 BREMNER BLVD"/>
    <s v="TORONTO_x000a_ON"/>
    <s v="M5V 3L9"/>
    <s v="CANADA"/>
    <s v="'320251180007683068'"/>
    <s v="Entertainment-Theatrical Events"/>
    <s v="AMEXPLATINUM"/>
    <x v="3"/>
  </r>
  <r>
    <d v="2025-04-27T00:00:00"/>
    <s v="CN TOWER RETAIL STORTORONTO"/>
    <n v="32.82"/>
    <s v="884575      TOURIST ATTRACTION_x000a_CN TOWER RETAIL STORE_x000a_TORONTO_x000a_TOURIST ATTRACTIONForeign Spend Amount: 45.45 CANADIAN DOLLAR Commission Amount:  Currency Exchange Rate: null"/>
    <s v="CN TOWER RETAIL STORTORONTO"/>
    <s v="301 FRONT ST WEST FRNT O"/>
    <s v="TORONTO_x000a_ON"/>
    <s v="M5V 2T6"/>
    <s v="CANADA"/>
    <s v="'320251180007729167'"/>
    <s v="Entertainment-General Events"/>
    <s v="AMEXPLATINUM"/>
    <x v="3"/>
  </r>
  <r>
    <d v="2025-04-27T00:00:00"/>
    <s v="TST-BAR CHEF        TORONTO"/>
    <n v="270.8"/>
    <s v="######QuEDB RESTAURANT_x000a_TST-BAR CHEF_x000a_TORONTO_x000a_RESTAURANTForeign Spend Amount: 374.97 CANADIAN DOLLAR Commission Amount:  Currency Exchange Rate: null"/>
    <s v="TST-BAR CHEF        TORONTO"/>
    <s v="472 QUEEN ST WEST"/>
    <s v="TORONTO_x000a_ON"/>
    <s v="M5V 2B2"/>
    <s v="CANADA"/>
    <s v="'320251190037664887'"/>
    <s v="Restaurant-Restaurant"/>
    <s v="DELTARESERVE"/>
    <x v="11"/>
  </r>
  <r>
    <d v="2025-04-28T00:00:00"/>
    <s v="ONLINE PAYMENT - THANK YOU"/>
    <n v="-5000"/>
    <s v="ONLINE PAYMENT - THANK YOU"/>
    <s v="ONLINE PAYMENT - THANK YOU"/>
    <m/>
    <m/>
    <m/>
    <m/>
    <s v="'320251180990222857'"/>
    <m/>
    <s v="AMEXPLATINUM"/>
    <x v="0"/>
  </r>
  <r>
    <d v="2025-04-28T00:00:00"/>
    <s v="ONLINE PAYMENT - THANK YOU"/>
    <n v="-5000"/>
    <s v="ONLINE PAYMENT - THANK YOU"/>
    <s v="ONLINE PAYMENT - THANK YOU"/>
    <m/>
    <m/>
    <m/>
    <m/>
    <s v="'320251180990224339'"/>
    <m/>
    <s v="DELTARESERVE"/>
    <x v="0"/>
  </r>
  <r>
    <d v="2025-04-28T00:00:00"/>
    <s v="UBER"/>
    <n v="30.58"/>
    <s v="NJ3RENY0    8005928996_x000a_Uber Trip_x000a_help.uber.com_x000a_CA_x000a_8005928996"/>
    <s v="Uber Trip           help.uber.com       CA"/>
    <s v="1455 MARKET ST_x000a_4TH FLOOR"/>
    <s v="SAN FRANCISCO_x000a_CA"/>
    <n v="94103"/>
    <s v="UNITED STATES"/>
    <s v="'320251180996081086'"/>
    <s v="Transportation-Taxis &amp; Coach"/>
    <s v="DELTARESERVE"/>
    <x v="2"/>
  </r>
  <r>
    <d v="2025-04-28T00:00:00"/>
    <s v="UBER"/>
    <n v="29.47"/>
    <s v="33HJ3QKV    8005928996_x000a_Uber Trip_x000a_help.uber.com_x000a_CA_x000a_8005928996"/>
    <s v="Uber Trip           help.uber.com       CA"/>
    <s v="1455 MARKET ST_x000a_4TH FLOOR"/>
    <s v="SAN FRANCISCO_x000a_CA"/>
    <n v="94103"/>
    <s v="UNITED STATES"/>
    <s v="'320251180996162488'"/>
    <s v="Transportation-Taxis &amp; Coach"/>
    <s v="DELTARESERVE"/>
    <x v="2"/>
  </r>
  <r>
    <d v="2025-04-28T00:00:00"/>
    <s v="BLACK + BLUE TORONTOTORONTO"/>
    <n v="1036.9000000000001"/>
    <s v="5890076602  6473688283_x000a_BLACK + BLUE TORONTO_x000a_TORONTO_x000a_6473688283Foreign Spend Amount: 1432.37 CANADIAN DOLLAR Commission Amount:  Currency Exchange Rate: null"/>
    <s v="BLACK + BLUE TORONTOTORONTO"/>
    <s v="130 KING ST WEST_x000a_UNIT SW12"/>
    <s v="TORONTO_x000a_ON"/>
    <s v="M5X 2A2"/>
    <s v="CANADA"/>
    <s v="'320251200061926414'"/>
    <s v="Restaurant-Restaurant"/>
    <s v="DELTARESERVE"/>
    <x v="11"/>
  </r>
  <r>
    <d v="2025-04-29T00:00:00"/>
    <s v="UBER"/>
    <n v="18.559999999999999"/>
    <s v="7YK8ACC2    8005928996_x000a_Uber Trip_x000a_help.uber.com_x000a_CA_x000a_8005928996"/>
    <s v="Uber Trip           help.uber.com       CA"/>
    <s v="1455 MARKET ST_x000a_4TH FLOOR"/>
    <s v="SAN FRANCISCO_x000a_CA"/>
    <n v="94103"/>
    <s v="UNITED STATES"/>
    <s v="'320251190023973376'"/>
    <s v="Transportation-Taxis &amp; Coach"/>
    <s v="DELTARESERVE"/>
    <x v="2"/>
  </r>
  <r>
    <d v="2025-04-29T00:00:00"/>
    <s v="UBER"/>
    <n v="25.79"/>
    <s v="8SB5YYSB    8005928996_x000a_Uber Trip_x000a_help.uber.com_x000a_CA_x000a_8005928996"/>
    <s v="Uber Trip           help.uber.com       CA"/>
    <s v="1455 MARKET ST_x000a_4TH FLOOR"/>
    <s v="SAN FRANCISCO_x000a_CA"/>
    <n v="94103"/>
    <s v="UNITED STATES"/>
    <s v="'320251200050835890'"/>
    <s v="Transportation-Taxis &amp; Coach"/>
    <s v="DELTARESERVE"/>
    <x v="2"/>
  </r>
  <r>
    <d v="2025-04-29T00:00:00"/>
    <s v="CALL IT SPRING 3143 TORONTO"/>
    <n v="115.3"/>
    <s v="1213712001 4169773193_x000a_SHOE STORES_x000a_CALL IT SPRING 3143_x000a_TORONTO_x000a_SHOE STORES_x000a_4169773193Foreign Spend Amount: 159.28 CANADIAN DOLLAR Commission Amount:  Currency Exchange Rate: null"/>
    <s v="CALL IT SPRING 3143 TORONTO"/>
    <s v="TORONTO EATON CTR_x000a_UNITB024A 220 YONGE ST"/>
    <s v="TORONTO_x000a_ON"/>
    <s v="M5B 2H1"/>
    <s v="CANADA"/>
    <s v="'320251200053397338'"/>
    <s v="Merchandise &amp; Supplies-Clothing Stores"/>
    <s v="AMEXPLATINUM"/>
    <x v="3"/>
  </r>
  <r>
    <d v="2025-04-29T00:00:00"/>
    <s v="VICTORIA'S SECRET STTORONTO"/>
    <n v="168.43"/>
    <s v="8663153120_x000a_VICTORIA'S SECRET STORES #1524_x000a_TORONTO_x000a_8663153120Foreign Spend Amount: 232.67 CANADIAN DOLLAR Commission Amount:  Currency Exchange Rate: null"/>
    <s v="VICTORIA'S SECRET STTORONTO"/>
    <s v="220 YONGE ST"/>
    <s v="TORONTO_x000a_ON"/>
    <s v="M5B 2H1"/>
    <s v="CANADA"/>
    <s v="'320251200063903250'"/>
    <s v="Merchandise &amp; Supplies-Clothing Stores"/>
    <s v="AMEXPLATINUM"/>
    <x v="3"/>
  </r>
  <r>
    <d v="2025-04-29T00:00:00"/>
    <s v="THE DANISH PASTRY HOTORONTO"/>
    <n v="5.55"/>
    <s v="11106582511 BAKERY_x000a_THE DANISH PASTRY HOUSE 210263580_x000a_TORONTO_x000a_BAKERYForeign Spend Amount: 7.67 CANADIAN DOLLAR Commission Amount:  Currency Exchange Rate: null"/>
    <s v="THE DANISH PASTRY HOTORONTO"/>
    <s v="220 YONGE ST"/>
    <s v="TORONTO_x000a_ON"/>
    <s v="M5B 2H1"/>
    <s v="CANADA"/>
    <s v="'320251200064932595'"/>
    <s v="Merchandise &amp; Supplies-Groceries"/>
    <s v="AMEXPLATINUM"/>
    <x v="3"/>
  </r>
  <r>
    <d v="2025-04-29T00:00:00"/>
    <s v="LALINE              TORONTO"/>
    <n v="41.2"/>
    <s v="######Qv5Rc SPORTS CLOTHING_x000a_LALINE_x000a_TORONTO_x000a_SPORTS CLOTHINGForeign Spend Amount: 56.95 CANADIAN DOLLAR Commission Amount:  Currency Exchange Rate: null"/>
    <s v="LALINE              TORONTO"/>
    <s v="503 1 YORKDALE RD_x000a_SUITE 503"/>
    <s v="TORONTO_x000a_ON"/>
    <s v="M6A 3A1"/>
    <s v="CANADA"/>
    <s v="'320251200068145691'"/>
    <s v="Merchandise &amp; Supplies-Clothing Stores"/>
    <s v="AMEXPLATINUM"/>
    <x v="3"/>
  </r>
  <r>
    <d v="2025-04-30T00:00:00"/>
    <s v="UBER"/>
    <n v="120.67"/>
    <s v="FM2CVW54    8005928996_x000a_Uber Trip_x000a_help.uber.com_x000a_CA_x000a_8005928996"/>
    <s v="Uber Trip           help.uber.com       CA"/>
    <s v="1455 MARKET ST_x000a_4TH FLOOR"/>
    <s v="SAN FRANCISCO_x000a_CA"/>
    <n v="94103"/>
    <s v="UNITED STATES"/>
    <s v="'320251200046952575'"/>
    <s v="Transportation-Taxis &amp; Coach"/>
    <s v="DELTARESERVE"/>
    <x v="2"/>
  </r>
  <r>
    <d v="2025-04-30T00:00:00"/>
    <s v="STARBUCKS 04300     TORONTO"/>
    <n v="9.23"/>
    <s v="BE43F18987A FAST FOOD RESTAURANT_x000a_STARBUCKS 04300_x000a_TORONTO_x000a_FAST FOOD RESTAURANTForeign Spend Amount: 12.74 CANADIAN DOLLAR Commission Amount:  Currency Exchange Rate: null"/>
    <s v="STARBUCKS 04300     TORONTO"/>
    <s v="4 KING ST WEST"/>
    <s v="TORONTO_x000a_ON"/>
    <s v="M5H 1B6"/>
    <s v="CANADA"/>
    <s v="'320251210084906083'"/>
    <s v="Restaurant-Bar &amp; CafÃ©"/>
    <s v="AMEXPLATINUM"/>
    <x v="3"/>
  </r>
  <r>
    <d v="2025-04-30T00:00:00"/>
    <s v="NOBEL BURGER        MISSISSAUGA"/>
    <n v="103.48"/>
    <s v="21105185121 FOOD AND BEV_x000a_NOBEL BURGER_x000a_MISSISSAUGA_x000a_FOOD AND BEVForeign Spend Amount: 142.84 CANADIAN DOLLAR Commission Amount:  Currency Exchange Rate: null"/>
    <s v="NOBEL BURGER        MISSISSAUGA"/>
    <s v="6301 SILVER DART DR"/>
    <s v="MISSISSAUGA_x000a_ON"/>
    <s v="L5P 1B2"/>
    <s v="CANADA"/>
    <s v="'320251210085681538'"/>
    <s v="Restaurant-Restaurant"/>
    <s v="AMEXPLATINUM"/>
    <x v="3"/>
  </r>
  <r>
    <d v="2025-04-30T00:00:00"/>
    <s v="LYFT                855-280-0278        CA"/>
    <n v="5.57"/>
    <s v="CH_2RJKMJJB2077701729100753794104_x000a_2077701729100753772_x000a_LYFT_x000a_855-280-0278_x000a_CA_x000a_2077701729100753772_x000a_2077701729100753794104"/>
    <s v="LYFT                855-280-0278        CA"/>
    <s v="185 BERRY ST STE 5000"/>
    <s v="SAN FRANCISCO_x000a_CA"/>
    <n v="94107"/>
    <s v="UNITED STATES"/>
    <s v="'320251210094355903'"/>
    <s v="Transportation-Taxis &amp; Coach"/>
    <s v="AMEXPLATINUM"/>
    <x v="3"/>
  </r>
  <r>
    <d v="2025-05-01T00:00:00"/>
    <s v="HUBSPOT INC.        CAMBRIDGE, MASSACHUSMA"/>
    <n v="21.4"/>
    <s v="30300784    COMPUTER PROGRAMMING_x000a_HUBSPOT INC._x000a_CAMBRIDGE, MASSACHUSE_x000a_MA_x000a_COMPUTER PROGRAMMING"/>
    <s v="HUBSPOT INC.        CAMBRIDGE, MASSACHUSMA"/>
    <s v="25 FIRST STREET_x000a_-"/>
    <s v="CAMBRIDGE_x000a_MA"/>
    <s v="02141"/>
    <s v="UNITED STATES"/>
    <s v="'320251210077025876'"/>
    <s v="Business Services-Employment Agencies"/>
    <s v="DELTARESERVE"/>
    <x v="1"/>
  </r>
  <r>
    <d v="2025-05-01T00:00:00"/>
    <s v="UBER"/>
    <n v="222.02"/>
    <s v="J632E9V4   YZIOQKPN         10012_x000a_Uber Trip_x000a_help.uber.com_x000a_CA_x000a_YZIOQKPN         10012"/>
    <s v="Uber Trip           help.uber.com       CA"/>
    <s v="1455 MARKET ST_x000a_4TH FLOOR"/>
    <s v="SAN FRANCISCO_x000a_CA"/>
    <n v="94103"/>
    <s v="UNITED STATES"/>
    <s v="'320251210079057780'"/>
    <s v="Transportation-Taxis &amp; Coach"/>
    <s v="DELTARESERVE"/>
    <x v="2"/>
  </r>
  <r>
    <d v="2025-05-01T00:00:00"/>
    <s v="YYZXR PMS           Toronto"/>
    <n v="22.92"/>
    <s v="387418      4163065800_x000a_LODGING_x000a_YYZXR PMS_x000a_Toronto_x000a_Foreign Spend Amount: 31.64 CANADIAN DOLLAR Commission Amount:  Currency Exchange Rate: null"/>
    <s v="YYZXR PMS           Toronto"/>
    <s v="325 BAY ST"/>
    <s v="TORONTO_x000a_ON"/>
    <s v="M5H 4G3"/>
    <s v="CANADA"/>
    <s v="'320251210086570352'"/>
    <s v="Business Services-Conferences &amp; Training"/>
    <s v="DELTARESERVE"/>
    <x v="17"/>
  </r>
  <r>
    <d v="2025-05-01T00:00:00"/>
    <s v="VERIZON WRLS RCCRNG PMTS"/>
    <n v="226.6"/>
    <s v="N0000003948VZWRLSS*APOCC_x000a_VZW APO_x000a_800-922-0204_x000a_FL_x000a_VZWRLSS*APOCC"/>
    <s v="VZW APO             800-922-0204        FL"/>
    <s v="600 COOLIDGE DR"/>
    <s v="FOLSOM_x000a_CA"/>
    <s v="95630-3155"/>
    <s v="UNITED STATES"/>
    <s v="'320251210086660039'"/>
    <s v="Communications-Mobile Telecom"/>
    <s v="DELTARESERVE"/>
    <x v="5"/>
  </r>
  <r>
    <d v="2025-05-01T00:00:00"/>
    <s v="YYZXR PMS           Toronto"/>
    <n v="4871.5600000000004"/>
    <s v="387418      4163065800_x000a_LODGING_x000a_YYZXR PMS_x000a_Toronto_x000a_Foreign Spend Amount: 6724.70 CANADIAN DOLLAR Commission Amount:  Currency Exchange Rate: null"/>
    <s v="YYZXR PMS           Toronto"/>
    <s v="325 BAY ST"/>
    <s v="TORONTO_x000a_ON"/>
    <s v="M5H 4G3"/>
    <s v="CANADA"/>
    <s v="'320251210087377169'"/>
    <s v="Business Services-Conferences &amp; Training"/>
    <s v="DELTARESERVE"/>
    <x v="17"/>
  </r>
  <r>
    <d v="2025-05-01T00:00:00"/>
    <s v="YYZXR PMS           Toronto"/>
    <n v="28.98"/>
    <s v="387418      4163065800_x000a_LODGING_x000a_YYZXR PMS_x000a_Toronto_x000a_Foreign Spend Amount: 40.00 CANADIAN DOLLAR Commission Amount:  Currency Exchange Rate: null"/>
    <s v="YYZXR PMS           Toronto"/>
    <s v="325 BAY ST"/>
    <s v="TORONTO_x000a_ON"/>
    <s v="M5H 4G3"/>
    <s v="CANADA"/>
    <s v="'320251210087752218'"/>
    <s v="Business Services-Conferences &amp; Training"/>
    <s v="DELTARESERVE"/>
    <x v="17"/>
  </r>
  <r>
    <d v="2025-05-01T00:00:00"/>
    <s v="LAW OFFICES OF VACHEHACKENSACK          NJ"/>
    <n v="750"/>
    <s v="31099535121 201-9961161_x000a_LAW OFFICES OF VACHE E BA 00-080292532_x000a_HACKENSACK_x000a_NJ_x000a_201-9961161"/>
    <s v="LAW OFFICES OF VACHEHACKENSACK          NJ"/>
    <s v="21 MAIN ST STE 209"/>
    <s v="HACKENSACK_x000a_NJ"/>
    <s v="07601"/>
    <s v="UNITED STATES"/>
    <s v="'320251220121571621'"/>
    <s v="Business Services-Legal Services"/>
    <s v="DELTARESERVE"/>
    <x v="10"/>
  </r>
  <r>
    <d v="2025-05-01T00:00:00"/>
    <s v="Amazon Web Services AWS.Amazon.com      WA"/>
    <n v="1540.61"/>
    <s v="2F3TP949NAT WEB SERVICES_x000a_Amazon Web Services_x000a_AWS.Amazon.com_x000a_WA_x000a_WEB SERVICES"/>
    <s v="Amazon Web Services AWS.Amazon.com      WA"/>
    <s v="1512 2ND AVE"/>
    <s v="SEATTLE_x000a_WA"/>
    <n v="98101"/>
    <s v="UNITED STATES"/>
    <s v="'320251220122632419'"/>
    <s v="Merchandise &amp; Supplies-Internet Purchase"/>
    <s v="AMEXPLATINUM"/>
    <x v="12"/>
  </r>
  <r>
    <d v="2025-05-01T00:00:00"/>
    <s v="KALL8 00089590000642SEATTLE             WA"/>
    <n v="16.96"/>
    <s v="73011005121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1220127508029'"/>
    <s v="Other-Miscellaneous"/>
    <s v="AMEXPLATINUM"/>
    <x v="5"/>
  </r>
  <r>
    <d v="2025-05-01T00:00:00"/>
    <s v="CLEANY              NEW YORK            NY"/>
    <n v="385.42"/>
    <s v="CH_3RK2P4HQ +12128516134_x000a_CLEANY_x000a_NEW YORK_x000a_NY_x000a_+12128516134"/>
    <s v="CLEANY              NEW YORK            NY"/>
    <s v="167 MADISON AVE_x000a_202"/>
    <s v="MANHATTAN_x000a_NY"/>
    <n v="10016"/>
    <s v="UNITED STATES"/>
    <s v="'320251240170465884'"/>
    <s v="Business Services-Other Services"/>
    <s v="AMEXPLATINUM"/>
    <x v="8"/>
  </r>
  <r>
    <d v="2025-05-02T00:00:00"/>
    <s v="UBER"/>
    <n v="40.26"/>
    <s v="B7RABB09   AMJZGN63         10013_x000a_Uber Trip_x000a_help.uber.com_x000a_CA_x000a_AMJZGN63         10013"/>
    <s v="Uber Trip           help.uber.com       CA"/>
    <s v="1455 MARKET ST_x000a_4TH FLOOR"/>
    <s v="SAN FRANCISCO_x000a_CA"/>
    <n v="94103"/>
    <s v="UNITED STATES"/>
    <s v="'320251220104990848'"/>
    <s v="Transportation-Taxis &amp; Coach"/>
    <s v="DELTARESERVE"/>
    <x v="2"/>
  </r>
  <r>
    <d v="2025-05-02T00:00:00"/>
    <s v="THE CLEANERS IO, LLCNew York            NY"/>
    <n v="48.83"/>
    <s v="Hhzk3L7FNOb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220106062894'"/>
    <s v="Business Services-Other Services"/>
    <s v="AMEXPLATINUM"/>
    <x v="8"/>
  </r>
  <r>
    <d v="2025-05-02T00:00:00"/>
    <s v="UBER EATS           HTTPS://HELP.UBER.COCA"/>
    <n v="148.59"/>
    <s v="6NKYX8Z0   BM2M5T7E         94103_x000a_UBER EATS_x000a_HTTPS://HELP.UBER.COM_x000a_CA_x000a_BM2M5T7E         94103"/>
    <s v="UBER EATS           HTTPS://HELP.UBER.COCA"/>
    <s v="1455 MARKET ST 4TH_x000a_FL"/>
    <s v="UBEREATS.COM_x000a_CA"/>
    <n v="94103"/>
    <s v="UNITED STATES"/>
    <s v="'320251220108719842'"/>
    <s v="Restaurant-Restaurant"/>
    <s v="DELTARESERVE"/>
    <x v="3"/>
  </r>
  <r>
    <d v="2025-05-02T00:00:00"/>
    <s v="UBER VESELKA        HTTPS://HELP.UBER.COCA"/>
    <n v="22.55"/>
    <s v="555KNCHX   BM2M5T7E         94103_x000a_UBER VESELKA_x000a_HTTPS://HELP.UBER.COM_x000a_CA_x000a_BM2M5T7E         94103"/>
    <s v="UBER VESELKA        HTTPS://HELP.UBER.COCA"/>
    <s v="1455 MARKET ST 4TH_x000a_FL"/>
    <s v="UBEREATS.COM_x000a_CA"/>
    <n v="94103"/>
    <s v="UNITED STATES"/>
    <s v="'320251230143441468'"/>
    <s v="Restaurant-Restaurant"/>
    <s v="DELTARESERVE"/>
    <x v="2"/>
  </r>
  <r>
    <d v="2025-05-02T00:00:00"/>
    <s v="TOPTAL.COM          SAN FRANCISCO       CA"/>
    <n v="79"/>
    <s v="CH_2RKYVRVY +18886043188_x000a_TOPTAL.COM_x000a_SAN FRANCISCO_x000a_CA_x000a_+18886043188"/>
    <s v="TOPTAL.COM          SAN FRANCISCO       CA"/>
    <s v="548 MARKET ST 36879"/>
    <s v="SAN FRANCISCO_x000a_CA"/>
    <n v="94104"/>
    <s v="UNITED STATES"/>
    <s v="'320251230149340118'"/>
    <s v="Merchandise &amp; Supplies-Computer Supplies"/>
    <s v="DELTARESERVE"/>
    <x v="6"/>
  </r>
  <r>
    <d v="2025-05-02T00:00:00"/>
    <s v="WEGMANS ASTOR PLACE NEW YORK            NY"/>
    <n v="93.61"/>
    <s v="W15640800065854293656_x000a_WEGMANS ASTOR PLACE 156 000000156_x000a_NEW YORK_x000a_NY_x000a_5854293656"/>
    <s v="WEGMANS ASTOR PLACE NEW YORK            NY"/>
    <s v="770 BROADWAY"/>
    <s v="NEW YORK_x000a_NY"/>
    <n v="10003"/>
    <s v="UNITED STATES"/>
    <s v="'320251230150449716'"/>
    <s v="Merchandise &amp; Supplies-Groceries"/>
    <s v="AMEXPLATINUM"/>
    <x v="3"/>
  </r>
  <r>
    <d v="2025-05-02T00:00:00"/>
    <s v="D J*WSJ             800-568-7625        NJ"/>
    <n v="41.72"/>
    <s v="P-035929815 SUBSRIPTION_x000a_D J*WSJ_x000a_800-568-7625_x000a_NJ_x000a_SUBSRIPTION"/>
    <s v="D J*WSJ             800-568-7625        NJ"/>
    <s v="4300 RTE 1 NORTH"/>
    <s v="SOUTH BRUNSWICK_x000a_NJ"/>
    <s v="08852"/>
    <s v="UNITED STATES"/>
    <s v="'320251230153954031'"/>
    <s v="Merchandise &amp; Supplies-Mail Order"/>
    <s v="AMEXPLATINUM"/>
    <x v="8"/>
  </r>
  <r>
    <d v="2025-05-03T00:00:00"/>
    <s v="ONLINE PAYMENT - THANK YOU"/>
    <n v="-2500"/>
    <s v="ONLINE PAYMENT - THANK YOU"/>
    <s v="ONLINE PAYMENT - THANK YOU"/>
    <m/>
    <m/>
    <m/>
    <m/>
    <s v="'320251230133726314'"/>
    <m/>
    <s v="AMEXPLATINUM"/>
    <x v="0"/>
  </r>
  <r>
    <d v="2025-05-03T00:00:00"/>
    <s v="ONLINE PAYMENT - THANK YOU"/>
    <n v="-3000"/>
    <s v="ONLINE PAYMENT - THANK YOU"/>
    <s v="ONLINE PAYMENT - THANK YOU"/>
    <m/>
    <m/>
    <m/>
    <m/>
    <s v="'320251230133749050'"/>
    <m/>
    <s v="DELTARESERVE"/>
    <x v="0"/>
  </r>
  <r>
    <d v="2025-05-03T00:00:00"/>
    <s v="COVERGIRL.MAXIM.COM SAN ANTONIO         TX"/>
    <n v="20"/>
    <s v="CH_3RKKTT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230134375003'"/>
    <s v="Business Services-Office Supplies"/>
    <s v="AMEXPLATINUM"/>
    <x v="3"/>
  </r>
  <r>
    <d v="2025-05-03T00:00:00"/>
    <s v="UBER"/>
    <n v="37.869999999999997"/>
    <s v="B8MEFF7Q   C5FKPTX4         10012_x000a_Uber Trip_x000a_help.uber.com_x000a_CA_x000a_C5FKPTX4         10012"/>
    <s v="Uber Trip           help.uber.com       CA"/>
    <s v="1455 MARKET ST_x000a_4TH FLOOR"/>
    <s v="SAN FRANCISCO_x000a_CA"/>
    <n v="94103"/>
    <s v="UNITED STATES"/>
    <s v="'320251230142367989'"/>
    <s v="Transportation-Taxis &amp; Coach"/>
    <s v="DELTARESERVE"/>
    <x v="2"/>
  </r>
  <r>
    <d v="2025-05-03T00:00:00"/>
    <s v="MICROSOFT           MSBILL.INFO"/>
    <n v="25.84"/>
    <s v="Z729397DI8CZ729397DI8C1     98052_x000a_MICROSOFT_x000a_MSBILL.INFO_x000a_Z729397DI8C1     98052"/>
    <s v="MICROSOFT           MSBILL.INFO"/>
    <s v="1 MICROSOFT WAY"/>
    <s v="REDMOND_x000a_WA"/>
    <n v="98052"/>
    <s v="UNITED STATES"/>
    <s v="'320251230154785236'"/>
    <s v="Other-Miscellaneous"/>
    <s v="DELTARESERVE"/>
    <x v="1"/>
  </r>
  <r>
    <d v="2025-05-03T00:00:00"/>
    <s v="UBER"/>
    <n v="42.13"/>
    <s v="P215C7TS   VCUL3GYJ         10012_x000a_Uber Trip_x000a_help.uber.com_x000a_CA_x000a_VCUL3GYJ         10012"/>
    <s v="Uber Trip           help.uber.com       CA"/>
    <s v="1455 MARKET ST_x000a_4TH FLOOR"/>
    <s v="SAN FRANCISCO_x000a_CA"/>
    <n v="94103"/>
    <s v="UNITED STATES"/>
    <s v="'320251240165554382'"/>
    <s v="Transportation-Taxis &amp; Coach"/>
    <s v="DELTARESERVE"/>
    <x v="2"/>
  </r>
  <r>
    <d v="2025-05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1240170457278'"/>
    <s v="Business Services-Other Services"/>
    <s v="AMEXPLATINUM"/>
    <x v="8"/>
  </r>
  <r>
    <d v="2025-05-03T00:00:00"/>
    <s v="ERACTOLL 7Y329K     877-860-1258        NY"/>
    <n v="21.15"/>
    <s v="T193979691  877-860-1258_x000a_ERACTOLL 7Y329K_x000a_877-860-1258_x000a_NY_x000a_Description : ERACTOLL 7Y329K Price : 0.00_x000a_877-860-1258"/>
    <s v="ERACTOLL 7Y329K     877-860-1258        NY"/>
    <s v="-"/>
    <e v="#NAME?"/>
    <n v="11577"/>
    <s v="UNITED STATES"/>
    <s v="'320251240172798339'"/>
    <s v="Transportation-Tolls &amp; Fees"/>
    <s v="DELTARESERVE"/>
    <x v="9"/>
  </r>
  <r>
    <d v="2025-05-03T00:00:00"/>
    <s v="DUANE READE #14468 0NEW YORK            NY"/>
    <n v="228.2"/>
    <s v="99999995124NONE             10003_x000a_PHARMACIES_x000a_DUANE READE #14468 000014468_x000a_NEW YORK_x000a_NY_x000a_PHARMACIES_x000a_NONE             10003"/>
    <s v="DUANE READE #14468 0NEW YORK            NY"/>
    <s v="1 UN SQ SOUTH"/>
    <s v="NEW YORK_x000a_NY"/>
    <n v="10003"/>
    <s v="UNITED STATES"/>
    <s v="'320251240174586688'"/>
    <s v="Merchandise &amp; Supplies-Pharmacies"/>
    <s v="DELTARESERVE"/>
    <x v="3"/>
  </r>
  <r>
    <d v="2025-05-03T00:00:00"/>
    <s v="BLVD   *ART AUTONOMYNEW YORK            NY"/>
    <n v="355.3"/>
    <s v="999999951242123434274_x000a_BEAUTY &amp; BARBER_x000a_BLVD   *ART AUTONOMY SALO 000000317_x000a_NEW YORK_x000a_NY_x000a_BEAUTY &amp; BARBER_x000a_2123434274"/>
    <s v="BLVD   *ART AUTONOMYNEW YORK            NY"/>
    <s v="497 BROOME ST_x000a_FL 2 FLOOR 2"/>
    <s v="NEW YORK_x000a_NY"/>
    <s v="10013-2214"/>
    <s v="UNITED STATES"/>
    <s v="'320251240176633998'"/>
    <s v="Business Services-Other Services"/>
    <s v="AMEXPLATINUM"/>
    <x v="3"/>
  </r>
  <r>
    <d v="2025-05-03T00:00:00"/>
    <s v="PI BAKERIE          NEW YORK            NY"/>
    <n v="37.17"/>
    <s v="85347035124212-226-2701_x000a_PI BAKERIE_x000a_NEW YORK_x000a_NY_x000a_212-226-2701"/>
    <s v="PI BAKERIE          NEW YORK            NY"/>
    <s v="512 BROOME ST"/>
    <s v="NEW YORK_x000a_NY"/>
    <s v="10013-1608"/>
    <s v="UNITED STATES"/>
    <s v="'320251240184035599'"/>
    <s v="Restaurant-Restaurant"/>
    <s v="AMEXPLATINUM"/>
    <x v="3"/>
  </r>
  <r>
    <d v="2025-05-03T00:00:00"/>
    <s v="HEAVENLY CAFE PRINCENEW YORK            NY"/>
    <n v="9.0500000000000007"/>
    <s v="73055465124 30119817933@MAVERICKG_x000a_30119817933@MAVERICKGATEW_x000a_HEAVENLY CAFE PRINCE ST I 554630119817_x000a_NEW YORK_x000a_NY_x000a_30119817933@MAVERICKGATEW"/>
    <s v="HEAVENLY CAFE PRINCENEW YORK            NY"/>
    <s v="172 PRINCE ST"/>
    <s v="NEW YORK_x000a_NY"/>
    <n v="10012"/>
    <s v="UNITED STATES"/>
    <s v="'320251250209515470'"/>
    <s v="Merchandise &amp; Supplies-Groceries"/>
    <s v="AMEXPLATINUM"/>
    <x v="3"/>
  </r>
  <r>
    <d v="2025-05-04T00:00:00"/>
    <s v="PEACOCK             NEW YORK CITY       NY"/>
    <n v="7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1240164997016'"/>
    <s v="Communications-Cable &amp; Internet Comm"/>
    <s v="DELTARESERVE"/>
    <x v="3"/>
  </r>
  <r>
    <d v="2025-05-04T00:00:00"/>
    <s v="BT*CLV*VECTORMAGIC  EXCELSIOR           CA"/>
    <n v="9.9499999999999993"/>
    <s v="4SA12G4M    4152302377_x000a_BT*CLV*VECTORMAGIC_x000a_EXCELSIOR_x000a_CA_x000a_4152302377"/>
    <s v="BT*CLV*VECTORMAGIC  EXCELSIOR           CA"/>
    <s v="2500 SHADYWOOD RD_x000a_STE 510"/>
    <s v="EXCELSIOR_x000a_CA"/>
    <n v="55331"/>
    <s v="UNITED STATES"/>
    <s v="'320251240168823767'"/>
    <s v="Merchandise &amp; Supplies-Computer Supplies"/>
    <s v="AMEXPLATINUM"/>
    <x v="3"/>
  </r>
  <r>
    <d v="2025-05-04T00:00:00"/>
    <s v="MICROSOFT           MSBILL.INFO"/>
    <n v="25.84"/>
    <s v="Z72X3C8JGYBZ72X3C8JGYBF     98052_x000a_MICROSOFT_x000a_MSBILL.INFO_x000a_Z72X3C8JGYBF     98052"/>
    <s v="MICROSOFT           MSBILL.INFO"/>
    <s v="1 MICROSOFT WAY"/>
    <s v="REDMOND_x000a_WA"/>
    <n v="98052"/>
    <s v="UNITED STATES"/>
    <s v="'320251240178872768'"/>
    <s v="Other-Miscellaneous"/>
    <s v="DELTARESERVE"/>
    <x v="1"/>
  </r>
  <r>
    <d v="2025-05-04T00:00:00"/>
    <s v="A1010BUSD01         MSBILL.INFO"/>
    <n v="25.68"/>
    <s v="Z72D3AF7S4VZ72D3AF7S4VS     98052_x000a_A1010BUSD01_x000a_MSBILL.INFO_x000a_Z72D3AF7S4VS     98052"/>
    <s v="A1010BUSD01         MSBILL.INFO"/>
    <s v="8TH FLOOR_x000a_91 MAIN ST"/>
    <s v="DALLAS_x000a_TX"/>
    <n v="75202"/>
    <s v="UNITED STATES"/>
    <s v="'320251240180854746'"/>
    <s v="Other-Miscellaneous"/>
    <s v="AMEXPLATINUM"/>
    <x v="1"/>
  </r>
  <r>
    <d v="2025-05-04T00:00:00"/>
    <s v="A1010BUSD01         MSBILL.INFO"/>
    <n v="32.1"/>
    <s v="Z72F3AG7U89Z72F3AG7U89B     98052_x000a_A1010BUSD01_x000a_MSBILL.INFO_x000a_Z72F3AG7U89B     98052"/>
    <s v="A1010BUSD01         MSBILL.INFO"/>
    <s v="8TH FLOOR_x000a_91 MAIN ST"/>
    <s v="DALLAS_x000a_TX"/>
    <n v="75202"/>
    <s v="UNITED STATES"/>
    <s v="'320251240180855216'"/>
    <s v="Other-Miscellaneous"/>
    <s v="AMEXPLATINUM"/>
    <x v="1"/>
  </r>
  <r>
    <d v="2025-05-04T00:00:00"/>
    <s v="A1010BUSD01         MSBILL.INFO"/>
    <n v="289.06"/>
    <s v="Z73B3B3GDK2Z73B3B3GDK25     98052_x000a_A1010BUSD01_x000a_MSBILL.INFO_x000a_Z73B3B3GDK25     98052"/>
    <s v="A1010BUSD01         MSBILL.INFO"/>
    <s v="8TH FLOOR_x000a_91 MAIN ST"/>
    <s v="DALLAS_x000a_TX"/>
    <n v="75202"/>
    <s v="UNITED STATES"/>
    <s v="'320251240180857812'"/>
    <s v="Other-Miscellaneous"/>
    <s v="AMEXPLATINUM"/>
    <x v="1"/>
  </r>
  <r>
    <d v="2025-05-04T00:00:00"/>
    <s v="A1010BUSD01         MSBILL.INFO"/>
    <n v="32.07"/>
    <s v="Z72H3AHZHFCZ72H3AHZHFCV     98052_x000a_A1010BUSD01_x000a_MSBILL.INFO_x000a_Z72H3AHZHFCV     98052"/>
    <s v="A1010BUSD01         MSBILL.INFO"/>
    <s v="8TH FLOOR_x000a_91 MAIN ST"/>
    <s v="DALLAS_x000a_TX"/>
    <n v="75202"/>
    <s v="UNITED STATES"/>
    <s v="'320251240182507602'"/>
    <s v="Other-Miscellaneous"/>
    <s v="AMEXPLATINUM"/>
    <x v="1"/>
  </r>
  <r>
    <d v="2025-05-04T00:00:00"/>
    <s v="A1010BUSD01         MSBILL.INFO"/>
    <n v="59.92"/>
    <s v="Z72S38M4KSSZ72S38M4KSSZ     98052_x000a_A1010BUSD01_x000a_MSBILL.INFO_x000a_Z72S38M4KSSZ     98052"/>
    <s v="A1010BUSD01         MSBILL.INFO"/>
    <s v="8TH FLOOR_x000a_91 MAIN ST"/>
    <s v="DALLAS_x000a_TX"/>
    <n v="75202"/>
    <s v="UNITED STATES"/>
    <s v="'320251240182511590'"/>
    <s v="Other-Miscellaneous"/>
    <s v="AMEXPLATINUM"/>
    <x v="1"/>
  </r>
  <r>
    <d v="2025-05-04T00:00:00"/>
    <s v="A1010BUSD01         REDMOND"/>
    <n v="21.4"/>
    <s v="Z7313AJHTIJZ7313AJHTIJO     98052_x000a_A1010BUSD01_x000a_REDMOND_x000a_Z7313AJHTIJO     98052"/>
    <s v="A1010BUSD01         REDMOND"/>
    <s v="8TH FLOOR_x000a_91 MAIN ST"/>
    <s v="DALLAS_x000a_TX"/>
    <n v="75202"/>
    <s v="UNITED STATES"/>
    <s v="'320251240182551716'"/>
    <s v="Other-Miscellaneous"/>
    <s v="AMEXPLATINUM"/>
    <x v="1"/>
  </r>
  <r>
    <d v="2025-05-04T00:00:00"/>
    <s v="SP FUNCTION OF BEAUTNEW YORK            NY"/>
    <n v="92.98"/>
    <s v="CH_3RL56SQT +19172072232_x000a_SP FUNCTION OF BEAUTY_x000a_NEW YORK_x000a_NY_x000a_+19172072232"/>
    <s v="SP FUNCTION OF BEAUTNEW YORK            NY"/>
    <s v="166 CROSSBY ST"/>
    <s v="NEW YORK_x000a_NY"/>
    <n v="10012"/>
    <s v="UNITED STATES"/>
    <s v="'320251240184451864'"/>
    <s v="Merchandise &amp; Supplies-Department Stores"/>
    <s v="AMEXPLATINUM"/>
    <x v="3"/>
  </r>
  <r>
    <d v="2025-05-04T00:00:00"/>
    <s v="MACYS   .COM 0000001MASON               OH"/>
    <n v="102.5"/>
    <s v="04292439770 8002896229_x000a_MACYS   .COM 000000129_x000a_MASON_x000a_OH_x000a_Description : CLSD CASUALS Price : 0.875_x000a_8002896229"/>
    <s v="MACYS   .COM 0000001MASON               OH"/>
    <s v="9111 DUKE BLVD"/>
    <s v="MASON_x000a_OH"/>
    <s v="45040-8999"/>
    <s v="UNITED STATES"/>
    <s v="'320251250199330640'"/>
    <s v="Merchandise &amp; Supplies-Department Stores"/>
    <s v="AMEXPLATINUM"/>
    <x v="3"/>
  </r>
  <r>
    <d v="2025-05-05T00:00:00"/>
    <s v="GITHUB, INC.        SAN FRANCISCO       CA"/>
    <n v="4"/>
    <s v="CH_3RLTMFJF +18774484820_x000a_GITHUB, INC._x000a_SAN FRANCISCO_x000a_CA_x000a_+18774484820"/>
    <s v="GITHUB, INC.        SAN FRANCISCO       CA"/>
    <s v="275 BRANNAN ST"/>
    <s v="SAN FRANCISCO_x000a_CA"/>
    <n v="94107"/>
    <s v="UNITED STATES"/>
    <s v="'320251250191565904'"/>
    <s v="Other-Miscellaneous"/>
    <s v="DELTARESERVE"/>
    <x v="1"/>
  </r>
  <r>
    <d v="2025-05-05T00:00:00"/>
    <s v="LA COLOMBE - NOHO   New York            NY"/>
    <n v="16.63"/>
    <s v="JYItJXz8Kdt squareup.com/receipts_x000a_LA COLOMBE - NOHO_x000a_New York_x000a_NY_x000a_squareup.com/receipts"/>
    <s v="LA COLOMBE - NOHO   New York            NY"/>
    <s v="400 LAFAYETTE ST"/>
    <s v="NEW YORK_x000a_NY"/>
    <n v="10003"/>
    <s v="UNITED STATES"/>
    <s v="'320251250193853407'"/>
    <s v="Restaurant-Restaurant"/>
    <s v="AMEXPLATINUM"/>
    <x v="3"/>
  </r>
  <r>
    <d v="2025-05-05T00:00:00"/>
    <s v="NESPRESSO USA, INC. NEW YORK CITY       NY"/>
    <n v="51.45"/>
    <s v="CH_3RLSBHJI +18005621465_x000a_NESPRESSO USA, INC._x000a_NEW YORK CITY_x000a_NY_x000a_+18005621465"/>
    <s v="NESPRESSO USA, INC. NEW YORK CITY       NY"/>
    <s v="111 WEST 33RD ST_x000a_5TH FLOOR"/>
    <s v="NEW YORK CITY_x000a_NY"/>
    <n v="10120"/>
    <s v="UNITED STATES"/>
    <s v="'320251250196712066'"/>
    <s v="Merchandise &amp; Supplies-Groceries"/>
    <s v="AMEXPLATINUM"/>
    <x v="3"/>
  </r>
  <r>
    <d v="2025-05-05T00:00:00"/>
    <s v="Delta CB_Diamond"/>
    <n v="-700"/>
    <s v="Delta CB_Diamond"/>
    <s v="Delta CB_Diamond"/>
    <m/>
    <m/>
    <m/>
    <m/>
    <s v="'320251250212590630'"/>
    <s v="Fees &amp; Adjustments-Fees &amp; Adjustments"/>
    <s v="DELTARESERVE"/>
    <x v="16"/>
  </r>
  <r>
    <d v="2025-05-05T00:00:00"/>
    <s v="ONLINE PAYMENT - THANK YOU"/>
    <n v="-5000"/>
    <s v="ONLINE PAYMENT - THANK YOU"/>
    <s v="ONLINE PAYMENT - THANK YOU"/>
    <m/>
    <m/>
    <m/>
    <m/>
    <s v="'320251250212651480'"/>
    <m/>
    <s v="DELTARESERVE"/>
    <x v="0"/>
  </r>
  <r>
    <d v="2025-05-06T00:00:00"/>
    <s v="ONLINE PAYMENT - THANK YOU"/>
    <n v="-5000"/>
    <s v="ONLINE PAYMENT - THANK YOU"/>
    <s v="ONLINE PAYMENT - THANK YOU"/>
    <m/>
    <m/>
    <m/>
    <m/>
    <s v="'320251260214826858'"/>
    <m/>
    <s v="DELTARESERVE"/>
    <x v="0"/>
  </r>
  <r>
    <d v="2025-05-06T00:00:00"/>
    <s v="BS* BREAKINGSOUNDNYCWOODLAND HILLS      CA"/>
    <n v="65.37"/>
    <s v="CH_3RLSTAE3 +13237459427_x000a_BS* BREAKINGSOUNDNYC B_x000a_WOODLAND HILLS_x000a_CA_x000a_+13237459427"/>
    <s v="BS* BREAKINGSOUNDNYCWOODLAND HILLS      CA"/>
    <s v="16255 VENTURA BLVD_x000a_SUITE 1240"/>
    <s v="ENCINO_x000a_CA"/>
    <n v="91436"/>
    <s v="UNITED STATES"/>
    <s v="'320251260218002056'"/>
    <s v="Entertainment-General Events"/>
    <s v="AMEXPLATINUM"/>
    <x v="3"/>
  </r>
  <r>
    <d v="2025-05-06T00:00:00"/>
    <s v="LEMONADE INSURANCE 5INTERNET            NY"/>
    <n v="11.37"/>
    <s v="G9V3IG00119 HELP@LEMONADE.COM_x000a_LEMONADE INSURANCE 529657_x000a_INTERNET_x000a_NY_x000a_HELP@LEMONADE.COM"/>
    <s v="LEMONADE INSURANCE 5INTERNET            NY"/>
    <s v="5 CROSBY ST FL 3"/>
    <s v="NEW YORK_x000a_NY"/>
    <n v="10013"/>
    <s v="UNITED STATES"/>
    <s v="'320251260219110459'"/>
    <s v="Business Services-Insurance Services"/>
    <s v="AMEXPLATINUM"/>
    <x v="3"/>
  </r>
  <r>
    <d v="2025-05-06T00:00:00"/>
    <s v="FACEBK *A2SFUQQRF2  MENLO PARK"/>
    <n v="4.57"/>
    <s v="98114146823 ADVERTISING SERVICE_x000a_FACEBK *A2SFUQQRF2_x000a_MENLO PARK_x000a_ADVERTISING SERVICE"/>
    <s v="FACEBK *A2SFUQQRF2  MENLO PARK"/>
    <s v="1 HACKER WAY"/>
    <s v="MENLO PARK_x000a_CA"/>
    <n v="94025"/>
    <s v="UNITED STATES"/>
    <s v="'320251260220306751'"/>
    <s v="Business Services-Advertising Services"/>
    <s v="AMEXPLATINUM"/>
    <x v="3"/>
  </r>
  <r>
    <d v="2025-05-06T00:00:00"/>
    <s v="ELECTRONIC ARTS INC.REDWOOD CITY        CA"/>
    <n v="16.02"/>
    <s v="######6QkTe DIGITAL GOODS: GAMES_x000a_ELECTRONIC ARTS INC._x000a_REDWOOD CITY_x000a_CA_x000a_DIGITAL GOODS: GAMES"/>
    <s v="ELECTRONIC ARTS INC.REDWOOD CITY        CA"/>
    <s v="209 REDWOOD SHRS PKWY"/>
    <s v="REDWOOD CITY_x000a_CA"/>
    <n v="94065"/>
    <s v="UNITED STATES"/>
    <s v="'320251260220648205'"/>
    <s v="Business Services-Employment Agencies"/>
    <s v="AMEXPLATINUM"/>
    <x v="3"/>
  </r>
  <r>
    <d v="2025-05-06T00:00:00"/>
    <s v="SPECTRUM            855-707-7328        MO"/>
    <n v="109.99"/>
    <s v="RC103609932CABLE SVC_x000a_SPECTRUM_x000a_855-707-7328_x000a_MO_x000a_CABLE SVC"/>
    <s v="SPECTRUM            855-707-7328        MO"/>
    <s v="12405 POWERSCOURT DR"/>
    <s v="SAINT LOUIS_x000a_MO"/>
    <n v="63131"/>
    <s v="UNITED STATES"/>
    <s v="'320251260223613636'"/>
    <s v="Communications-Cable &amp; Internet Comm"/>
    <s v="AMEXPLATINUM"/>
    <x v="5"/>
  </r>
  <r>
    <d v="2025-05-06T00:00:00"/>
    <s v="FACEBK *SF3PEQ8RF2  MENLO PARK"/>
    <n v="12.88"/>
    <s v="97632778871 ADVERTISING SERVICE_x000a_FACEBK *SF3PEQ8RF2_x000a_MENLO PARK_x000a_ADVERTISING SERVICE"/>
    <s v="FACEBK *SF3PEQ8RF2  MENLO PARK"/>
    <s v="1 HACKER WAY"/>
    <s v="MENLO PARK_x000a_CA"/>
    <n v="94025"/>
    <s v="UNITED STATES"/>
    <s v="'320251260225023327'"/>
    <s v="Business Services-Advertising Services"/>
    <s v="AMEXPLATINUM"/>
    <x v="3"/>
  </r>
  <r>
    <d v="2025-05-06T00:00:00"/>
    <s v="DELTA AIR LINES"/>
    <n v="2431.81"/>
    <s v="18002211212_x000a_PASSENGER TICKET_x000a_DELTA AIR LINES_x000a_ATLANTA_x000a_Carrier : DELTA AIR LINES_x000a_Passenger Name : DALESSANDRO/KYLIE_x000a_Ticket Number : 00623290641256_x000a_Departure Day : 07/12_x000a_Additional Info : PASSENGER TICKET_x000a_From : N.Y. J F KENNEDY I_x000a_To : BARCELONA_x000a_Class : G_x000a_From : BARCELONA_x000a_To : N.Y. J F KENNEDY I_x000a_Class : G"/>
    <s v="DELTA AIR LINES     ATLANTA"/>
    <s v="ATLANTA AIRPORT"/>
    <s v="ATLANTA_x000a_GA"/>
    <n v="30344"/>
    <s v="UNITED STATES"/>
    <s v="'320251260231047972'"/>
    <s v="Travel-Airline"/>
    <s v="DELTARESERVE"/>
    <x v="16"/>
  </r>
  <r>
    <d v="2025-05-06T00:00:00"/>
    <s v="DELTA AIR LINES"/>
    <n v="3965.81"/>
    <s v="18002211212_x000a_PASSENGER TICKET_x000a_DELTA AIR LINES_x000a_ATLANTA_x000a_Carrier : DELTA AIR LINES_x000a_Passenger Name : NICOLA/CRISTIAN ALEXANDRU_x000a_Ticket Number : 00623290921061_x000a_Departure Day : 06/28_x000a_Additional Info : PASSENGER TICKET_x000a_From : N.Y. J F KENNEDY I_x000a_To : PARIS CHARLES DE G_x000a_Class : I_x000a_From : PARIS CHARLES DE G_x000a_To : BARCELONA_x000a_Class : I_x000a_From : BARCELONA_x000a_To : N.Y. J F KENNEDY I"/>
    <s v="DELTA AIR LINES     ATLANTA"/>
    <s v="ATLANTA AIRPORT"/>
    <s v="ATLANTA_x000a_GA"/>
    <n v="30344"/>
    <s v="UNITED STATES"/>
    <s v="'320251260231049130'"/>
    <s v="Travel-Airline"/>
    <s v="DELTARESERVE"/>
    <x v="16"/>
  </r>
  <r>
    <d v="2025-05-06T00:00:00"/>
    <s v="DELTA AIR LINES     ATLANTA"/>
    <n v="2536.41"/>
    <s v="18002211212_x000a_PASSENGER TICKET_x000a_DELTA AIR LINES_x000a_ATLANTA_x000a_Carrier : DELTA AIR LINES_x000a_Passenger Name : NICOLA/ELENA FIONA_x000a_Ticket Number : 00623291700850_x000a_Departure Day : 06/28_x000a_Additional Info : PASSENGER TICKET_x000a_From : N.Y. J F KENNEDY I_x000a_To : PARIS CHARLES DE G_x000a_Class : G_x000a_From : PARIS CHARLES DE G_x000a_To : N.Y. J F KENNEDY I_x000a_Class : G"/>
    <s v="DELTA AIR LINES     ATLANTA"/>
    <s v="DEPT 680 1030 DELTA BLVD"/>
    <s v="ATLANTA_x000a_GA"/>
    <n v="30354"/>
    <s v="UNITED STATES"/>
    <s v="'320251260234195886'"/>
    <s v="Travel-Airline"/>
    <s v="DELTARESERVE"/>
    <x v="16"/>
  </r>
  <r>
    <d v="2025-05-06T00:00:00"/>
    <s v="BT*SHUTTERFLY, INC. REDWOOD CITY        CA"/>
    <n v="65.239999999999995"/>
    <s v="E1TXQWEV    6506105200_x000a_BT*SHUTTERFLY, INC._x000a_REDWOOD CITY_x000a_CA_x000a_6506105200"/>
    <s v="BT*SHUTTERFLY, INC. REDWOOD CITY        CA"/>
    <s v="2800 BRG PKWY STE 101"/>
    <s v="REDWOOD CITY_x000a_CA"/>
    <n v="94065"/>
    <s v="UNITED STATES"/>
    <s v="'320251270249517319'"/>
    <s v="Business Services-Printing &amp; Publishing"/>
    <s v="AMEXPLATINUM"/>
    <x v="3"/>
  </r>
  <r>
    <d v="2025-05-06T00:00:00"/>
    <s v="NYU HOSP CTR-MYCHARTNEW YORK            NY"/>
    <n v="100"/>
    <s v="036-0252341 HEALTHCARE P_x000a_NYU HOSP CTR-MYCHART_x000a_NEW YORK_x000a_NY_x000a_HEALTHCARE P"/>
    <s v="NYU HOSP CTR-MYCHARTNEW YORK            NY"/>
    <s v="550 1ST AVE"/>
    <s v="NEW YORK_x000a_NY"/>
    <s v="10016-6402"/>
    <s v="UNITED STATES"/>
    <s v="'320251270251306334'"/>
    <s v="Business Services-Health Care Services"/>
    <s v="AMEXPLATINUM"/>
    <x v="3"/>
  </r>
  <r>
    <d v="2025-05-07T00:00:00"/>
    <s v="DELTA AIR LINES     ATLANTA"/>
    <n v="2536.41"/>
    <s v="18002211212_x000a_PASSENGER TICKET_x000a_DELTA AIR LINES_x000a_ATLANTA_x000a_Carrier : DELTA AIR LINES_x000a_Passenger Name : NICOLA/ELENA FIONA_x000a_Ticket Number : 00623295569470_x000a_Departure Day : 06/21_x000a_Additional Info : PASSENGER TICKET_x000a_From : N.Y. J F KENNEDY I_x000a_To : PARIS CHARLES DE G_x000a_Class : A_x000a_From : PARIS CHARLES DE G_x000a_To : N.Y. J F KENNEDY I_x000a_Class : A"/>
    <s v="DELTA AIR LINES     ATLANTA"/>
    <s v="DEPT 680 1030 DELTA BLVD"/>
    <s v="ATLANTA_x000a_GA"/>
    <n v="30354"/>
    <s v="UNITED STATES"/>
    <s v="'320251270258520388'"/>
    <s v="Travel-Airline"/>
    <s v="DELTARESERVE"/>
    <x v="16"/>
  </r>
  <r>
    <d v="2025-05-07T00:00:00"/>
    <s v="DELTA AIR LINES     ATLANTA"/>
    <n v="609"/>
    <s v="18002211212_x000a_ADDITIONAL COLLECTION_x000a_DELTA AIR LINES_x000a_ATLANTA_x000a_Carrier : DELTA AIR LINES_x000a_Passenger Name : DALESSANDRO/KYLIE_x000a_Ticket Number : 0062329888321_x000a_Departure Day : 07/05_x000a_Additional Info : ADDITIONAL COLLECTION_x000a_From : N.Y. J F KENNEDY I_x000a_To : BARCELONA_x000a_From : BARCELONA_x000a_To : N.Y. J F KENNEDY I"/>
    <s v="DELTA AIR LINES     ATLANTA"/>
    <s v="DEPT 680 1030 DELTA BLVD"/>
    <s v="ATLANTA_x000a_GA"/>
    <n v="30354"/>
    <s v="UNITED STATES"/>
    <s v="'320251270258541585'"/>
    <s v="Travel-Airline"/>
    <s v="DELTARESERVE"/>
    <x v="16"/>
  </r>
  <r>
    <d v="2025-05-07T00:00:00"/>
    <s v="A1010BUSD01         MSBILL.INFO"/>
    <n v="21.38"/>
    <s v="Z7373IFMJJQZ7373IFMJJQ3     98052_x000a_A1010BUSD01_x000a_MSBILL.INFO_x000a_Z7373IFMJJQ3     98052"/>
    <s v="A1010BUSD01         MSBILL.INFO"/>
    <s v="8TH FLOOR_x000a_91 MAIN ST"/>
    <s v="DALLAS_x000a_TX"/>
    <n v="75202"/>
    <s v="UNITED STATES"/>
    <s v="'320251270262638391'"/>
    <s v="Other-Miscellaneous"/>
    <s v="DELTARESERVE"/>
    <x v="1"/>
  </r>
  <r>
    <d v="2025-05-07T00:00:00"/>
    <s v="AIRFLIGHT INSURANCE PREMIUM 800-228-6855"/>
    <n v="14"/>
    <s v="TKT NO. 00623290921061_x000a_AIRFLIGHT INSURANCE PREMIUM 800-228-6855"/>
    <s v="AIRFLIGHT INSURANCE PREMIUM 800-228-6855"/>
    <s v="P O BOX 19020"/>
    <s v="GREENBAY_x000a_WI"/>
    <n v="54307"/>
    <s v="UNITED STATES"/>
    <s v="'320251270263582861'"/>
    <s v="Business Services-Insurance Services"/>
    <s v="DELTARESERVE"/>
    <x v="16"/>
  </r>
  <r>
    <d v="2025-05-07T00:00:00"/>
    <s v="AIRFLIGHT INSURANCE PREMIUM 800-228-6855"/>
    <n v="14"/>
    <s v="TKT NO. 00623290641256_x000a_AIRFLIGHT INSURANCE PREMIUM 800-228-6855"/>
    <s v="AIRFLIGHT INSURANCE PREMIUM 800-228-6855"/>
    <s v="P O BOX 19020"/>
    <s v="GREENBAY_x000a_WI"/>
    <n v="54307"/>
    <s v="UNITED STATES"/>
    <s v="'320251270263582862'"/>
    <s v="Business Services-Insurance Services"/>
    <s v="DELTARESERVE"/>
    <x v="16"/>
  </r>
  <r>
    <d v="2025-05-07T00:00:00"/>
    <s v="TRAVEL DELAY 800-228-6855"/>
    <n v="9.9499999999999993"/>
    <s v="TKT NO. 00623290921061_x000a_TRAVEL DELAY 800-228-6855"/>
    <s v="TRAVEL DELAY 800-228-6855"/>
    <s v="3200 E CAMELBACK"/>
    <s v="PHOENIX_x000a_AZ"/>
    <n v="85016"/>
    <s v="UNITED STATES OF AMERICA (THE)"/>
    <s v="'320251270263582863'"/>
    <s v="Business Services-Insurance Services"/>
    <s v="DELTARESERVE"/>
    <x v="16"/>
  </r>
  <r>
    <d v="2025-05-07T00:00:00"/>
    <s v="TRAVEL DELAY 800-228-6855"/>
    <n v="9.9499999999999993"/>
    <s v="TKT NO. 00623290641256_x000a_TRAVEL DELAY 800-228-6855"/>
    <s v="TRAVEL DELAY 800-228-6855"/>
    <s v="3200 E CAMELBACK"/>
    <s v="PHOENIX_x000a_AZ"/>
    <n v="85016"/>
    <s v="UNITED STATES OF AMERICA (THE)"/>
    <s v="'320251270263582864'"/>
    <s v="Business Services-Insurance Services"/>
    <s v="DELTARESERVE"/>
    <x v="16"/>
  </r>
  <r>
    <d v="2025-05-07T00:00:00"/>
    <s v="BAGGAGE INSURANCE PREMIUM 800-228-6855"/>
    <n v="9.9499999999999993"/>
    <s v="TKT NO. 00623290921061_x000a_BAGGAGE INSURANCE PREMIUM 800-228-6855"/>
    <s v="BAGGAGE INSURANCE PREMIUM 800-228-6855"/>
    <s v="777 AMERICAN EXPRESSWAY_x000a_ATTN: TINA HYMAN"/>
    <s v="FT LAUDERDALE_x000a_FL"/>
    <n v="33337"/>
    <s v="UNITED STATES"/>
    <s v="'320251270263582865'"/>
    <s v="Business Services-Insurance Services"/>
    <s v="DELTARESERVE"/>
    <x v="16"/>
  </r>
  <r>
    <d v="2025-05-07T00:00:00"/>
    <s v="BAGGAGE INSURANCE PREMIUM 800-228-6855"/>
    <n v="9.9499999999999993"/>
    <s v="TKT NO. 00623290641256_x000a_BAGGAGE INSURANCE PREMIUM 800-228-6855"/>
    <s v="BAGGAGE INSURANCE PREMIUM 800-228-6855"/>
    <s v="777 AMERICAN EXPRESSWAY_x000a_ATTN: TINA HYMAN"/>
    <s v="FT LAUDERDALE_x000a_FL"/>
    <n v="33337"/>
    <s v="UNITED STATES"/>
    <s v="'320251270263582866'"/>
    <s v="Business Services-Insurance Services"/>
    <s v="DELTARESERVE"/>
    <x v="16"/>
  </r>
  <r>
    <d v="2025-05-07T00:00:00"/>
    <s v="BAGGAGE INSURANCE PREMIUM 800-228-6855"/>
    <n v="9.9499999999999993"/>
    <s v="TKT NO. 00623291700850_x000a_BAGGAGE INSURANCE PREMIUM 800-228-6855"/>
    <s v="BAGGAGE INSURANCE PREMIUM 800-228-6855"/>
    <s v="777 AMERICAN EXPRESSWAY_x000a_ATTN: TINA HYMAN"/>
    <s v="FT LAUDERDALE_x000a_FL"/>
    <n v="33337"/>
    <s v="UNITED STATES"/>
    <s v="'320251270263582867'"/>
    <s v="Business Services-Insurance Services"/>
    <s v="DELTARESERVE"/>
    <x v="16"/>
  </r>
  <r>
    <d v="2025-05-07T00:00:00"/>
    <s v="TRAVEL DELAY 800-228-6855"/>
    <n v="9.9499999999999993"/>
    <s v="TKT NO. 00623291700850_x000a_TRAVEL DELAY 800-228-6855"/>
    <s v="TRAVEL DELAY 800-228-6855"/>
    <s v="3200 E CAMELBACK"/>
    <s v="PHOENIX_x000a_AZ"/>
    <n v="85016"/>
    <s v="UNITED STATES OF AMERICA (THE)"/>
    <s v="'320251270263582868'"/>
    <s v="Business Services-Insurance Services"/>
    <s v="DELTARESERVE"/>
    <x v="16"/>
  </r>
  <r>
    <d v="2025-05-07T00:00:00"/>
    <s v="AIRFLIGHT INSURANCE PREMIUM 800-228-6855"/>
    <n v="14"/>
    <s v="TKT NO. 00623291700850_x000a_AIRFLIGHT INSURANCE PREMIUM 800-228-6855"/>
    <s v="AIRFLIGHT INSURANCE PREMIUM 800-228-6855"/>
    <s v="P O BOX 19020"/>
    <s v="GREENBAY_x000a_WI"/>
    <n v="54307"/>
    <s v="UNITED STATES"/>
    <s v="'320251270263582869'"/>
    <s v="Business Services-Insurance Services"/>
    <s v="DELTARESERVE"/>
    <x v="16"/>
  </r>
  <r>
    <d v="2025-05-07T00:00:00"/>
    <s v="IONOS               www.ionos.com       PA"/>
    <n v="41.12"/>
    <s v="00601414502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1280287006052'"/>
    <s v="Merchandise &amp; Supplies-Computer Supplies"/>
    <s v="AMEXPLATINUM"/>
    <x v="1"/>
  </r>
  <r>
    <d v="2025-05-07T00:00:00"/>
    <s v="ARLOTECHNOLOGIES INC408-638-3750        CA"/>
    <n v="21.39"/>
    <s v="216919919  216919919        12866_x000a_ARLOTECHNOLOGIES INC_x000a_408-638-3750_x000a_CA_x000a_216919919        12866"/>
    <s v="ARLOTECHNOLOGIES INC408-638-3750        CA"/>
    <s v="STE 200_x000a_480 N MCCARTHY BLVD"/>
    <s v="MILPITAS_x000a_CA"/>
    <n v="95035"/>
    <s v="UNITED STATES"/>
    <s v="'320251290302447135'"/>
    <s v="Merchandise &amp; Supplies-Wholesale Stores"/>
    <s v="DELTARESERVE"/>
    <x v="1"/>
  </r>
  <r>
    <d v="2025-05-08T00:00:00"/>
    <s v="Interest Charge on Pay Over Time Purchases"/>
    <n v="354.98"/>
    <s v="Interest Charge on Pay Over Time Purchases"/>
    <s v="Interest Charge on Pay Over Time Purchases"/>
    <m/>
    <m/>
    <m/>
    <m/>
    <s v="'150509060000494440'"/>
    <s v="Fees &amp; Adjustments-Fees &amp; Adjustments"/>
    <s v="AMEXPLATINUM"/>
    <x v="13"/>
  </r>
  <r>
    <d v="2025-05-08T00:00:00"/>
    <s v="TRAVEL DELAY 800-228-6855"/>
    <n v="9.9499999999999993"/>
    <s v="TKT NO. 00623295569470_x000a_TRAVEL DELAY 800-228-6855"/>
    <s v="TRAVEL DELAY 800-228-6855"/>
    <s v="3200 E CAMELBACK"/>
    <s v="PHOENIX_x000a_AZ"/>
    <n v="85016"/>
    <s v="UNITED STATES OF AMERICA (THE)"/>
    <s v="'320251280291568037'"/>
    <s v="Business Services-Insurance Services"/>
    <s v="DELTARESERVE"/>
    <x v="16"/>
  </r>
  <r>
    <d v="2025-05-08T00:00:00"/>
    <s v="BAGGAGE INSURANCE PREMIUM 800-228-6855"/>
    <n v="9.9499999999999993"/>
    <s v="TKT NO. 00623295569470_x000a_BAGGAGE INSURANCE PREMIUM 800-228-6855"/>
    <s v="BAGGAGE INSURANCE PREMIUM 800-228-6855"/>
    <s v="777 AMERICAN EXPRESSWAY_x000a_ATTN: TINA HYMAN"/>
    <s v="FT LAUDERDALE_x000a_FL"/>
    <n v="33337"/>
    <s v="UNITED STATES"/>
    <s v="'320251280291568038'"/>
    <s v="Business Services-Insurance Services"/>
    <s v="DELTARESERVE"/>
    <x v="16"/>
  </r>
  <r>
    <d v="2025-05-08T00:00:00"/>
    <s v="AIRFLIGHT INSURANCE PREMIUM 800-228-6855"/>
    <n v="14"/>
    <s v="TKT NO. 00623295569470_x000a_AIRFLIGHT INSURANCE PREMIUM 800-228-6855"/>
    <s v="AIRFLIGHT INSURANCE PREMIUM 800-228-6855"/>
    <s v="P O BOX 19020"/>
    <s v="GREENBAY_x000a_WI"/>
    <n v="54307"/>
    <s v="UNITED STATES"/>
    <s v="'320251280291568039'"/>
    <s v="Business Services-Insurance Services"/>
    <s v="DELTARESERVE"/>
    <x v="16"/>
  </r>
  <r>
    <d v="2025-05-08T00:00:00"/>
    <s v="ARISTON CAFE 0000   NEW YORK            NY"/>
    <n v="9.25"/>
    <s v="40100273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290316604411'"/>
    <s v="Restaurant-Bar &amp; CafÃ©"/>
    <s v="AMEXPLATINUM"/>
    <x v="3"/>
  </r>
  <r>
    <d v="2025-05-08T00:00:00"/>
    <s v="COVERGIRL.MAXIM.COM SAN ANTONIO         TX"/>
    <n v="20"/>
    <s v="CH_3RMAQD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290319089935'"/>
    <s v="Business Services-Office Supplies"/>
    <s v="AMEXPLATINUM"/>
    <x v="3"/>
  </r>
  <r>
    <d v="2025-05-08T00:00:00"/>
    <s v="BS* BREAKINGSOUNDNYCWOODLAND HILLS      CA"/>
    <n v="26.99"/>
    <s v="CH_3RMD8LE3 +13237459427_x000a_BS* BREAKINGSOUNDNYC B_x000a_WOODLAND HILLS_x000a_CA_x000a_+13237459427"/>
    <s v="BS* BREAKINGSOUNDNYCWOODLAND HILLS      CA"/>
    <s v="16255 VENTURA BLVD_x000a_SUITE 1240"/>
    <s v="ENCINO_x000a_CA"/>
    <n v="91436"/>
    <s v="UNITED STATES"/>
    <s v="'320251290319461444'"/>
    <s v="Entertainment-General Events"/>
    <s v="AMEXPLATINUM"/>
    <x v="3"/>
  </r>
  <r>
    <d v="2025-05-09T00:00:00"/>
    <s v="THE CLEANERS IO, LLCNew York            NY"/>
    <n v="92.94"/>
    <s v="9EFvL6DwYPd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290304662129'"/>
    <s v="Business Services-Other Services"/>
    <s v="AMEXPLATINUM"/>
    <x v="8"/>
  </r>
  <r>
    <d v="2025-05-09T00:00:00"/>
    <s v="MICROSOFT           MSBILL.INFO"/>
    <n v="160.72"/>
    <s v="Z7313NKG8RQZ7313NKG8RQO     98052_x000a_MICROSOFT_x000a_MSBILL.INFO_x000a_Z7313NKG8RQO     98052"/>
    <s v="MICROSOFT           MSBILL.INFO"/>
    <s v="1 MICROSOFT WAY"/>
    <s v="REDMOND_x000a_WA"/>
    <n v="98052"/>
    <s v="UNITED STATES"/>
    <s v="'320251290307880463'"/>
    <s v="Other-Miscellaneous"/>
    <s v="AMEXPLATINUM"/>
    <x v="1"/>
  </r>
  <r>
    <d v="2025-05-09T00:00:00"/>
    <s v="MICROSOFT           MSBILL.INFO"/>
    <n v="216.13"/>
    <s v="Z72C3NK2763Z72C3NK2763N     98052_x000a_MICROSOFT_x000a_MSBILL.INFO_x000a_Z72C3NK2763N     98052"/>
    <s v="MICROSOFT           MSBILL.INFO"/>
    <s v="1 MICROSOFT WAY"/>
    <s v="REDMOND_x000a_WA"/>
    <n v="98052"/>
    <s v="UNITED STATES"/>
    <s v="'320251290308045406'"/>
    <s v="Other-Miscellaneous"/>
    <s v="DELTARESERVE"/>
    <x v="1"/>
  </r>
  <r>
    <d v="2025-05-09T00:00:00"/>
    <s v="DELTA AIR LINES     ATLANTA"/>
    <n v="-2536.41"/>
    <s v="18002211212_x000a_MISC. CHARGE ORDER (MCO)/PREPAID TICKET AUTH._x000a_DELTA AIR LINES_x000a_ATLANTA_x000a_Carrier : DELTA AIR LINES_x000a_Passenger Name : NICOLA/ELENA FIONA_x000a_Ticket Number : 0062329556947_x000a_Additional Info : MISC. CHARGE ORDER (MCO)/PREPAID TICKET AUTH."/>
    <s v="DELTA AIR LINES     ATLANTA"/>
    <s v="DEPT 680 1030 DELTA BLVD"/>
    <s v="ATLANTA_x000a_GA"/>
    <n v="30354"/>
    <s v="UNITED STATES"/>
    <s v="'320251290317928978'"/>
    <s v="Travel-Airline"/>
    <s v="DELTARESERVE"/>
    <x v="16"/>
  </r>
  <r>
    <d v="2025-05-09T00:00:00"/>
    <s v="WEGMANS ASTOR PLACE NEW YORK            NY"/>
    <n v="155.71"/>
    <s v="W15639500465854293656_x000a_WEGMANS ASTOR PLACE 156 000000156_x000a_NEW YORK_x000a_NY_x000a_5854293656"/>
    <s v="WEGMANS ASTOR PLACE NEW YORK            NY"/>
    <s v="770 BROADWAY"/>
    <s v="NEW YORK_x000a_NY"/>
    <n v="10003"/>
    <s v="UNITED STATES"/>
    <s v="'320251300343125369'"/>
    <s v="Merchandise &amp; Supplies-Groceries"/>
    <s v="AMEXPLATINUM"/>
    <x v="3"/>
  </r>
  <r>
    <d v="2025-05-10T00:00:00"/>
    <s v="COVERGIRL.MAXIM.COM SAN ANTONIO         TX"/>
    <n v="10"/>
    <s v="CH_3RNGNI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00327013209'"/>
    <s v="Business Services-Office Supplies"/>
    <s v="AMEXPLATINUM"/>
    <x v="3"/>
  </r>
  <r>
    <d v="2025-05-10T00:00:00"/>
    <s v="UBER"/>
    <n v="38.32"/>
    <s v="C7433J6X   VUGVV5AL         10036_x000a_Uber Trip_x000a_help.uber.com_x000a_CA_x000a_VUGVV5AL         10036"/>
    <s v="Uber Trip           help.uber.com       CA"/>
    <s v="1455 MARKET ST_x000a_4TH FLOOR"/>
    <s v="SAN FRANCISCO_x000a_CA"/>
    <n v="94103"/>
    <s v="UNITED STATES"/>
    <s v="'320251300334373491'"/>
    <s v="Transportation-Taxis &amp; Coach"/>
    <s v="DELTARESERVE"/>
    <x v="2"/>
  </r>
  <r>
    <d v="2025-05-10T00:00:00"/>
    <s v="DELTA AIR LINES"/>
    <n v="5.6"/>
    <s v="18002211212_x000a_ADDITIONAL COLLECTION_x000a_DELTA AIR LINES_x000a_ATLANTA_x000a_Carrier : DELTA AIR LINES_x000a_Passenger Name : NICOLA/CRISTIAN_x000a_Ticket Number : 0060870966326_x000a_Departure Day : 05/12_x000a_Additional Info : ADDITIONAL COLLECTION_x000a_From : NEW YORK LA GUARDI_x000a_To : CHICAGO O'HARE INT"/>
    <s v="DELTA AIR LINES     ATLANTA"/>
    <s v="ATLANTA AIRPORT"/>
    <s v="ATLANTA_x000a_GA"/>
    <n v="30344"/>
    <s v="UNITED STATES"/>
    <s v="'320251300343560986'"/>
    <s v="Travel-Airline"/>
    <s v="DELTARESERVE"/>
    <x v="16"/>
  </r>
  <r>
    <d v="2025-05-10T00:00:00"/>
    <s v="CREDIT - TRAVEL DELAY PREMIUM"/>
    <n v="-9.9499999999999993"/>
    <s v="TKT NO. 0062329556947_x000a_CREDIT - TRAVEL DELAY PREMIUM"/>
    <s v="CREDIT - TRAVEL DELAY PREMIUM"/>
    <s v="3200 E CAMELBACK"/>
    <s v="PHOENIX_x000a_AZ"/>
    <n v="85016"/>
    <s v="UNITED STATES OF AMERICA (THE)"/>
    <s v="'320251300352408944'"/>
    <s v="Business Services-Insurance Services"/>
    <s v="DELTARESERVE"/>
    <x v="16"/>
  </r>
  <r>
    <d v="2025-05-10T00:00:00"/>
    <s v="CREDIT - BAGGAGE INSURANCE PREMIUM"/>
    <n v="-9.9499999999999993"/>
    <s v="TKT NO. 0062329556947_x000a_CREDIT - BAGGAGE INSURANCE PREMIUM"/>
    <s v="CREDIT - BAGGAGE INSURANCE PREMIUM"/>
    <s v="777 AMERICAN EXPRESSWAY_x000a_ATTN: TINA HYMAN"/>
    <s v="FT LAUDERDALE_x000a_FL"/>
    <n v="33337"/>
    <s v="UNITED STATES"/>
    <s v="'320251300352408945'"/>
    <s v="Business Services-Insurance Services"/>
    <s v="DELTARESERVE"/>
    <x v="16"/>
  </r>
  <r>
    <d v="2025-05-10T00:00:00"/>
    <s v="CREDIT - AIRFLIGHT INSURANCE PREMIUM"/>
    <n v="-14"/>
    <s v="TKT NO. 0062329556947_x000a_CREDIT - AIRFLIGHT INSURANCE PREMIUM"/>
    <s v="CREDIT - AIRFLIGHT INSURANCE PREMIUM"/>
    <s v="P O BOX 19020"/>
    <s v="GREENBAY_x000a_WI"/>
    <n v="54307"/>
    <s v="UNITED STATES"/>
    <s v="'320251300352408946'"/>
    <s v="Business Services-Insurance Services"/>
    <s v="DELTARESERVE"/>
    <x v="16"/>
  </r>
  <r>
    <d v="2025-05-10T00:00:00"/>
    <s v="TST* COMMON MOLLIES BROOKLYN            NY"/>
    <n v="56.23"/>
    <s v="21105175131 BAR/NIGHTCLUB_x000a_TST* COMMON MOLLIES 00080014_x000a_BROOKLYN_x000a_NY_x000a_BAR/NIGHTCLUB"/>
    <s v="TST* COMMON MOLLIES BROOKLYN            NY"/>
    <s v="46 BUSHWICK AVE"/>
    <s v="BROOKLYN_x000a_NY"/>
    <n v="11211"/>
    <s v="UNITED STATES"/>
    <s v="'320251310364326817'"/>
    <s v="Restaurant-Bar &amp; CafÃ©"/>
    <s v="AMEXPLATINUM"/>
    <x v="3"/>
  </r>
  <r>
    <d v="2025-05-11T00:00:00"/>
    <s v="BAGGAGE INSURANCE PREMIUM 800-228-6855"/>
    <n v="9.9499999999999993"/>
    <s v="TKT NO. 0060870966326_x000a_BAGGAGE INSURANCE PREMIUM 800-228-6855"/>
    <s v="BAGGAGE INSURANCE PREMIUM 800-228-6855"/>
    <s v="777 AMERICAN EXPRESSWAY_x000a_ATTN: TINA HYMAN"/>
    <s v="FT LAUDERDALE_x000a_FL"/>
    <n v="33337"/>
    <s v="UNITED STATES"/>
    <s v="'320251300352408941'"/>
    <s v="Business Services-Insurance Services"/>
    <s v="DELTARESERVE"/>
    <x v="16"/>
  </r>
  <r>
    <d v="2025-05-11T00:00:00"/>
    <s v="TRAVEL DELAY 800-228-6855"/>
    <n v="9.9499999999999993"/>
    <s v="TKT NO. 0060870966326_x000a_TRAVEL DELAY 800-228-6855"/>
    <s v="TRAVEL DELAY 800-228-6855"/>
    <s v="3200 E CAMELBACK"/>
    <s v="PHOENIX_x000a_AZ"/>
    <n v="85016"/>
    <s v="UNITED STATES OF AMERICA (THE)"/>
    <s v="'320251300352408942'"/>
    <s v="Business Services-Insurance Services"/>
    <s v="DELTARESERVE"/>
    <x v="16"/>
  </r>
  <r>
    <d v="2025-05-11T00:00:00"/>
    <s v="AIRFLIGHT INSURANCE PREMIUM 800-228-6855"/>
    <n v="14"/>
    <s v="TKT NO. 0060870966326_x000a_AIRFLIGHT INSURANCE PREMIUM 800-228-6855"/>
    <s v="AIRFLIGHT INSURANCE PREMIUM 800-228-6855"/>
    <s v="P O BOX 19020"/>
    <s v="GREENBAY_x000a_WI"/>
    <n v="54307"/>
    <s v="UNITED STATES"/>
    <s v="'320251300352408943'"/>
    <s v="Business Services-Insurance Services"/>
    <s v="DELTARESERVE"/>
    <x v="16"/>
  </r>
  <r>
    <d v="2025-05-11T00:00:00"/>
    <s v="UBER"/>
    <n v="37.82"/>
    <s v="55WN25V7   6JLTO5K2         10012_x000a_Uber Trip_x000a_help.uber.com_x000a_CA_x000a_6JLTO5K2         10012"/>
    <s v="Uber Trip           help.uber.com       CA"/>
    <s v="1455 MARKET ST_x000a_4TH FLOOR"/>
    <s v="SAN FRANCISCO_x000a_CA"/>
    <n v="94103"/>
    <s v="UNITED STATES"/>
    <s v="'320251310358171731'"/>
    <s v="Transportation-Taxis &amp; Coach"/>
    <s v="DELTARESERVE"/>
    <x v="2"/>
  </r>
  <r>
    <d v="2025-05-11T00:00:00"/>
    <s v="UBER"/>
    <n v="39.99"/>
    <s v="4TQ3PAWX   7HOPM24F         10001_x000a_Uber Trip_x000a_help.uber.com_x000a_CA_x000a_7HOPM24F         10001"/>
    <s v="Uber Trip           help.uber.com       CA"/>
    <s v="1455 MARKET ST_x000a_4TH FLOOR"/>
    <s v="SAN FRANCISCO_x000a_CA"/>
    <n v="94103"/>
    <s v="UNITED STATES"/>
    <s v="'320251310358991737'"/>
    <s v="Transportation-Taxis &amp; Coach"/>
    <s v="DELTARESERVE"/>
    <x v="2"/>
  </r>
  <r>
    <d v="2025-05-11T00:00:00"/>
    <s v="ADOBE SYSTEMS Adobe SAN JOSE            CA"/>
    <n v="21.39"/>
    <s v="584548894   www.adobe.com_x000a_ADOBE SYSTEMS Adobe Systems_x000a_SAN JOSE_x000a_CA_x000a_Description : 0 Price : 0.1999_x000a_www.adobe.com"/>
    <s v="ADOBE SYSTEMS Adobe SAN JOSE            CA"/>
    <s v="801 N 34TH ST"/>
    <s v="SEATTLE_x000a_WA"/>
    <n v="98103"/>
    <s v="UNITED STATES"/>
    <s v="'320251320388771002'"/>
    <s v="Merchandise &amp; Supplies-Mail Order"/>
    <s v="AMEXPLATINUM"/>
    <x v="1"/>
  </r>
  <r>
    <d v="2025-05-11T00:00:00"/>
    <s v="ILLUSTRATOR Adobe SySAN JOSE            CA"/>
    <n v="36.9"/>
    <s v="584549061   ADOBE.LY/ENUS_x000a_ILLUSTRATOR Adobe Systems_x000a_SAN JOSE_x000a_CA_x000a_Description : 0 Price : 0.3449_x000a_ADOBE.LY/ENUS"/>
    <s v="ILLUSTRATOR Adobe SySAN JOSE            CA"/>
    <s v="801 N 34TH ST"/>
    <s v="SEATTLE_x000a_WA"/>
    <n v="98103"/>
    <s v="UNITED STATES"/>
    <s v="'320251320388771407'"/>
    <s v="Merchandise &amp; Supplies-Mail Order"/>
    <s v="AMEXPLATINUM"/>
    <x v="1"/>
  </r>
  <r>
    <d v="2025-05-11T00:00:00"/>
    <s v="COVERGIRL.MAXIM.COM SAN ANTONIO         TX"/>
    <n v="10"/>
    <s v="CH_3RNLOL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20395480332'"/>
    <s v="Business Services-Office Supplies"/>
    <s v="AMEXPLATINUM"/>
    <x v="3"/>
  </r>
  <r>
    <d v="2025-05-11T00:00:00"/>
    <s v="GETTHELEVERAGE.COM  BOSTON              MA"/>
    <n v="15"/>
    <s v="CH_3RNNS6G7 +15082931383_x000a_GETTHELEVERAGE.COM_x000a_BOSTON_x000a_MA_x000a_+15082931383"/>
    <s v="GETTHELEVERAGE.COM  BOSTON              MA"/>
    <s v="1693 BEACON ST_x000a_APT 3"/>
    <s v="BROOKLINE_x000a_MA"/>
    <s v="02445"/>
    <s v="UNITED STATES"/>
    <s v="'320251320395710028'"/>
    <s v="Business Services-Office Supplies"/>
    <s v="DELTARESERVE"/>
    <x v="1"/>
  </r>
  <r>
    <d v="2025-05-12T00:00:00"/>
    <s v="GOOGLE *ISHARINGSOFT G.CO/HELPPAY#      CA"/>
    <n v="16.04"/>
    <s v="A10KB8MF    SELLER_x000a_GOOGLE *ISHARINGSOFT_x000a_G.CO/HELPPAY#_x000a_CA_x000a_SELLER"/>
    <s v="GOOGLE *ISHARINGSOFT G.CO/HELPPAY#      CA"/>
    <s v="1600 AMPHITHEATRE PKWY"/>
    <s v="MOUNTAIN VIEW_x000a_CA"/>
    <s v="94043-1351"/>
    <s v="UNITED STATES"/>
    <s v="'320251320392492152'"/>
    <s v="Business Services-Internet Services"/>
    <s v="DELTARESERVE"/>
    <x v="1"/>
  </r>
  <r>
    <d v="2025-05-12T00:00:00"/>
    <s v="FACEBK *JQG8ARQRF2  MENLO PARK"/>
    <n v="28"/>
    <s v="98595518774 ADVERTISING SERVICE_x000a_FACEBK *JQG8ARQRF2_x000a_MENLO PARK_x000a_ADVERTISING SERVICE"/>
    <s v="FACEBK *JQG8ARQRF2  MENLO PARK"/>
    <s v="1 HACKER WAY"/>
    <s v="MENLO PARK_x000a_CA"/>
    <n v="94025"/>
    <s v="UNITED STATES"/>
    <s v="'320251320395650988'"/>
    <s v="Business Services-Advertising Services"/>
    <s v="AMEXPLATINUM"/>
    <x v="3"/>
  </r>
  <r>
    <d v="2025-05-12T00:00:00"/>
    <s v="COVERGIRL.MAXIM.COM SAN ANTONIO         TX"/>
    <n v="250"/>
    <s v="CH_3ROCZT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30412179923'"/>
    <s v="Business Services-Office Supplies"/>
    <s v="DELTARESERVE"/>
    <x v="3"/>
  </r>
  <r>
    <d v="2025-05-12T00:00:00"/>
    <s v="LGAF THE LINE SPRTS FLUSHING            NY"/>
    <n v="2.25"/>
    <s v="31099535132 MISC FOOD STORE_x000a_LGAF THE LINE SPRTS GRILL 00-080405058_x000a_FLUSHING_x000a_NY_x000a_MISC FOOD STORE"/>
    <s v="LGAF THE LINE SPRTS FLUSHING            NY"/>
    <s v="1 LAGURADIA AIRPORT"/>
    <s v="FLUSHING_x000a_NY"/>
    <n v="11371"/>
    <s v="UNITED STATES"/>
    <s v="'320251330418923405'"/>
    <s v="Merchandise &amp; Supplies-Groceries"/>
    <s v="DELTARESERVE"/>
    <x v="3"/>
  </r>
  <r>
    <d v="2025-05-12T00:00:00"/>
    <s v="STAPLES 01106       MANHATTAN           NY"/>
    <n v="39.18"/>
    <s v="000536154  01106000536154   10003_x000a_BUSINESS CARDS ONLINE_x000a_STAPLES 01106_x000a_MANHATTAN_x000a_NY_x000a_BUSINESS CARDS ONLINE_x000a_01106000536154   10003"/>
    <s v="STAPLES 01106       MANHATTAN           NY"/>
    <s v="769 BROADWAY"/>
    <s v="NEW YORK_x000a_NY"/>
    <s v="10003-6803"/>
    <s v="UNITED STATES"/>
    <s v="'320251330422309658'"/>
    <s v="Business Services-Office Supplies"/>
    <s v="AMEXPLATINUM"/>
    <x v="3"/>
  </r>
  <r>
    <d v="2025-05-12T00:00:00"/>
    <s v="COVERGIRL.MAXIM.COM SAN ANTONIO         TX"/>
    <n v="10"/>
    <s v="CH_3RO4ZJ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30425714590'"/>
    <s v="Business Services-Office Supplies"/>
    <s v="AMEXPLATINUM"/>
    <x v="3"/>
  </r>
  <r>
    <d v="2025-05-12T00:00:00"/>
    <s v="TSA PRECHECK BY CLEA833-945-2644        NY"/>
    <n v="77.95"/>
    <s v="P-45486512  833-945-2644_x000a_TSA PRECHECK BY CLEAR_x000a_833-945-2644_x000a_NY_x000a_833-945-2644"/>
    <s v="TSA PRECHECK BY CLEA833-945-2644        NY"/>
    <s v="85 10TH AVE_x000a_9TH FLOOR"/>
    <s v="NEW YORK_x000a_NY"/>
    <n v="10011"/>
    <s v="UNITED STATES"/>
    <s v="'320251330425723892'"/>
    <s v="Travel-Airline"/>
    <s v="DELTARESERVE"/>
    <x v="16"/>
  </r>
  <r>
    <d v="2025-05-12T00:00:00"/>
    <s v="FACEBK *META VERIFIEFB.ME/CC            CA"/>
    <n v="11.99"/>
    <s v="98714058329 DGTL CONTENT_x000a_FACEBK *META VERIFIED_x000a_FB.ME/CC_x000a_CA_x000a_DGTL CONTENT"/>
    <s v="FACEBK *META VERIFIEFB.ME/CC            CA"/>
    <s v="1 HACKER WAY"/>
    <s v="MENLO PARK_x000a_CA"/>
    <n v="94025"/>
    <s v="UNITED STATES"/>
    <s v="'320251330429796311'"/>
    <s v="Business Services-Office Supplies"/>
    <s v="AMEXPLATINUM"/>
    <x v="3"/>
  </r>
  <r>
    <d v="2025-05-12T00:00:00"/>
    <s v="CMT CHICAGO IL690015CHICAGO             IL"/>
    <n v="56.7"/>
    <s v="013609449   718-9374444_x000a_CMT CHICAGO IL690015 09027690015_x000a_CHICAGO_x000a_IL_x000a_Description : MERCHANDISE Price : 0.567_x000a_718-9374444"/>
    <s v="CMT CHICAGO IL690015CHICAGO             IL"/>
    <s v="724 WEST WASHINGTON"/>
    <s v="CHICAGO_x000a_IL"/>
    <n v="60661"/>
    <s v="UNITED STATES"/>
    <s v="'320251340457556334'"/>
    <s v="Transportation-Taxis &amp; Coach"/>
    <s v="DELTARESERVE"/>
    <x v="3"/>
  </r>
  <r>
    <d v="2025-05-13T00:00:00"/>
    <s v="UBER"/>
    <n v="211.49"/>
    <s v="ZZ45D8JLR7V TAXICAB &amp; LIMOUSINE_x000a_Uber Trip_x000a_help.uber.com_x000a_CA"/>
    <s v="Uber Trip           help.uber.com       CA"/>
    <s v="1455 MARKET ST_x000a_4TH FLOOR"/>
    <s v="SAN FRANCISCO_x000a_CA"/>
    <n v="94103"/>
    <s v="UNITED STATES"/>
    <s v="'320251320404113136'"/>
    <s v="Transportation-Taxis &amp; Coach"/>
    <s v="DELTARESERVE"/>
    <x v="2"/>
  </r>
  <r>
    <d v="2025-05-13T00:00:00"/>
    <s v="THE CLEANERS IO, LLCNew York            NY"/>
    <n v="28.21"/>
    <s v="zH93ILrkrYm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330410522718'"/>
    <s v="Business Services-Other Services"/>
    <s v="AMEXPLATINUM"/>
    <x v="8"/>
  </r>
  <r>
    <d v="2025-05-13T00:00:00"/>
    <s v="LINKEDIN SN P5984469MOUNTAIN VIEW"/>
    <n v="106.99"/>
    <s v="P598446974  SUBSCRIPTIONS_x000a_LINKEDIN SN P598446974_x000a_MOUNTAIN VIEW_x000a_SUBSCRIPTIONS"/>
    <s v="LINKEDIN SN P5984469MOUNTAIN VIEW"/>
    <s v="2029 STIERLIN CT_x000a_STE 200"/>
    <s v="MOUNTAIN VIEW_x000a_CA"/>
    <s v="94043-4655"/>
    <s v="UNITED STATES"/>
    <s v="'320251330413320169'"/>
    <s v="Merchandise &amp; Supplies-Internet Purchase"/>
    <s v="AMEXPLATINUM"/>
    <x v="4"/>
  </r>
  <r>
    <d v="2025-05-13T00:00:00"/>
    <s v="HYATT REGENCY CHICAGCHICAGO             IL"/>
    <n v="90"/>
    <s v="INF34142   INF-341-42       60601_x000a_RESTAURANT_x000a_HYATT REGENCY CHICAGO F&amp; CHIR_x000a_CHICAGO_x000a_IL_x000a_RESTAURANT_x000a_INF-341-42       60601"/>
    <s v="HYATT REGENCY CHICAGCHICAGO             IL"/>
    <s v="151 EAST WACKER DR"/>
    <s v="CHICAGO_x000a_IL"/>
    <s v="60601-3764"/>
    <s v="UNITED STATES"/>
    <s v="'320251330416038443'"/>
    <s v="Travel-Lodging"/>
    <s v="DELTARESERVE"/>
    <x v="17"/>
  </r>
  <r>
    <d v="2025-05-13T00:00:00"/>
    <s v="JUICE GENERATION 19 NEW YORK            NY"/>
    <n v="14.1"/>
    <s v="00008749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1340442419868'"/>
    <s v="Restaurant-Bar &amp; CafÃ©"/>
    <s v="AMEXPLATINUM"/>
    <x v="3"/>
  </r>
  <r>
    <d v="2025-05-13T00:00:00"/>
    <s v="HYATT REGENCY CHICAGCHICAGO             IL"/>
    <n v="90"/>
    <s v="INF82056   INF-82-056       60601_x000a_RESTAURANT_x000a_HYATT REGENCY CHICAGO F&amp; CHIR_x000a_CHICAGO_x000a_IL_x000a_RESTAURANT_x000a_INF-82-056       60601"/>
    <s v="HYATT REGENCY CHICAGCHICAGO             IL"/>
    <s v="151 EAST WACKER DR"/>
    <s v="CHICAGO_x000a_IL"/>
    <s v="60601-3764"/>
    <s v="UNITED STATES"/>
    <s v="'320251340444320445'"/>
    <s v="Travel-Lodging"/>
    <s v="DELTARESERVE"/>
    <x v="17"/>
  </r>
  <r>
    <d v="2025-05-13T00:00:00"/>
    <s v="WHOLEFDS USQ 10162 0NEW YORK            NY"/>
    <n v="23.61"/>
    <s v="0EHU4GCK4W2 2126735388_x000a_WHOLEFDS USQ 10162 000010162_x000a_NEW YORK_x000a_NY_x000a_Description : GROCERY STORES Price : 0.2361_x000a_2126735388"/>
    <s v="WHOLEFDS USQ 10162 0NEW YORK            NY"/>
    <s v="250 7TH AVE STE 511"/>
    <s v="NEW YORK_x000a_NY"/>
    <n v="10001"/>
    <s v="UNITED STATES"/>
    <s v="'320251340456044060'"/>
    <s v="Merchandise &amp; Supplies-Groceries"/>
    <s v="AMEXPLATINUM"/>
    <x v="3"/>
  </r>
  <r>
    <d v="2025-05-14T00:00:00"/>
    <s v="LEMONADE INSURANCE CNEW YORK            NY"/>
    <n v="50.67"/>
    <s v="######CHVCE INSURANCE SALES_x000a_LEMONADE INSURANCE COMPANY_x000a_NEW YORK_x000a_NY_x000a_INSURANCE SALES"/>
    <s v="LEMONADE INSURANCE CNEW YORK            NY"/>
    <s v="5 CROSBY ST FL 3"/>
    <s v="NEW YORK_x000a_NY"/>
    <n v="10013"/>
    <s v="UNITED STATES"/>
    <s v="'320251340437417050'"/>
    <s v="Business Services-Insurance Services"/>
    <s v="AMEXPLATINUM"/>
    <x v="3"/>
  </r>
  <r>
    <d v="2025-05-14T00:00:00"/>
    <s v="PATREON* MEMBERSHIP SAN FRANCISCO       CA"/>
    <n v="20.18"/>
    <s v="W5967T00121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1340440410073'"/>
    <s v="Business Services-Office Supplies"/>
    <s v="AMEXPLATINUM"/>
    <x v="3"/>
  </r>
  <r>
    <d v="2025-05-14T00:00:00"/>
    <s v="UBER"/>
    <n v="70.540000000000006"/>
    <s v="K5TEKFMV   V4ZSKFWC         60301_x000a_Uber Trip_x000a_help.uber.com_x000a_CA_x000a_V4ZSKFWC         60301"/>
    <s v="Uber Trip           help.uber.com       CA"/>
    <s v="1455 MARKET ST_x000a_4TH FLOOR"/>
    <s v="SAN FRANCISCO_x000a_CA"/>
    <n v="94103"/>
    <s v="UNITED STATES"/>
    <s v="'320251340442382460'"/>
    <s v="Transportation-Taxis &amp; Coach"/>
    <s v="DELTARESERVE"/>
    <x v="2"/>
  </r>
  <r>
    <d v="2025-05-14T00:00:00"/>
    <s v="UBER"/>
    <n v="20.93"/>
    <s v="3YVC0X7Q   WYEF6QL2         60601_x000a_Uber Trip_x000a_help.uber.com_x000a_CA_x000a_WYEF6QL2         60601"/>
    <s v="Uber Trip           help.uber.com       CA"/>
    <s v="1455 MARKET ST_x000a_4TH FLOOR"/>
    <s v="SAN FRANCISCO_x000a_CA"/>
    <n v="94103"/>
    <s v="UNITED STATES"/>
    <s v="'320251340442834196'"/>
    <s v="Transportation-Taxis &amp; Coach"/>
    <s v="DELTARESERVE"/>
    <x v="2"/>
  </r>
  <r>
    <d v="2025-05-14T00:00:00"/>
    <s v="UBER"/>
    <n v="100.64"/>
    <s v="JFYMYXFJ   AGWBSJAO         60601_x000a_Uber Trip_x000a_help.uber.com_x000a_CA_x000a_AGWBSJAO         60601"/>
    <s v="Uber Trip           help.uber.com       CA"/>
    <s v="1455 MARKET ST_x000a_4TH FLOOR"/>
    <s v="SAN FRANCISCO_x000a_CA"/>
    <n v="94103"/>
    <s v="UNITED STATES"/>
    <s v="'320251340443776349'"/>
    <s v="Transportation-Taxis &amp; Coach"/>
    <s v="DELTARESERVE"/>
    <x v="2"/>
  </r>
  <r>
    <d v="2025-05-14T00:00:00"/>
    <s v="UBER"/>
    <n v="16.52"/>
    <s v="0CA6KAGV   QNWXZXK4         60654_x000a_Uber Trip_x000a_help.uber.com_x000a_CA_x000a_QNWXZXK4         60654"/>
    <s v="Uber Trip           help.uber.com       CA"/>
    <s v="1455 MARKET ST_x000a_4TH FLOOR"/>
    <s v="SAN FRANCISCO_x000a_CA"/>
    <n v="94103"/>
    <s v="UNITED STATES"/>
    <s v="'320251340444033823'"/>
    <s v="Transportation-Taxis &amp; Coach"/>
    <s v="DELTARESERVE"/>
    <x v="2"/>
  </r>
  <r>
    <d v="2025-05-14T00:00:00"/>
    <s v="HYATT REGENCY CHICAGCHICAGO             IL"/>
    <n v="140"/>
    <s v="INF42448   INF-42-448       60601_x000a_RESTAURANT_x000a_HYATT REGENCY CHICAGO F&amp; CHIR_x000a_CHICAGO_x000a_IL_x000a_RESTAURANT_x000a_INF-42-448       60601"/>
    <s v="HYATT REGENCY CHICAGCHICAGO             IL"/>
    <s v="151 EAST WACKER DR"/>
    <s v="CHICAGO_x000a_IL"/>
    <s v="60601-3764"/>
    <s v="UNITED STATES"/>
    <s v="'320251340444915139'"/>
    <s v="Travel-Lodging"/>
    <s v="DELTARESERVE"/>
    <x v="17"/>
  </r>
  <r>
    <d v="2025-05-14T00:00:00"/>
    <s v="Roka Akor - Chicago Chicago             IL"/>
    <n v="500"/>
    <s v="30012      30012            60654_x000a_Toro Tartare_x000a_Lobster Dumplng_x000a_1pc Lobstr Dum_x000a_ButterfshTataki_x000a_Roka Akor - Chicago_x000a_Chicago_x000a_IL_x000a_Toro Tartare_x000a_Lobster Dumplng_x000a_1pc Lobstr Dum_x000a_ButterfshTataki_x000a_30012            60654"/>
    <s v="Roka Akor - Chicago Chicago             IL"/>
    <s v="111 1ST_x000a_FLOOR WEST ILLINOIS ST"/>
    <s v="CHICAGO_x000a_IL"/>
    <n v="60654"/>
    <s v="UNITED STATES"/>
    <s v="'320251340448795614'"/>
    <s v="Restaurant-Restaurant"/>
    <s v="DELTARESERVE"/>
    <x v="11"/>
  </r>
  <r>
    <d v="2025-05-14T00:00:00"/>
    <s v="COVERGIRL.MAXIM.COM SAN ANTONIO         TX"/>
    <n v="50"/>
    <s v="CH_3ROIOO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40460030104'"/>
    <s v="Business Services-Office Supplies"/>
    <s v="AMEXPLATINUM"/>
    <x v="3"/>
  </r>
  <r>
    <d v="2025-05-14T00:00:00"/>
    <s v="TSA Global Entry Fee Credit"/>
    <n v="-77.95"/>
    <s v="TSA Global Entry Fee Credit"/>
    <s v="TSA Global Entry Fee Credit"/>
    <s v="85 10TH AVE_x000a_9TH FLOOR"/>
    <s v="NEW YORK_x000a_NY"/>
    <n v="10011"/>
    <s v="UNITED STATES"/>
    <s v="'320251340460420508'"/>
    <s v="Travel-Airline"/>
    <s v="DELTARESERVE"/>
    <x v="16"/>
  </r>
  <r>
    <d v="2025-05-14T00:00:00"/>
    <s v="COVERGIRL.MAXIM.COM SAN ANTONIO         TX"/>
    <n v="500"/>
    <s v="CH_3ROVFI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70588213'"/>
    <s v="Business Services-Office Supplies"/>
    <s v="DELTARESERVE"/>
    <x v="3"/>
  </r>
  <r>
    <d v="2025-05-14T00:00:00"/>
    <s v="COVERGIRL.MAXIM.COM SAN ANTONIO         TX"/>
    <n v="250"/>
    <s v="CH_3ROVEK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70588506'"/>
    <s v="Business Services-Office Supplies"/>
    <s v="DELTARESERVE"/>
    <x v="3"/>
  </r>
  <r>
    <d v="2025-05-14T00:00:00"/>
    <s v="HYATT REGENCY CHICAGCHICAGO             IL"/>
    <n v="7.26"/>
    <s v="INF38323   INF-38-323       60601_x000a_RESTAURANT_x000a_HYATT REGENCY CHICAGO F&amp; CHIR_x000a_CHICAGO_x000a_IL_x000a_RESTAURANT_x000a_INF-38-323       60601"/>
    <s v="HYATT REGENCY CHICAGCHICAGO             IL"/>
    <s v="151 EAST WACKER DR"/>
    <s v="CHICAGO_x000a_IL"/>
    <s v="60601-3764"/>
    <s v="UNITED STATES"/>
    <s v="'320251350471351807'"/>
    <s v="Travel-Lodging"/>
    <s v="DELTARESERVE"/>
    <x v="17"/>
  </r>
  <r>
    <d v="2025-05-14T00:00:00"/>
    <s v="ERACTOLL 7Y329K     877-860-1258        NY"/>
    <n v="4.3499999999999996"/>
    <s v="T194926118  877-860-1258_x000a_ERACTOLL 7Y329K_x000a_877-860-1258_x000a_NY_x000a_Description : ERACTOLL 7Y329K Price : 0.00_x000a_877-860-1258"/>
    <s v="ERACTOLL 7Y329K     877-860-1258        NY"/>
    <s v="-"/>
    <e v="#NAME?"/>
    <n v="11577"/>
    <s v="UNITED STATES"/>
    <s v="'320251350476506795'"/>
    <s v="Transportation-Tolls &amp; Fees"/>
    <s v="DELTARESERVE"/>
    <x v="9"/>
  </r>
  <r>
    <d v="2025-05-14T00:00:00"/>
    <s v="AT&amp;T"/>
    <n v="109.42"/>
    <s v="43497960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1350480403424'"/>
    <s v="Communications-Mobile Telecom"/>
    <s v="DELTARESERVE"/>
    <x v="5"/>
  </r>
  <r>
    <d v="2025-05-14T00:00:00"/>
    <s v="PAYPAL *HEIDIKLINGP 4029357733          NY"/>
    <n v="1750"/>
    <s v="10180222343 4029357733_x000a_PAYPAL *HEIDIKLINGP HEIDI_x000a_4029357733_x000a_NY_x000a_Description : GENERAL Price : 0.00_x000a_4029357733"/>
    <s v="PAYPAL *HEIDIKLINGP 4029357733          NY"/>
    <s v="18 EAST 16TH ST RM 503"/>
    <s v="NEW YORK_x000a_NY"/>
    <n v="10003"/>
    <s v="UNITED STATES"/>
    <s v="'320251350484200505'"/>
    <s v="Business Services-Health Care Services"/>
    <s v="AMEXPLATINUM"/>
    <x v="3"/>
  </r>
  <r>
    <d v="2025-05-14T00:00:00"/>
    <s v="COVERGIRL.MAXIM.COM SAN ANTONIO         TX"/>
    <n v="250"/>
    <s v="CH_3ROPHS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86425369'"/>
    <s v="Business Services-Office Supplies"/>
    <s v="DELTARESERVE"/>
    <x v="3"/>
  </r>
  <r>
    <d v="2025-05-14T00:00:00"/>
    <s v="COVERGIRL.MAXIM.COM SAN ANTONIO         TX"/>
    <n v="50"/>
    <s v="CH_3ROPIU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86432397'"/>
    <s v="Business Services-Office Supplies"/>
    <s v="DELTARESERVE"/>
    <x v="3"/>
  </r>
  <r>
    <d v="2025-05-14T00:00:00"/>
    <s v="COVERGIRL.MAXIM.COM SAN ANTONIO         TX"/>
    <n v="50"/>
    <s v="CH_3ROPLN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86444399'"/>
    <s v="Business Services-Office Supplies"/>
    <s v="DELTARESERVE"/>
    <x v="3"/>
  </r>
  <r>
    <d v="2025-05-14T00:00:00"/>
    <s v="COVERGIRL.MAXIM.COM SAN ANTONIO         TX"/>
    <n v="50"/>
    <s v="CH_3ROPLU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86448298'"/>
    <s v="Business Services-Office Supplies"/>
    <s v="DELTARESERVE"/>
    <x v="3"/>
  </r>
  <r>
    <d v="2025-05-14T00:00:00"/>
    <s v="COVERGIRL.MAXIM.COM SAN ANTONIO         TX"/>
    <n v="50"/>
    <s v="CH_3ROPMX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86452011'"/>
    <s v="Business Services-Office Supplies"/>
    <s v="DELTARESERVE"/>
    <x v="3"/>
  </r>
  <r>
    <d v="2025-05-14T00:00:00"/>
    <s v="COVERGIRL.MAXIM.COM SAN ANTONIO         TX"/>
    <n v="50"/>
    <s v="CH_3ROPNF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86454213'"/>
    <s v="Business Services-Office Supplies"/>
    <s v="DELTARESERVE"/>
    <x v="3"/>
  </r>
  <r>
    <d v="2025-05-14T00:00:00"/>
    <s v="COVERGIRL.MAXIM.COM SAN ANTONIO         TX"/>
    <n v="50"/>
    <s v="CH_3ROPOU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50486458464'"/>
    <s v="Business Services-Office Supplies"/>
    <s v="DELTARESERVE"/>
    <x v="3"/>
  </r>
  <r>
    <d v="2025-05-15T00:00:00"/>
    <s v="MOBILE PAYMENT - THANK YOU"/>
    <n v="-5000"/>
    <s v="MOBILE PAYMENT - THANK YOU"/>
    <s v="MOBILE PAYMENT - THANK YOU"/>
    <m/>
    <m/>
    <m/>
    <m/>
    <s v="'320251350462685389'"/>
    <m/>
    <s v="DELTARESERVE"/>
    <x v="0"/>
  </r>
  <r>
    <d v="2025-05-15T00:00:00"/>
    <s v="CHARITYBUZZ.COM     NEW YORK CITY       NY"/>
    <n v="870"/>
    <s v="CH_3RP8OI4V +12122433900_x000a_CHARITYBUZZ.COM_x000a_NEW YORK CITY_x000a_NY_x000a_+12122433900"/>
    <s v="CHARITYBUZZ.COM     NEW YORK CITY       NY"/>
    <s v="11TH FLOOR_x000a_437 FIFTH AVE"/>
    <s v="NEW YORK CITY_x000a_NY"/>
    <n v="10016"/>
    <s v="UNITED STATES"/>
    <s v="'320251350465093929'"/>
    <s v="Merchandise &amp; Supplies-Internet Purchase"/>
    <s v="DELTARESERVE"/>
    <x v="3"/>
  </r>
  <r>
    <d v="2025-05-15T00:00:00"/>
    <s v="UBER"/>
    <n v="21.5"/>
    <s v="3WR1A46R   CKUXPFIW         60606_x000a_Uber Trip_x000a_help.uber.com_x000a_CA_x000a_CKUXPFIW         60606"/>
    <s v="Uber Trip           help.uber.com       CA"/>
    <s v="1455 MARKET ST_x000a_4TH FLOOR"/>
    <s v="SAN FRANCISCO_x000a_CA"/>
    <n v="94103"/>
    <s v="UNITED STATES"/>
    <s v="'320251350469992932'"/>
    <s v="Transportation-Taxis &amp; Coach"/>
    <s v="DELTARESERVE"/>
    <x v="2"/>
  </r>
  <r>
    <d v="2025-05-15T00:00:00"/>
    <s v="TST* NORTH WACKER CHCHICAGO             IL"/>
    <n v="1100"/>
    <s v="MaSB8oWcp00 3128206604_x000a_TST* NORTH WACKER CHICAGO 300559234_x000a_CHICAGO_x000a_IL_x000a_Description : RESTAURANTS Price : 11.00_x000a_3128206604"/>
    <s v="TST* NORTH WACKER CHCHICAGO             IL"/>
    <s v="120 NORTH WACKER"/>
    <s v="CHICAGO_x000a_IL"/>
    <n v="60606"/>
    <s v="UNITED STATES"/>
    <s v="'320251350471833055'"/>
    <s v="Restaurant-Restaurant"/>
    <s v="DELTARESERVE"/>
    <x v="11"/>
  </r>
  <r>
    <d v="2025-05-15T00:00:00"/>
    <s v="JUICE GENERATION 19 NEW YORK            NY"/>
    <n v="12.79"/>
    <s v="00010656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1360496363516'"/>
    <s v="Restaurant-Bar &amp; CafÃ©"/>
    <s v="AMEXPLATINUM"/>
    <x v="3"/>
  </r>
  <r>
    <d v="2025-05-15T00:00:00"/>
    <s v="HYATT REGENCY CHICAGCHICAGO             IL"/>
    <n v="32.35"/>
    <s v="INF72211   INF-7-2211       60601_x000a_RESTAURANT_x000a_HYATT REGENCY CHICAGO F&amp; CHIR_x000a_CHICAGO_x000a_IL_x000a_RESTAURANT_x000a_INF-7-2211       60601"/>
    <s v="HYATT REGENCY CHICAGCHICAGO             IL"/>
    <s v="151 EAST WACKER DR"/>
    <s v="CHICAGO_x000a_IL"/>
    <s v="60601-3764"/>
    <s v="UNITED STATES"/>
    <s v="'320251360498189871'"/>
    <s v="Travel-Lodging"/>
    <s v="DELTARESERVE"/>
    <x v="17"/>
  </r>
  <r>
    <d v="2025-05-15T00:00:00"/>
    <s v="HYATT REGENCY CHICAGCHICAGO             IL"/>
    <n v="22.74"/>
    <s v="INF26280   INF-26-280       60601_x000a_RESTAURANT_x000a_HYATT REGENCY CHICAGO F&amp; CHIR_x000a_CHICAGO_x000a_IL_x000a_RESTAURANT_x000a_INF-26-280       60601"/>
    <s v="HYATT REGENCY CHICAGCHICAGO             IL"/>
    <s v="151 EAST WACKER DR"/>
    <s v="CHICAGO_x000a_IL"/>
    <s v="60601-3764"/>
    <s v="UNITED STATES"/>
    <s v="'320251360498649335'"/>
    <s v="Travel-Lodging"/>
    <s v="DELTARESERVE"/>
    <x v="17"/>
  </r>
  <r>
    <d v="2025-05-15T00:00:00"/>
    <s v="STAPLES 01106       MANHATTAN           NY"/>
    <n v="59.88"/>
    <s v="000536258  01106000536258   10003_x000a_POSTERS ONLINE_x000a_STAPLES 01106_x000a_MANHATTAN_x000a_NY_x000a_POSTERS ONLINE_x000a_01106000536258   10003"/>
    <s v="STAPLES 01106       MANHATTAN           NY"/>
    <s v="769 BROADWAY"/>
    <s v="NEW YORK_x000a_NY"/>
    <s v="10003-6803"/>
    <s v="UNITED STATES"/>
    <s v="'320251360502632778'"/>
    <s v="Business Services-Office Supplies"/>
    <s v="AMEXPLATINUM"/>
    <x v="3"/>
  </r>
  <r>
    <d v="2025-05-15T00:00:00"/>
    <s v="DUANE READE #14468 0NEW YORK            NY"/>
    <n v="3.31"/>
    <s v="99999995136NONE             10003_x000a_PHARMACIES_x000a_DUANE READE #14468 000014468_x000a_NEW YORK_x000a_NY_x000a_PHARMACIES_x000a_NONE             10003"/>
    <s v="DUANE READE #14468 0NEW YORK            NY"/>
    <s v="1 UN SQ SOUTH"/>
    <s v="NEW YORK_x000a_NY"/>
    <n v="10003"/>
    <s v="UNITED STATES"/>
    <s v="'320251360502655722'"/>
    <s v="Merchandise &amp; Supplies-Pharmacies"/>
    <s v="AMEXPLATINUM"/>
    <x v="3"/>
  </r>
  <r>
    <d v="2025-05-15T00:00:00"/>
    <s v="DUANE READE #14468 0NEW YORK            NY"/>
    <n v="6.24"/>
    <s v="99999995136 8002892273_x000a_DUANE READE #14468 000014468_x000a_NEW YORK_x000a_NY_x000a_Description : PHARMACIES Price : 0.0624_x000a_8002892273"/>
    <s v="DUANE READE #14468 0NEW YORK            NY"/>
    <s v="1 UN SQ SOUTH"/>
    <s v="NEW YORK_x000a_NY"/>
    <n v="10003"/>
    <s v="UNITED STATES"/>
    <s v="'320251360502793415'"/>
    <s v="Merchandise &amp; Supplies-Pharmacies"/>
    <s v="AMEXPLATINUM"/>
    <x v="3"/>
  </r>
  <r>
    <d v="2025-05-15T00:00:00"/>
    <s v="WEGMANS ASTOR PLACE NEW YORK            NY"/>
    <n v="119.15"/>
    <s v="W15608101285854293656_x000a_WEGMANS ASTOR PLACE 156 000000156_x000a_NEW YORK_x000a_NY_x000a_5854293656"/>
    <s v="WEGMANS ASTOR PLACE NEW YORK            NY"/>
    <s v="770 BROADWAY"/>
    <s v="NEW YORK_x000a_NY"/>
    <n v="10003"/>
    <s v="UNITED STATES"/>
    <s v="'320251360504061243'"/>
    <s v="Merchandise &amp; Supplies-Groceries"/>
    <s v="AMEXPLATINUM"/>
    <x v="3"/>
  </r>
  <r>
    <d v="2025-05-15T00:00:00"/>
    <s v="TABULAR EDITOR APS  COPENHAGEN V        DK"/>
    <n v="10"/>
    <s v="CH_3RPB3YAV +4553503099_x000a_TABULAR EDITOR APS_x000a_COPENHAGEN V_x000a_DK_x000a_+4553503099"/>
    <s v="TABULAR EDITOR APS  COPENHAGEN V        DK"/>
    <s v="SUNDKAJ 125_x000a_NORDHAVN"/>
    <m/>
    <n v="2150"/>
    <s v="DENMARK"/>
    <s v="'320251360513411688'"/>
    <s v="Merchandise &amp; Supplies-Computer Supplies"/>
    <s v="DELTARESERVE"/>
    <x v="1"/>
  </r>
  <r>
    <d v="2025-05-16T00:00:00"/>
    <s v="SPLICE.COM          NEW YORK CITY       NY"/>
    <n v="27.99"/>
    <s v="CH_3RPRLFCF 3235775423_x000a_SPLICE.COM_x000a_NEW YORK CITY_x000a_NY_x000a_3235775423"/>
    <s v="SPLICE.COM          NEW YORK CITY       NY"/>
    <s v="817 BROADWAY FLOOR 4"/>
    <s v="NEW YORK_x000a_NY"/>
    <n v="10003"/>
    <s v="UNITED STATES"/>
    <s v="'320251360495157118'"/>
    <s v="Merchandise &amp; Supplies-Computer Supplies"/>
    <s v="AMEXPLATINUM"/>
    <x v="3"/>
  </r>
  <r>
    <d v="2025-05-16T00:00:00"/>
    <s v="COVERGIRL.MAXIM.COM SAN ANTONIO         TX"/>
    <n v="50"/>
    <s v="CH_3RPR1U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60517238177'"/>
    <s v="Business Services-Office Supplies"/>
    <s v="AMEXPLATINUM"/>
    <x v="3"/>
  </r>
  <r>
    <d v="2025-05-16T00:00:00"/>
    <s v="MOBILE PAYMENT - THANK YOU"/>
    <n v="-2000"/>
    <s v="MOBILE PAYMENT - THANK YOU"/>
    <s v="MOBILE PAYMENT - THANK YOU"/>
    <m/>
    <m/>
    <m/>
    <m/>
    <s v="'320251370517732270'"/>
    <m/>
    <s v="DELTARESERVE"/>
    <x v="0"/>
  </r>
  <r>
    <d v="2025-05-16T00:00:00"/>
    <s v="HERTZ CAR RENTAL    OKLAHOMA CITY       OK"/>
    <n v="847.95"/>
    <s v="R/A# 004021732   +18006544173_x000a_HERTZ CAR RENTAL_x000a_OKLAHOMA CITY_x000a_OK"/>
    <s v="HERTZ CAR RENTAL    OKLAHOMA CITY       OK"/>
    <s v="5601 NORTH WEST EXPY"/>
    <s v="OKLAHOMA CITY_x000a_OK"/>
    <n v="73132"/>
    <s v="UNITED STATES"/>
    <s v="'320251370529877039'"/>
    <s v="Travel-Vehicle Rental"/>
    <s v="DELTARESERVE"/>
    <x v="9"/>
  </r>
  <r>
    <d v="2025-05-16T00:00:00"/>
    <s v="UNITED AIRLINES     HOUSTON             TX"/>
    <n v="493.48"/>
    <s v="13692174    WWW.UNITED.COM_x000a_PASSENGER TICKET_x000a_UNITED AIRLINES_x000a_HOUSTON_x000a_TX_x000a_Carrier : UNITED AIRLINES_x000a_Passenger Name : NICOLA/CRISTIANALEXANDRU_x000a_Ticket Number : 01624870500595_x000a_Departure Day : 05/17_x000a_Additional Info : PASSENGER TICKET_x000a_From : CHICAGO O'HARE INT_x000a_To : ALBANY COUNTY APT"/>
    <s v="UNITED AIRLINES     HOUSTON             TX"/>
    <s v="HSCAC - 12TH_x000a_FLOOR 609 MAIN STREET"/>
    <s v="HOUSTON_x000a_TX"/>
    <n v="77002"/>
    <s v="UNITED STATES"/>
    <s v="'320251370531425614'"/>
    <s v="Travel-Airline"/>
    <s v="DELTARESERVE"/>
    <x v="16"/>
  </r>
  <r>
    <d v="2025-05-16T00:00:00"/>
    <s v="TST* MOODY TONGUE BRCHICAGO             IL"/>
    <n v="72"/>
    <s v="21105175137 RESTAURANT_x000a_TST* MOODY TONGUE BREWING 00046083_x000a_CHICAGO_x000a_IL_x000a_RESTAURANT"/>
    <s v="TST* MOODY TONGUE BRCHICAGO             IL"/>
    <s v="2515 SOUTH WABASH AVE"/>
    <s v="CHICAGO_x000a_IL"/>
    <n v="60616"/>
    <s v="UNITED STATES"/>
    <s v="'320251370532857179'"/>
    <s v="Restaurant-Restaurant"/>
    <s v="DELTARESERVE"/>
    <x v="11"/>
  </r>
  <r>
    <d v="2025-05-16T00:00:00"/>
    <s v="TST* MOODY TONGUE BRCHICAGO             IL"/>
    <n v="139.38999999999999"/>
    <s v="21105175137 RESTAURANT_x000a_TST* MOODY TONGUE BREWING 00046083_x000a_CHICAGO_x000a_IL_x000a_RESTAURANT"/>
    <s v="TST* MOODY TONGUE BRCHICAGO             IL"/>
    <s v="2515 SOUTH WABASH AVE"/>
    <s v="CHICAGO_x000a_IL"/>
    <n v="60616"/>
    <s v="UNITED STATES"/>
    <s v="'320251370534099242'"/>
    <s v="Restaurant-Restaurant"/>
    <s v="DELTARESERVE"/>
    <x v="11"/>
  </r>
  <r>
    <d v="2025-05-16T00:00:00"/>
    <s v="TST* MOODY TONGUE BRCHICAGO             IL"/>
    <n v="160"/>
    <s v="21105175137 RESTAURANT_x000a_TST* MOODY TONGUE BREWING 00046083_x000a_CHICAGO_x000a_IL_x000a_RESTAURANT"/>
    <s v="TST* MOODY TONGUE BRCHICAGO             IL"/>
    <s v="2515 SOUTH WABASH AVE"/>
    <s v="CHICAGO_x000a_IL"/>
    <n v="60616"/>
    <s v="UNITED STATES"/>
    <s v="'320251370534173913'"/>
    <s v="Restaurant-Restaurant"/>
    <s v="DELTARESERVE"/>
    <x v="11"/>
  </r>
  <r>
    <d v="2025-05-16T00:00:00"/>
    <s v="COVERGIRL.MAXIM.COM SAN ANTONIO         TX"/>
    <n v="50"/>
    <s v="CH_3RPVGF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70543709590'"/>
    <s v="Business Services-Office Supplies"/>
    <s v="AMEXPLATINUM"/>
    <x v="3"/>
  </r>
  <r>
    <d v="2025-05-16T00:00:00"/>
    <s v="COVERGIRL.MAXIM.COM SAN ANTONIO         TX"/>
    <n v="100"/>
    <s v="CH_3RPVPMRO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70545577708'"/>
    <s v="Business Services-Office Supplies"/>
    <s v="AMEXPLATINUM"/>
    <x v="3"/>
  </r>
  <r>
    <d v="2025-05-17T00:00:00"/>
    <s v="UBER"/>
    <n v="43.5"/>
    <s v="M0A7VX61   THKELHYH         60601_x000a_Uber Trip_x000a_help.uber.com_x000a_CA_x000a_THKELHYH         60601"/>
    <s v="Uber Trip           help.uber.com       CA"/>
    <s v="1455 MARKET ST_x000a_4TH FLOOR"/>
    <s v="SAN FRANCISCO_x000a_CA"/>
    <n v="94103"/>
    <s v="UNITED STATES"/>
    <s v="'320251370524885197'"/>
    <s v="Transportation-Taxis &amp; Coach"/>
    <s v="DELTARESERVE"/>
    <x v="2"/>
  </r>
  <r>
    <d v="2025-05-17T00:00:00"/>
    <s v="UBER"/>
    <n v="49.67"/>
    <s v="H20ZG2SM   G2VDAPZW         60654_x000a_Uber Trip_x000a_help.uber.com_x000a_CA_x000a_G2VDAPZW         60654"/>
    <s v="Uber Trip           help.uber.com       CA"/>
    <s v="1455 MARKET ST_x000a_4TH FLOOR"/>
    <s v="SAN FRANCISCO_x000a_CA"/>
    <n v="94103"/>
    <s v="UNITED STATES"/>
    <s v="'320251370527367790'"/>
    <s v="Transportation-Taxis &amp; Coach"/>
    <s v="DELTARESERVE"/>
    <x v="2"/>
  </r>
  <r>
    <d v="2025-05-17T00:00:00"/>
    <s v="UBER"/>
    <n v="29.02"/>
    <s v="7987676K   NRRUE7P2         60616_x000a_Uber Trip_x000a_help.uber.com_x000a_CA_x000a_NRRUE7P2         60616"/>
    <s v="Uber Trip           help.uber.com       CA"/>
    <s v="1455 MARKET ST_x000a_4TH FLOOR"/>
    <s v="SAN FRANCISCO_x000a_CA"/>
    <n v="94103"/>
    <s v="UNITED STATES"/>
    <s v="'320251370528757920'"/>
    <s v="Transportation-Taxis &amp; Coach"/>
    <s v="DELTARESERVE"/>
    <x v="2"/>
  </r>
  <r>
    <d v="2025-05-17T00:00:00"/>
    <s v="TST* ASADOR BASTIAN CHICAGO             IL"/>
    <n v="1500"/>
    <s v="21105175137 RESTAURANT_x000a_TST* ASADOR BASTIAN 00114861_x000a_CHICAGO_x000a_IL_x000a_RESTAURANT"/>
    <s v="TST* ASADOR BASTIAN CHICAGO             IL"/>
    <s v="214 WEST ERIE ST"/>
    <s v="CHICAGO_x000a_IL"/>
    <n v="60654"/>
    <s v="UNITED STATES"/>
    <s v="'320251370533321561'"/>
    <s v="Restaurant-Restaurant"/>
    <s v="DELTARESERVE"/>
    <x v="11"/>
  </r>
  <r>
    <d v="2025-05-17T00:00:00"/>
    <s v="HYATT REGENCY CHICAGCHICAGO             IL"/>
    <n v="1637.6"/>
    <s v="56677002    855-869-0846_x000a_LODGING_x000a_HYATT REGENCY CHICAGO CHIR_x000a_CHICAGO_x000a_IL"/>
    <s v="HYATT REGENCY CHICAGCHICAGO             IL"/>
    <s v="151 EAST WACKER DR"/>
    <s v="CHICAGO_x000a_IL"/>
    <s v="60601-3764"/>
    <s v="UNITED STATES"/>
    <s v="'320251380552968647'"/>
    <s v="Travel-Lodging"/>
    <s v="DELTARESERVE"/>
    <x v="17"/>
  </r>
  <r>
    <d v="2025-05-17T00:00:00"/>
    <s v="ARISTON CAFE 0000   NEW YORK            NY"/>
    <n v="9.8000000000000007"/>
    <s v="40900278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380561730388'"/>
    <s v="Restaurant-Bar &amp; CafÃ©"/>
    <s v="AMEXPLATINUM"/>
    <x v="3"/>
  </r>
  <r>
    <d v="2025-05-17T00:00:00"/>
    <s v="CVS PHARMACY        NEW YORK            NY"/>
    <n v="18.489999999999998"/>
    <s v="10084427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1380561881502'"/>
    <s v="Merchandise &amp; Supplies-Pharmacies"/>
    <s v="AMEXPLATINUM"/>
    <x v="3"/>
  </r>
  <r>
    <d v="2025-05-17T00:00:00"/>
    <s v="JOEANDTHEJUICE      NEW YORK"/>
    <n v="12.01"/>
    <s v="######CNn0Y RESTAURANT_x000a_JOEANDTHEJUICE_x000a_NEW YORK_x000a_RESTAURANT"/>
    <s v="JOEANDTHEJUICE      NEW YORK"/>
    <s v="110 GREENE ST"/>
    <s v="NEW YORK_x000a_NY"/>
    <n v="10012"/>
    <s v="UNITED STATES"/>
    <s v="'320251380570951312'"/>
    <s v="Restaurant-Restaurant"/>
    <s v="AMEXPLATINUM"/>
    <x v="3"/>
  </r>
  <r>
    <d v="2025-05-17T00:00:00"/>
    <s v="HERTZ CAR RENTAL    OKLAHOMA CITY       OK"/>
    <n v="266.95"/>
    <s v="R/A# 960268724   +18006544173_x000a_HERTZ CAR RENTAL_x000a_OKLAHOMA CITY_x000a_OK"/>
    <s v="HERTZ CAR RENTAL    OKLAHOMA CITY       OK"/>
    <s v="5601 NORTH WEST EXPY"/>
    <s v="OKLAHOMA CITY_x000a_OK"/>
    <n v="73132"/>
    <s v="UNITED STATES"/>
    <s v="'320251410637300512'"/>
    <s v="Travel-Vehicle Rental"/>
    <s v="DELTARESERVE"/>
    <x v="9"/>
  </r>
  <r>
    <d v="2025-05-18T00:00:00"/>
    <s v="COVERGIRL.MAXIM.COM SAN ANTONIO         TX"/>
    <n v="500"/>
    <s v="CH_3RQ2JK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80549322935'"/>
    <s v="Business Services-Office Supplies"/>
    <s v="DELTARESERVE"/>
    <x v="3"/>
  </r>
  <r>
    <d v="2025-05-18T00:00:00"/>
    <s v="UBER"/>
    <n v="212.95"/>
    <s v="9490EWA8   WQQ3TEFX         60666_x000a_Uber Trip_x000a_help.uber.com_x000a_CA_x000a_WQQ3TEFX         60666"/>
    <s v="Uber Trip           help.uber.com       CA"/>
    <s v="1455 MARKET ST_x000a_4TH FLOOR"/>
    <s v="SAN FRANCISCO_x000a_CA"/>
    <n v="94103"/>
    <s v="UNITED STATES"/>
    <s v="'320251380551829267'"/>
    <s v="Transportation-Taxis &amp; Coach"/>
    <s v="DELTARESERVE"/>
    <x v="2"/>
  </r>
  <r>
    <d v="2025-05-18T00:00:00"/>
    <s v="TRAVEL DELAY 800-228-6855"/>
    <n v="9.9499999999999993"/>
    <s v="TKT NO. 01624870500595_x000a_TRAVEL DELAY 800-228-6855"/>
    <s v="TRAVEL DELAY 800-228-6855"/>
    <s v="3200 E CAMELBACK"/>
    <s v="PHOENIX_x000a_AZ"/>
    <n v="85016"/>
    <s v="UNITED STATES OF AMERICA (THE)"/>
    <s v="'320251380568619724'"/>
    <s v="Business Services-Insurance Services"/>
    <s v="DELTARESERVE"/>
    <x v="16"/>
  </r>
  <r>
    <d v="2025-05-18T00:00:00"/>
    <s v="BAGGAGE INSURANCE PREMIUM 800-228-6855"/>
    <n v="9.9499999999999993"/>
    <s v="TKT NO. 01624870500595_x000a_BAGGAGE INSURANCE PREMIUM 800-228-6855"/>
    <s v="BAGGAGE INSURANCE PREMIUM 800-228-6855"/>
    <s v="777 AMERICAN EXPRESSWAY_x000a_ATTN: TINA HYMAN"/>
    <s v="FT LAUDERDALE_x000a_FL"/>
    <n v="33337"/>
    <s v="UNITED STATES"/>
    <s v="'320251380568619725'"/>
    <s v="Business Services-Insurance Services"/>
    <s v="DELTARESERVE"/>
    <x v="16"/>
  </r>
  <r>
    <d v="2025-05-18T00:00:00"/>
    <s v="AIRFLIGHT INSURANCE PREMIUM 800-228-6855"/>
    <n v="14"/>
    <s v="TKT NO. 01624870500595_x000a_AIRFLIGHT INSURANCE PREMIUM 800-228-6855"/>
    <s v="AIRFLIGHT INSURANCE PREMIUM 800-228-6855"/>
    <s v="P O BOX 19020"/>
    <s v="GREENBAY_x000a_WI"/>
    <n v="54307"/>
    <s v="UNITED STATES"/>
    <s v="'320251380568619726'"/>
    <s v="Business Services-Insurance Services"/>
    <s v="DELTARESERVE"/>
    <x v="16"/>
  </r>
  <r>
    <d v="2025-05-18T00:00:00"/>
    <s v="PREM CAR RENTAL PROTECTION 800-228-6855"/>
    <n v="24.95"/>
    <s v="CRACH_3RPSSZ 05/16/2025 ALBANY_x000a_PREM CAR RENTAL PROTECTION 800-228-6855"/>
    <s v="PREM CAR RENTAL PROTECTION 800-228-6855"/>
    <s v="200 VESEY STREET_x000a_43RD FLOOR"/>
    <s v="NEW YORK_x000a_NY"/>
    <n v="10285"/>
    <s v="UNITED STATES"/>
    <s v="'320251380568619727'"/>
    <s v="Business Services-Insurance Services"/>
    <s v="DELTARESERVE"/>
    <x v="9"/>
  </r>
  <r>
    <d v="2025-05-18T00:00:00"/>
    <s v="JUICE GENERATION 19 NEW YORK            NY"/>
    <n v="13.01"/>
    <s v="00009057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1390579431663'"/>
    <s v="Restaurant-Bar &amp; CafÃ©"/>
    <s v="AMEXPLATINUM"/>
    <x v="3"/>
  </r>
  <r>
    <d v="2025-05-18T00:00:00"/>
    <s v="COVERGIRL.MAXIM.COM SAN ANTONIO         TX"/>
    <n v="50"/>
    <s v="CH_3RQLJM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90591467126'"/>
    <s v="Business Services-Office Supplies"/>
    <s v="DELTARESERVE"/>
    <x v="3"/>
  </r>
  <r>
    <d v="2025-05-19T00:00:00"/>
    <s v="COVERGIRL.MAXIM.COM SAN ANTONIO         TX"/>
    <n v="500"/>
    <s v="CH_3RQTKPAC +12102013197_x000a_COVERGIRL.MAXIM.COM_x000a_SAN ANTONIO_x000a_TX_x000a_+12102013197"/>
    <s v="COVERGIRL.MAXIM.COM SAN ANTONIO         TX"/>
    <s v="19100 RIDGEWOOD PKWY_x000a_SUITE 1200"/>
    <s v="SAN ANTONIO_x000a_TX"/>
    <n v="78259"/>
    <s v="UNITED STATES"/>
    <s v="'320251390575615233'"/>
    <s v="Business Services-Office Supplies"/>
    <s v="DELTARESERVE"/>
    <x v="3"/>
  </r>
  <r>
    <d v="2025-05-19T00:00:00"/>
    <s v="LA COLOMBE - NOHO   New York            NY"/>
    <n v="8.35"/>
    <s v="RA8AWFRW9uR squareup.com/receipts_x000a_LA COLOMBE - NOHO_x000a_New York_x000a_NY_x000a_squareup.com/receipts"/>
    <s v="LA COLOMBE - NOHO   New York            NY"/>
    <s v="400 LAFAYETTE ST"/>
    <s v="NEW YORK_x000a_NY"/>
    <n v="10003"/>
    <s v="UNITED STATES"/>
    <s v="'320251390580416177'"/>
    <s v="Restaurant-Restaurant"/>
    <s v="AMEXPLATINUM"/>
    <x v="3"/>
  </r>
  <r>
    <d v="2025-05-19T00:00:00"/>
    <s v="FACEBK *G9ANFQGRF2  MENLO PARK"/>
    <n v="31"/>
    <s v="97666871334 ADVERTISING SERVICE_x000a_FACEBK *G9ANFQGRF2_x000a_MENLO PARK_x000a_ADVERTISING SERVICE"/>
    <s v="FACEBK *G9ANFQGRF2  MENLO PARK"/>
    <s v="1 HACKER WAY"/>
    <s v="MENLO PARK_x000a_CA"/>
    <n v="94025"/>
    <s v="UNITED STATES"/>
    <s v="'320251390591006538'"/>
    <s v="Business Services-Advertising Services"/>
    <s v="AMEXPLATINUM"/>
    <x v="3"/>
  </r>
  <r>
    <d v="2025-05-19T00:00:00"/>
    <s v="NEW YORK UNIVERSITY NEW YORK            NY"/>
    <n v="26"/>
    <s v="######BpHcM CHARITABLE ORG_x000a_NEW YORK UNIVERSITY_x000a_NEW YORK_x000a_NY_x000a_CHARITABLE ORG"/>
    <s v="NEW YORK UNIVERSITY NEW YORK            NY"/>
    <s v="105 EAST 17TH ST FL 3"/>
    <s v="NEW YORK_x000a_NY"/>
    <n v="10003"/>
    <s v="UNITED STATES"/>
    <s v="'320251390598398049'"/>
    <s v="Other-Charities"/>
    <s v="AMEXPLATINUM"/>
    <x v="3"/>
  </r>
  <r>
    <d v="2025-05-19T00:00:00"/>
    <s v="NYU BOOKSTORE #2015 NEW YORK            NY"/>
    <n v="60.92"/>
    <s v="001068235931823593          10003_x000a_NYU BOOKSTORE #2015 000002015_x000a_NEW YORK_x000a_NY_x000a_1823593          10003"/>
    <s v="NYU BOOKSTORE #2015 NEW YORK            NY"/>
    <s v="726 BROADWAY"/>
    <s v="NEW YORK_x000a_NY"/>
    <n v="10003"/>
    <s v="UNITED STATES"/>
    <s v="'320251400611818222'"/>
    <s v="Merchandise &amp; Supplies-Book Stores"/>
    <s v="AMEXPLATINUM"/>
    <x v="3"/>
  </r>
  <r>
    <d v="2025-05-19T00:00:00"/>
    <s v="ERACTOLL 7Y329K     877-860-1258        NY"/>
    <n v="29.5"/>
    <s v="T195494945  877-860-1258_x000a_ERACTOLL 7Y329K_x000a_877-860-1258_x000a_NY_x000a_Description : ERACTOLL 7Y329K Price : 0.00_x000a_877-860-1258"/>
    <s v="ERACTOLL 7Y329K     877-860-1258        NY"/>
    <s v="-"/>
    <e v="#NAME?"/>
    <n v="11577"/>
    <s v="UNITED STATES"/>
    <s v="'320251400614089376'"/>
    <s v="Transportation-Tolls &amp; Fees"/>
    <s v="DELTARESERVE"/>
    <x v="9"/>
  </r>
  <r>
    <d v="2025-05-19T00:00:00"/>
    <s v="H BRICKMAN &amp; SONS 00NEW YORK            NY"/>
    <n v="9.91"/>
    <s v="625074      212-777-1500_x000a_H BRICKMAN &amp; SONS 0000_x000a_NEW YORK_x000a_NY_x000a_Description : HARDWARE/TOOLS Price : 0.00_x000a_212-777-1500"/>
    <s v="H BRICKMAN &amp; SONS 00NEW YORK            NY"/>
    <s v="125 WEST 3RD ST FRNT 1"/>
    <s v="NEW YORK_x000a_NY"/>
    <n v="10012"/>
    <s v="UNITED STATES"/>
    <s v="'320251400614417116'"/>
    <s v="Merchandise &amp; Supplies-Hardware Supplies"/>
    <s v="AMEXPLATINUM"/>
    <x v="3"/>
  </r>
  <r>
    <d v="2025-05-19T00:00:00"/>
    <s v="COVERGIRL.MAXIM.COM SAN ANTONIO         TX"/>
    <n v="250"/>
    <s v="CH_3RQJ6B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00617028869'"/>
    <s v="Business Services-Office Supplies"/>
    <s v="DELTARESERVE"/>
    <x v="3"/>
  </r>
  <r>
    <d v="2025-05-19T00:00:00"/>
    <s v="COVERGIRL.MAXIM.COM SAN ANTONIO         TX"/>
    <n v="250"/>
    <s v="CH_3RQJ7O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00620130946'"/>
    <s v="Business Services-Office Supplies"/>
    <s v="DELTARESERVE"/>
    <x v="3"/>
  </r>
  <r>
    <d v="2025-05-19T00:00:00"/>
    <s v="STEWARTS ICE CREAM  SARATOGA SPRINGS    NY"/>
    <n v="50.07"/>
    <s v="00251800009 5185811201_x000a_STEWARTS ICE CREAM_x000a_SARATOGA SPRINGS_x000a_NY_x000a_Description : AUTOMATED FUEL Price : 0.5007_x000a_5185811201"/>
    <s v="STEWARTS ICE CREAM  SARATOGA SPRINGS    NY"/>
    <s v="402 LK AVE"/>
    <s v="SARATOGA SPRINGS_x000a_NY"/>
    <n v="12866"/>
    <s v="UNITED STATES"/>
    <s v="'320251400624236276'"/>
    <s v="Transportation-Fuel"/>
    <s v="DELTARESERVE"/>
    <x v="7"/>
  </r>
  <r>
    <d v="2025-05-20T00:00:00"/>
    <s v="SPLICE.COM          NEW YORK            NY"/>
    <n v="13.9"/>
    <s v="CH_3RQRLRCF 3235775423_x000a_SPLICE.COM_x000a_NEW YORK_x000a_NY_x000a_3235775423"/>
    <s v="SPLICE.COM          NEW YORK            NY"/>
    <s v="817 BROADWAY FLOOR 4"/>
    <s v="NEW YORK_x000a_NY"/>
    <n v="10003"/>
    <s v="UNITED STATES"/>
    <s v="'320251400608812830'"/>
    <s v="Merchandise &amp; Supplies-Computer Supplies"/>
    <s v="AMEXPLATINUM"/>
    <x v="3"/>
  </r>
  <r>
    <d v="2025-05-20T00:00:00"/>
    <s v="ONLINE PAYMENT - THANK YOU"/>
    <n v="-5000"/>
    <s v="ONLINE PAYMENT - THANK YOU"/>
    <s v="ONLINE PAYMENT - THANK YOU"/>
    <m/>
    <m/>
    <m/>
    <m/>
    <s v="'320251410627352588'"/>
    <m/>
    <s v="DELTARESERVE"/>
    <x v="0"/>
  </r>
  <r>
    <d v="2025-05-20T00:00:00"/>
    <s v="JUICE GENERATION 19 NEW YORK            NY"/>
    <n v="13.01"/>
    <s v="00009387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1410635756865'"/>
    <s v="Restaurant-Bar &amp; CafÃ©"/>
    <s v="AMEXPLATINUM"/>
    <x v="3"/>
  </r>
  <r>
    <d v="2025-05-20T00:00:00"/>
    <s v="EXXONMOBIL 9765     NEW YORK            NY"/>
    <n v="46.81"/>
    <s v="00503044    212-989-3555_x000a_EXXONMOBIL 9765_x000a_NEW YORK_x000a_NY_x000a_Description : 001 Price : 0.00_x000a_212-989-3555"/>
    <s v="EXXONMOBIL 9765     NEW YORK            NY"/>
    <s v="-"/>
    <s v="(800) 243-9966_x000a_TX"/>
    <n v="77389"/>
    <s v="UNITED STATES"/>
    <s v="'320251410647166706'"/>
    <s v="Transportation-Fuel"/>
    <s v="DELTARESERVE"/>
    <x v="7"/>
  </r>
  <r>
    <d v="2025-05-20T00:00:00"/>
    <s v="COVERGIRL.MAXIM.COM SAN ANTONIO         TX"/>
    <n v="500"/>
    <s v="CH_3RR5BH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49009142'"/>
    <s v="Business Services-Office Supplies"/>
    <s v="DELTARESERVE"/>
    <x v="3"/>
  </r>
  <r>
    <d v="2025-05-20T00:00:00"/>
    <s v="COVERGIRL.MAXIM.COM SAN ANTONIO         TX"/>
    <n v="500"/>
    <s v="CH_3RR5C2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49010291'"/>
    <s v="Business Services-Office Supplies"/>
    <s v="DELTARESERVE"/>
    <x v="3"/>
  </r>
  <r>
    <d v="2025-05-20T00:00:00"/>
    <s v="COVERGIRL.MAXIM.COM SAN ANTONIO         TX"/>
    <n v="250"/>
    <s v="CH_3RR5DP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49010722'"/>
    <s v="Business Services-Office Supplies"/>
    <s v="DELTARESERVE"/>
    <x v="3"/>
  </r>
  <r>
    <d v="2025-05-20T00:00:00"/>
    <s v="COVERGIRL.MAXIM.COM SAN ANTONIO         TX"/>
    <n v="500"/>
    <s v="CH_3RR5ER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49011519'"/>
    <s v="Business Services-Office Supplies"/>
    <s v="DELTARESERVE"/>
    <x v="3"/>
  </r>
  <r>
    <d v="2025-05-20T00:00:00"/>
    <s v="COVERGIRL.MAXIM.COM SAN ANTONIO         TX"/>
    <n v="250"/>
    <s v="CH_3RR5IU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49015057'"/>
    <s v="Business Services-Office Supplies"/>
    <s v="DELTARESERVE"/>
    <x v="3"/>
  </r>
  <r>
    <d v="2025-05-20T00:00:00"/>
    <s v="COVERGIRL.MAXIM.COM SAN ANTONIO         TX"/>
    <n v="250"/>
    <s v="CH_3RR5HN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49015390'"/>
    <s v="Business Services-Office Supplies"/>
    <s v="DELTARESERVE"/>
    <x v="3"/>
  </r>
  <r>
    <d v="2025-05-20T00:00:00"/>
    <s v="COVERGIRL.MAXIM.COM SAN ANTONIO         TX"/>
    <n v="500"/>
    <s v="CH_3RR5J2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49016152'"/>
    <s v="Business Services-Office Supplies"/>
    <s v="DELTARESERVE"/>
    <x v="3"/>
  </r>
  <r>
    <d v="2025-05-21T00:00:00"/>
    <s v="ONLINE PAYMENT - THANK YOU"/>
    <n v="-5000"/>
    <s v="ONLINE PAYMENT - THANK YOU"/>
    <s v="ONLINE PAYMENT - THANK YOU"/>
    <m/>
    <m/>
    <m/>
    <m/>
    <s v="'320251410629035068'"/>
    <m/>
    <s v="DELTARESERVE"/>
    <x v="0"/>
  </r>
  <r>
    <d v="2025-05-21T00:00:00"/>
    <s v="COVERGIRL.MAXIM.COM SAN ANTONIO         TX"/>
    <n v="2000"/>
    <s v="CH_3RRE7U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31536815'"/>
    <s v="Business Services-Office Supplies"/>
    <s v="DELTARESERVE"/>
    <x v="3"/>
  </r>
  <r>
    <d v="2025-05-21T00:00:00"/>
    <s v="COVERGIRL.MAXIM.COM SAN ANTONIO         TX"/>
    <n v="50"/>
    <s v="CH_3RRCJC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33037949'"/>
    <s v="Business Services-Office Supplies"/>
    <s v="DELTARESERVE"/>
    <x v="3"/>
  </r>
  <r>
    <d v="2025-05-21T00:00:00"/>
    <s v="COVERGIRL.MAXIM.COM SAN ANTONIO         TX"/>
    <n v="250"/>
    <s v="CH_3RRCKG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33038428'"/>
    <s v="Business Services-Office Supplies"/>
    <s v="DELTARESERVE"/>
    <x v="3"/>
  </r>
  <r>
    <d v="2025-05-21T00:00:00"/>
    <s v="COVERGIRL.MAXIM.COM SAN ANTONIO         TX"/>
    <n v="250"/>
    <s v="CH_3RRCUU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33072756'"/>
    <s v="Business Services-Office Supplies"/>
    <s v="DELTARESERVE"/>
    <x v="3"/>
  </r>
  <r>
    <d v="2025-05-21T00:00:00"/>
    <s v="COVERGIRL.MAXIM.COM SAN ANTONIO         TX"/>
    <n v="250"/>
    <s v="CH_3RRCVA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10633073455'"/>
    <s v="Business Services-Office Supplies"/>
    <s v="DELTARESERVE"/>
    <x v="3"/>
  </r>
  <r>
    <d v="2025-05-21T00:00:00"/>
    <s v="THE CLEANERS IO, LLCNew York            NY"/>
    <n v="49.13"/>
    <s v="5ImkITPpNT4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410633475445'"/>
    <s v="Business Services-Other Services"/>
    <s v="DELTARESERVE"/>
    <x v="8"/>
  </r>
  <r>
    <d v="2025-05-21T00:00:00"/>
    <s v="UBER"/>
    <n v="9.57"/>
    <s v="28W3E1ED   3C6NGBCA         10012_x000a_Uber Trip_x000a_help.uber.com_x000a_CA_x000a_3C6NGBCA         10012"/>
    <s v="Uber Trip           help.uber.com       CA"/>
    <s v="1455 MARKET ST_x000a_4TH FLOOR"/>
    <s v="SAN FRANCISCO_x000a_CA"/>
    <n v="94103"/>
    <s v="UNITED STATES"/>
    <s v="'320251410636686844'"/>
    <s v="Transportation-Taxis &amp; Coach"/>
    <s v="DELTARESERVE"/>
    <x v="2"/>
  </r>
  <r>
    <d v="2025-05-21T00:00:00"/>
    <s v="ONLINE PAYMENT - THANK YOU"/>
    <n v="-2500"/>
    <s v="ONLINE PAYMENT - THANK YOU"/>
    <s v="ONLINE PAYMENT - THANK YOU"/>
    <m/>
    <m/>
    <m/>
    <m/>
    <s v="'320251420653808514'"/>
    <m/>
    <s v="AMEXPLATINUM"/>
    <x v="0"/>
  </r>
  <r>
    <d v="2025-05-21T00:00:00"/>
    <s v="ONLINE PAYMENT - THANK YOU"/>
    <n v="-2500"/>
    <s v="ONLINE PAYMENT - THANK YOU"/>
    <s v="ONLINE PAYMENT - THANK YOU"/>
    <m/>
    <m/>
    <m/>
    <m/>
    <s v="'320251420654365035'"/>
    <m/>
    <s v="DELTARESERVE"/>
    <x v="0"/>
  </r>
  <r>
    <d v="2025-05-21T00:00:00"/>
    <s v="COVERGIRL.MAXIM.COM SAN ANTONIO         TX"/>
    <n v="1000"/>
    <s v="CH_3RRFEW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20667549134'"/>
    <s v="Business Services-Office Supplies"/>
    <s v="DELTARESERVE"/>
    <x v="3"/>
  </r>
  <r>
    <d v="2025-05-21T00:00:00"/>
    <s v="CANVA* I04523-890043CAMDEN              DE"/>
    <n v="15"/>
    <s v="CH_2RRKENK8 +17372853388_x000a_CANVA* I04523-89004349_x000a_CAMDEN_x000a_DE_x000a_+17372853388"/>
    <s v="CANVA* I04523-890043CAMDEN              DE"/>
    <s v="2140 SOUTH DUPONT HWY"/>
    <s v="CAMDEN_x000a_DE"/>
    <n v="19934"/>
    <s v="UNITED STATES"/>
    <s v="'320251420670188684'"/>
    <s v="Business Services-Professional Services"/>
    <s v="AMEXPLATINUM"/>
    <x v="1"/>
  </r>
  <r>
    <d v="2025-05-21T00:00:00"/>
    <s v="COVERGIRL.MAXIM.COM SAN ANTONIO         TX"/>
    <n v="500"/>
    <s v="CH_3RRMX0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20671874734'"/>
    <s v="Business Services-Office Supplies"/>
    <s v="DELTARESERVE"/>
    <x v="3"/>
  </r>
  <r>
    <d v="2025-05-21T00:00:00"/>
    <s v="COVERGIRL.MAXIM.COM SAN ANTONIO         TX"/>
    <n v="500"/>
    <s v="CH_3RRNGC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20671908695'"/>
    <s v="Business Services-Office Supplies"/>
    <s v="DELTARESERVE"/>
    <x v="3"/>
  </r>
  <r>
    <d v="2025-05-21T00:00:00"/>
    <s v="COVERGIRL.MAXIM.COM SAN ANTONIO         TX"/>
    <n v="250"/>
    <s v="CH_3RRMBC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20674016674'"/>
    <s v="Business Services-Office Supplies"/>
    <s v="DELTARESERVE"/>
    <x v="3"/>
  </r>
  <r>
    <d v="2025-05-21T00:00:00"/>
    <s v="COVERGIRL.MAXIM.COM SAN ANTONIO         TX"/>
    <n v="250"/>
    <s v="CH_3RRMBV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20674019780'"/>
    <s v="Business Services-Office Supplies"/>
    <s v="DELTARESERVE"/>
    <x v="3"/>
  </r>
  <r>
    <d v="2025-05-21T00:00:00"/>
    <s v="COVERGIRL.MAXIM.COM SAN ANTONIO         TX"/>
    <n v="500"/>
    <s v="CH_3RRMCO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20674021596'"/>
    <s v="Business Services-Office Supplies"/>
    <s v="DELTARESERVE"/>
    <x v="3"/>
  </r>
  <r>
    <d v="2025-05-21T00:00:00"/>
    <s v="COVERGIRL.MAXIM.COM SAN ANTONIO         TX"/>
    <n v="500"/>
    <s v="CH_3RRJVR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20675572699'"/>
    <s v="Business Services-Office Supplies"/>
    <s v="DELTARESERVE"/>
    <x v="3"/>
  </r>
  <r>
    <d v="2025-05-22T00:00:00"/>
    <s v="OPENAI *CHATGPT SUBSSAN FRANCISCO       CA"/>
    <n v="21.4"/>
    <s v="CH_3RRAADC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1420662327111'"/>
    <s v="Merchandise &amp; Supplies-Computer Supplies"/>
    <s v="DELTARESERVE"/>
    <x v="1"/>
  </r>
  <r>
    <d v="2025-05-22T00:00:00"/>
    <s v="MICROSOFT#G093237240MSBILL.INFO         WA"/>
    <n v="957.87"/>
    <s v="Z7364EPPVALZ7364EPPVALQ     12866-_x000a_COMPUTER EQUIP/SOFTWARE_x000a_MICROSOFT#G093237240 2BMO_x000a_MSBILL.INFO_x000a_WA_x000a_COMPUTER EQUIP/SOFTWARE_x000a_Z7364EPPVALQ     12866-"/>
    <s v="MICROSOFT#G093237240MSBILL.INFO         WA"/>
    <s v="1 MICROSOFT WAY"/>
    <s v="REDMOND_x000a_WA"/>
    <n v="98052"/>
    <s v="UNITED STATES"/>
    <s v="'320251420674274862'"/>
    <s v="Other-Miscellaneous"/>
    <s v="DELTARESERVE"/>
    <x v="1"/>
  </r>
  <r>
    <d v="2025-05-22T00:00:00"/>
    <s v="CVS/PHARMACY #10612 MANHATTAN           NY"/>
    <n v="2.98"/>
    <s v="10172418   8007467287_x000a_PHARMACIES_x000a_CVS/PHARMACY #10612 000010612_x000a_MANHATTAN_x000a_NY_x000a_PHARMACIES_x000a_8007467287"/>
    <s v="CVS/PHARMACY #10612 MANHATTAN           NY"/>
    <s v="5TH AVE 14TH ST_x000a_SEC"/>
    <s v="MANHATTAN_x000a_NY"/>
    <n v="10011"/>
    <s v="UNITED STATES"/>
    <s v="'320251430700345036'"/>
    <s v="Merchandise &amp; Supplies-Pharmacies"/>
    <s v="AMEXPLATINUM"/>
    <x v="3"/>
  </r>
  <r>
    <d v="2025-05-22T00:00:00"/>
    <s v="CVS PHARMACY        NEW YORK            NY"/>
    <n v="106.3"/>
    <s v="10171515    8007467287_x000a_CVS PHARMACY_x000a_NEW YORK_x000a_NY_x000a_Description : PHARMACIES Price : 1.063_x000a_8007467287"/>
    <s v="CVS PHARMACY        NEW YORK            NY"/>
    <s v="158 BLEECKER ST"/>
    <s v="NEW YORK_x000a_NY"/>
    <n v="10012"/>
    <s v="UNITED STATES"/>
    <s v="'320251430701010427'"/>
    <s v="Merchandise &amp; Supplies-Pharmacies"/>
    <s v="AMEXPLATINUM"/>
    <x v="3"/>
  </r>
  <r>
    <d v="2025-05-22T00:00:00"/>
    <s v="ARISTON CAFE 0000   NEW YORK            NY"/>
    <n v="23.41"/>
    <s v="40900216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430702520916'"/>
    <s v="Restaurant-Bar &amp; CafÃ©"/>
    <s v="AMEXPLATINUM"/>
    <x v="3"/>
  </r>
  <r>
    <d v="2025-05-23T00:00:00"/>
    <s v="IMDB                IMDB.COM            WA"/>
    <n v="163.30000000000001"/>
    <s v="4Y1LS6Q47NRSUBSCRIPTION_x000a_IMDBPRO.COMSUBSCRIPTION_x000a_IMDB_x000a_IMDB.COM_x000a_WA_x000a_IMDBPRO.COMSUBSCRIPTION_x000a_SUBSCRIPTION"/>
    <s v="IMDB                IMDB.COM            WA"/>
    <s v="81226 PO BOX"/>
    <s v="SEATTLE_x000a_WA"/>
    <n v="98108"/>
    <s v="UNITED STATES"/>
    <s v="'320251430688923634'"/>
    <s v="Merchandise &amp; Supplies-Internet Purchase"/>
    <s v="AMEXPLATINUM"/>
    <x v="3"/>
  </r>
  <r>
    <d v="2025-05-23T00:00:00"/>
    <s v="WEGMANS ASTOR PLACE NEW YORK            NY"/>
    <n v="55.53"/>
    <s v="W15639100735854293656_x000a_WEGMANS ASTOR PLACE 156 000000156_x000a_NEW YORK_x000a_NY_x000a_5854293656"/>
    <s v="WEGMANS ASTOR PLACE NEW YORK            NY"/>
    <s v="770 BROADWAY"/>
    <s v="NEW YORK_x000a_NY"/>
    <n v="10003"/>
    <s v="UNITED STATES"/>
    <s v="'320251440730675180'"/>
    <s v="Merchandise &amp; Supplies-Groceries"/>
    <s v="AMEXPLATINUM"/>
    <x v="3"/>
  </r>
  <r>
    <d v="2025-05-23T00:00:00"/>
    <s v="NEW YORK C* NY COMEDNEW YORK            NY"/>
    <n v="208.29"/>
    <s v="CH_3RS6UIGN +15167789814_x000a_NEW YORK C* NY COMEDY_x000a_NEW YORK_x000a_NY_x000a_+15167789814"/>
    <s v="NEW YORK C* NY COMEDNEW YORK            NY"/>
    <s v="85 EAST 4TH ST"/>
    <s v="NEW YORK_x000a_NY"/>
    <n v="10003"/>
    <s v="UNITED STATES"/>
    <s v="'320251440735034001'"/>
    <s v="Entertainment-Associations"/>
    <s v="DELTARESERVE"/>
    <x v="3"/>
  </r>
  <r>
    <d v="2025-05-24T00:00:00"/>
    <s v="UBER"/>
    <n v="33.770000000000003"/>
    <s v="E84MK7GT   THAYXIYW         10003_x000a_Uber Trip_x000a_help.uber.com_x000a_CA_x000a_THAYXIYW         10003"/>
    <s v="Uber Trip           help.uber.com       CA"/>
    <s v="1455 MARKET ST_x000a_4TH FLOOR"/>
    <s v="SAN FRANCISCO_x000a_CA"/>
    <n v="94103"/>
    <s v="UNITED STATES"/>
    <s v="'320251440720617713'"/>
    <s v="Transportation-Taxis &amp; Coach"/>
    <s v="DELTARESERVE"/>
    <x v="2"/>
  </r>
  <r>
    <d v="2025-05-24T00:00:00"/>
    <s v="UBER"/>
    <n v="29.71"/>
    <s v="818AW7YN   E44DMAUL         10013_x000a_Uber Trip_x000a_help.uber.com_x000a_CA_x000a_E44DMAUL         10013"/>
    <s v="Uber Trip           help.uber.com       CA"/>
    <s v="1455 MARKET ST_x000a_4TH FLOOR"/>
    <s v="SAN FRANCISCO_x000a_CA"/>
    <n v="94103"/>
    <s v="UNITED STATES"/>
    <s v="'320251440720839300'"/>
    <s v="Transportation-Taxis &amp; Coach"/>
    <s v="DELTARESERVE"/>
    <x v="2"/>
  </r>
  <r>
    <d v="2025-05-24T00:00:00"/>
    <s v="UBER"/>
    <n v="61"/>
    <s v="2Z23WXXM   EZOYAUT6         10013_x000a_Uber Trip_x000a_help.uber.com_x000a_CA_x000a_EZOYAUT6         10013"/>
    <s v="Uber Trip           help.uber.com       CA"/>
    <s v="1455 MARKET ST_x000a_4TH FLOOR"/>
    <s v="SAN FRANCISCO_x000a_CA"/>
    <n v="94103"/>
    <s v="UNITED STATES"/>
    <s v="'320251440721030859'"/>
    <s v="Transportation-Taxis &amp; Coach"/>
    <s v="DELTARESERVE"/>
    <x v="2"/>
  </r>
  <r>
    <d v="2025-05-24T00:00:00"/>
    <s v="MATTO @ M57         New York            NY"/>
    <n v="9.17"/>
    <s v="pUSj7bgfqT1 squareup.com/receipts_x000a_MATTO @ M57_x000a_New York_x000a_NY_x000a_squareup.com/receipts"/>
    <s v="MATTO @ M57         New York            NY"/>
    <s v="696 LEXINGTON AVE"/>
    <s v="NEW YORK_x000a_NY"/>
    <n v="10022"/>
    <s v="UNITED STATES"/>
    <s v="'320251440721599390'"/>
    <s v="Restaurant-Bar &amp; CafÃ©"/>
    <s v="AMEXPLATINUM"/>
    <x v="3"/>
  </r>
  <r>
    <d v="2025-05-24T00:00:00"/>
    <s v="UBER"/>
    <n v="47.46"/>
    <s v="K08QJ15T   MOSUS3JJ         10001_x000a_Uber Trip_x000a_help.uber.com_x000a_CA_x000a_MOSUS3JJ         10001"/>
    <s v="Uber Trip           help.uber.com       CA"/>
    <s v="1455 MARKET ST_x000a_4TH FLOOR"/>
    <s v="SAN FRANCISCO_x000a_CA"/>
    <n v="94103"/>
    <s v="UNITED STATES"/>
    <s v="'320251440722934210'"/>
    <s v="Transportation-Taxis &amp; Coach"/>
    <s v="DELTARESERVE"/>
    <x v="2"/>
  </r>
  <r>
    <d v="2025-05-24T00:00:00"/>
    <s v="NYCT PAYGO          NEW YORK            NY"/>
    <n v="2.9"/>
    <s v="00822157028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1450752523913'"/>
    <s v="Transportation-Rail Services"/>
    <s v="AMEXPLATINUM"/>
    <x v="14"/>
  </r>
  <r>
    <d v="2025-05-24T00:00:00"/>
    <s v="ERACTOLL 7Y329K     877-860-1258        NY"/>
    <n v="0.49"/>
    <s v="T195948991  877-860-1258_x000a_ERACTOLL 7Y329K_x000a_877-860-1258_x000a_NY_x000a_Description : ERACTOLL 7Y329K Price : 0.00_x000a_877-860-1258"/>
    <s v="ERACTOLL 7Y329K     877-860-1258        NY"/>
    <s v="-"/>
    <e v="#NAME?"/>
    <n v="11577"/>
    <s v="UNITED STATES"/>
    <s v="'320251450753621505'"/>
    <s v="Transportation-Tolls &amp; Fees"/>
    <s v="DELTARESERVE"/>
    <x v="9"/>
  </r>
  <r>
    <d v="2025-05-24T00:00:00"/>
    <s v="NYCT PAYGO          NEW YORK            NY"/>
    <n v="2.9"/>
    <s v="00822107635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1450753677384'"/>
    <s v="Transportation-Rail Services"/>
    <s v="AMEXPLATINUM"/>
    <x v="14"/>
  </r>
  <r>
    <d v="2025-05-24T00:00:00"/>
    <s v="COVERGIRL.MAXIM.COM SAN ANTONIO         TX"/>
    <n v="10"/>
    <s v="CH_3RSTI7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50757648711'"/>
    <s v="Business Services-Office Supplies"/>
    <s v="AMEXPLATINUM"/>
    <x v="3"/>
  </r>
  <r>
    <d v="2025-05-25T00:00:00"/>
    <s v="TST* LE PAIN QUOTIDINEW YORK            NY"/>
    <n v="7.89"/>
    <s v="PEjdXMsdY00 2125055861_x000a_TST* LE PAIN QUOTIDIEN - 300559726_x000a_NEW YORK_x000a_NY_x000a_Description : RESTAURANTS Price : 0.0789_x000a_2125055861"/>
    <s v="TST* LE PAIN QUOTIDINEW YORK            NY"/>
    <s v="CENTRAL PARK_x000a_KIOSK E 72ND STREET 5TH AVE"/>
    <s v="NEW YORK_x000a_NY"/>
    <n v="10004"/>
    <s v="UNITED STATES"/>
    <s v="'320251450753906546'"/>
    <s v="Restaurant-Restaurant"/>
    <s v="AMEXPLATINUM"/>
    <x v="3"/>
  </r>
  <r>
    <d v="2025-05-25T00:00:00"/>
    <s v="FACEBK *959CTR8RF2  MENLO PARK"/>
    <n v="35"/>
    <s v="99193821348 ADVERTISING SERVICE_x000a_FACEBK *959CTR8RF2_x000a_MENLO PARK_x000a_ADVERTISING SERVICE"/>
    <s v="FACEBK *959CTR8RF2  MENLO PARK"/>
    <s v="1 HACKER WAY"/>
    <s v="MENLO PARK_x000a_CA"/>
    <n v="94025"/>
    <s v="UNITED STATES"/>
    <s v="'320251450761332709'"/>
    <s v="Business Services-Advertising Services"/>
    <s v="AMEXPLATINUM"/>
    <x v="3"/>
  </r>
  <r>
    <d v="2025-05-25T00:00:00"/>
    <s v="JUICE GENERATION 19 NEW YORK            NY"/>
    <n v="12.79"/>
    <s v="00007844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1460771922313'"/>
    <s v="Restaurant-Bar &amp; CafÃ©"/>
    <s v="AMEXPLATINUM"/>
    <x v="3"/>
  </r>
  <r>
    <d v="2025-05-25T00:00:00"/>
    <s v="NYCT PAYGO          NEW YORK            NY"/>
    <n v="2.9"/>
    <s v="00822584533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1460774651914'"/>
    <s v="Transportation-Rail Services"/>
    <s v="AMEXPLATINUM"/>
    <x v="14"/>
  </r>
  <r>
    <d v="2025-05-25T00:00:00"/>
    <s v="WEGMANS ASTOR PLACE NEW YORK            NY"/>
    <n v="64.64"/>
    <s v="W15639800255854293656_x000a_WEGMANS ASTOR PLACE 156 000000156_x000a_NEW YORK_x000a_NY_x000a_5854293656"/>
    <s v="WEGMANS ASTOR PLACE NEW YORK            NY"/>
    <s v="770 BROADWAY"/>
    <s v="NEW YORK_x000a_NY"/>
    <n v="10003"/>
    <s v="UNITED STATES"/>
    <s v="'320251460778106840'"/>
    <s v="Merchandise &amp; Supplies-Groceries"/>
    <s v="AMEXPLATINUM"/>
    <x v="3"/>
  </r>
  <r>
    <d v="2025-05-25T00:00:00"/>
    <s v="WWW.RISENY* WWW.RISENEW YORK            NY"/>
    <n v="137.18"/>
    <s v="CH_3RSG61AC +18338783967_x000a_WWW.RISENY* WWW.RISENY_x000a_NEW YORK_x000a_NY_x000a_+18338783967"/>
    <s v="WWW.RISENY* WWW.RISENEW YORK            NY"/>
    <s v="70 WEST 40TH ST_x000a_9TH FLOOR"/>
    <s v="NEW YORK_x000a_NY"/>
    <n v="10018"/>
    <s v="UNITED STATES"/>
    <s v="'320251460784612761'"/>
    <s v="Entertainment-General Attractions"/>
    <s v="DELTARESERVE"/>
    <x v="3"/>
  </r>
  <r>
    <d v="2025-05-26T00:00:00"/>
    <s v="UBER"/>
    <n v="45.79"/>
    <s v="7BJ5MVHT   S3JWKNOB         10012_x000a_Uber Trip_x000a_help.uber.com_x000a_CA_x000a_S3JWKNOB         10012"/>
    <s v="Uber Trip           help.uber.com       CA"/>
    <s v="1455 MARKET ST_x000a_4TH FLOOR"/>
    <s v="SAN FRANCISCO_x000a_CA"/>
    <n v="94103"/>
    <s v="UNITED STATES"/>
    <s v="'320251460767844286'"/>
    <s v="Transportation-Taxis &amp; Coach"/>
    <s v="DELTARESERVE"/>
    <x v="2"/>
  </r>
  <r>
    <d v="2025-05-26T00:00:00"/>
    <s v="AMAZON PRIME*NZ51H3R888-802-3080        WA"/>
    <n v="10.99"/>
    <s v="3A8T3U2PA74 DIGITAL_x000a_AMAZON PRIME*NZ51H3RF0_x000a_888-802-3080_x000a_WA_x000a_DIGITAL"/>
    <s v="AMAZON PRIME*NZ51H3R888-802-3080        WA"/>
    <s v="1512 2ND AVE"/>
    <s v="SEATTLE_x000a_WA"/>
    <s v="98101-1508"/>
    <s v="UNITED STATES"/>
    <s v="'320251460769509332'"/>
    <s v="Merchandise &amp; Supplies-Internet Purchase"/>
    <s v="DELTARESERVE"/>
    <x v="3"/>
  </r>
  <r>
    <d v="2025-05-26T00:00:00"/>
    <s v="UBER"/>
    <n v="43.85"/>
    <s v="KPRN36V9   ZBX6PMCK         10001_x000a_Uber Trip_x000a_help.uber.com_x000a_CA_x000a_ZBX6PMCK         10001"/>
    <s v="Uber Trip           help.uber.com       CA"/>
    <s v="1455 MARKET ST_x000a_4TH FLOOR"/>
    <s v="SAN FRANCISCO_x000a_CA"/>
    <n v="94103"/>
    <s v="UNITED STATES"/>
    <s v="'320251460771880988'"/>
    <s v="Transportation-Taxis &amp; Coach"/>
    <s v="DELTARESERVE"/>
    <x v="2"/>
  </r>
  <r>
    <d v="2025-05-26T00:00:00"/>
    <s v="UBER"/>
    <n v="56.14"/>
    <s v="B160QYW1   UTUTKEP4         10012_x000a_Uber Trip_x000a_help.uber.com_x000a_CA_x000a_UTUTKEP4         10012"/>
    <s v="Uber Trip           help.uber.com       CA"/>
    <s v="1455 MARKET ST_x000a_4TH FLOOR"/>
    <s v="SAN FRANCISCO_x000a_CA"/>
    <n v="94103"/>
    <s v="UNITED STATES"/>
    <s v="'320251460772207401'"/>
    <s v="Transportation-Taxis &amp; Coach"/>
    <s v="DELTARESERVE"/>
    <x v="2"/>
  </r>
  <r>
    <d v="2025-05-26T00:00:00"/>
    <s v="KYDLABS             NEW YORK            NY"/>
    <n v="114.94"/>
    <s v="CH_3RT5T1GM +13322063950_x000a_KYDLABS_x000a_NEW YORK_x000a_NY_x000a_+13322063950"/>
    <s v="KYDLABS             NEW YORK            NY"/>
    <s v="228 PARK AVE SOUTH"/>
    <s v="NEW YORK_x000a_NY"/>
    <n v="10003"/>
    <s v="UNITED STATES"/>
    <s v="'320251460788991807'"/>
    <s v="Entertainment-General Events"/>
    <s v="AMEXPLATINUM"/>
    <x v="3"/>
  </r>
  <r>
    <d v="2025-05-26T00:00:00"/>
    <s v="COVERGIRL.MAXIM.COM SAN ANTONIO         TX"/>
    <n v="20"/>
    <s v="CH_3RT3WN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60791106454'"/>
    <s v="Business Services-Office Supplies"/>
    <s v="AMEXPLATINUM"/>
    <x v="3"/>
  </r>
  <r>
    <d v="2025-05-26T00:00:00"/>
    <s v="JUICE GENERATION 19 NEW YORK            NY"/>
    <n v="13.01"/>
    <s v="00008097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1470801562084'"/>
    <s v="Restaurant-Bar &amp; CafÃ©"/>
    <s v="AMEXPLATINUM"/>
    <x v="3"/>
  </r>
  <r>
    <d v="2025-05-26T00:00:00"/>
    <s v="Zaytinya St         New York            NY"/>
    <n v="450"/>
    <s v="1911       1911             10001_x000a_Zaytinya St_x000a_New York_x000a_NY_x000a_1911             10001"/>
    <s v="Zaytinya St         New York            NY"/>
    <s v="1185 BROADWAY"/>
    <s v="NEW YORK_x000a_NY"/>
    <n v="10001"/>
    <s v="UNITED STATES"/>
    <s v="'320251470807820174'"/>
    <s v="Restaurant-Restaurant"/>
    <s v="DELTARESERVE"/>
    <x v="11"/>
  </r>
  <r>
    <d v="2025-05-26T00:00:00"/>
    <s v="Nubeluz             New York            NY"/>
    <n v="426"/>
    <s v="3727       3727             10001_x000a_Nubeluz_x000a_New York_x000a_NY_x000a_3727             10001"/>
    <s v="Nubeluz             New York            NY"/>
    <s v="1185 BROADWAY"/>
    <s v="NEW YORK_x000a_NY"/>
    <n v="10001"/>
    <s v="UNITED STATES"/>
    <s v="'320251470807919962'"/>
    <s v="Restaurant-Restaurant"/>
    <s v="DELTARESERVE"/>
    <x v="11"/>
  </r>
  <r>
    <d v="2025-05-26T00:00:00"/>
    <s v="CLEARME.COM         NEW YORK            NY"/>
    <n v="199"/>
    <s v="CH_3RTAA8C8 +18552532763_x000a_CLEARME.COM_x000a_NEW YORK_x000a_NY_x000a_+18552532763"/>
    <s v="CLEARME.COM         NEW YORK            NY"/>
    <s v="10TH FLOOR_x000a_85 TENTH AVENUE"/>
    <s v="NEW YORK_x000a_NY"/>
    <n v="10011"/>
    <s v="UNITED STATES"/>
    <s v="'320251470813962603'"/>
    <s v="Business Services-Professional Services"/>
    <s v="DELTARESERVE"/>
    <x v="16"/>
  </r>
  <r>
    <d v="2025-05-26T00:00:00"/>
    <s v="CALENDLY            AVONDALE ESTATES    GA"/>
    <n v="16.05"/>
    <s v="CH_3RTBFL4Y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1470814030030'"/>
    <s v="Merchandise &amp; Supplies-Computer Supplies"/>
    <s v="AMEXPLATINUM"/>
    <x v="1"/>
  </r>
  <r>
    <d v="2025-05-27T00:00:00"/>
    <s v="THE PORTRAIT BAR    NEW YORK            NY"/>
    <n v="60"/>
    <s v="CH_3RTRC9IC +12122319200_x000a_THE PORTRAIT BAR_x000a_NEW YORK_x000a_NY_x000a_+12122319200"/>
    <s v="THE PORTRAIT BAR    NEW YORK            NY"/>
    <s v="250 5TH AVE"/>
    <s v="NEW YORK_x000a_NY"/>
    <n v="10001"/>
    <s v="UNITED STATES"/>
    <s v="'320251470796393731'"/>
    <s v="Restaurant-Bar &amp; CafÃ©"/>
    <s v="AMEXPLATINUM"/>
    <x v="3"/>
  </r>
  <r>
    <d v="2025-05-27T00:00:00"/>
    <s v="UBER"/>
    <n v="39.56"/>
    <s v="BTRAM6ND   YY6JTMGG         10001_x000a_Uber Trip_x000a_help.uber.com_x000a_CA_x000a_YY6JTMGG         10001"/>
    <s v="Uber Trip           help.uber.com       CA"/>
    <s v="1455 MARKET ST_x000a_4TH FLOOR"/>
    <s v="SAN FRANCISCO_x000a_CA"/>
    <n v="94103"/>
    <s v="UNITED STATES"/>
    <s v="'320251470800852907'"/>
    <s v="Transportation-Taxis &amp; Coach"/>
    <s v="DELTARESERVE"/>
    <x v="2"/>
  </r>
  <r>
    <d v="2025-05-27T00:00:00"/>
    <s v="UBER"/>
    <n v="29.53"/>
    <s v="HR9C4EX4   EWY334ND         10001_x000a_Uber Trip_x000a_help.uber.com_x000a_CA_x000a_EWY334ND         10001"/>
    <s v="Uber Trip           help.uber.com       CA"/>
    <s v="1455 MARKET ST_x000a_4TH FLOOR"/>
    <s v="SAN FRANCISCO_x000a_CA"/>
    <n v="94103"/>
    <s v="UNITED STATES"/>
    <s v="'320251470801704053'"/>
    <s v="Transportation-Taxis &amp; Coach"/>
    <s v="DELTARESERVE"/>
    <x v="2"/>
  </r>
  <r>
    <d v="2025-05-27T00:00:00"/>
    <s v="UBER"/>
    <n v="30.21"/>
    <s v="7CJFAZYN   S6JLGUJY         10012_x000a_Uber Trip_x000a_help.uber.com_x000a_CA_x000a_S6JLGUJY         10012"/>
    <s v="Uber Trip           help.uber.com       CA"/>
    <s v="1455 MARKET ST_x000a_4TH FLOOR"/>
    <s v="SAN FRANCISCO_x000a_CA"/>
    <n v="94103"/>
    <s v="UNITED STATES"/>
    <s v="'320251470801891662'"/>
    <s v="Transportation-Taxis &amp; Coach"/>
    <s v="DELTARESERVE"/>
    <x v="2"/>
  </r>
  <r>
    <d v="2025-05-27T00:00:00"/>
    <s v="CVS/PHARMACY #10612 MANHATTAN           NY"/>
    <n v="4"/>
    <s v="10097817   8007467287_x000a_PHARMACIES_x000a_CVS/PHARMACY #10612 000010612_x000a_MANHATTAN_x000a_NY_x000a_PHARMACIES_x000a_8007467287"/>
    <s v="CVS/PHARMACY #10612 MANHATTAN           NY"/>
    <s v="5TH AVE 14TH ST_x000a_SEC"/>
    <s v="MANHATTAN_x000a_NY"/>
    <n v="10011"/>
    <s v="UNITED STATES"/>
    <s v="'320251480833141514'"/>
    <s v="Merchandise &amp; Supplies-Pharmacies"/>
    <s v="AMEXPLATINUM"/>
    <x v="3"/>
  </r>
  <r>
    <d v="2025-05-27T00:00:00"/>
    <s v="ARISTON CAFE 0000   NEW YORK            NY"/>
    <n v="19.760000000000002"/>
    <s v="40900197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480834878335'"/>
    <s v="Restaurant-Bar &amp; CafÃ©"/>
    <s v="AMEXPLATINUM"/>
    <x v="3"/>
  </r>
  <r>
    <d v="2025-05-27T00:00:00"/>
    <s v="KIMBERLY MEEHAN, NP NEW YORK            NY"/>
    <n v="200"/>
    <s v="73011005148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1490867887483'"/>
    <s v="Business Services-Health Care Services"/>
    <s v="AMEXPLATINUM"/>
    <x v="3"/>
  </r>
  <r>
    <d v="2025-05-28T00:00:00"/>
    <s v="JUICE GENERATION 19 NEW YORK            NY"/>
    <n v="12.79"/>
    <s v="00009148    212-531-1110_x000a_JUICE GENERATION 19 0001_x000a_NEW YORK_x000a_NY_x000a_Description : SPORTS/RIDING APPAR Price : 0.00_x000a_212-531-1110"/>
    <s v="JUICE GENERATION 19 NEW YORK            NY"/>
    <s v="4 ASTOR PL"/>
    <s v="NEW YORK_x000a_NY"/>
    <n v="10003"/>
    <s v="UNITED STATES"/>
    <s v="'320251490853428458'"/>
    <s v="Restaurant-Bar &amp; CafÃ©"/>
    <s v="AMEXPLATINUM"/>
    <x v="3"/>
  </r>
  <r>
    <d v="2025-05-28T00:00:00"/>
    <s v="COVERGIRL.MAXIM.COM SAN ANTONIO         TX"/>
    <n v="20"/>
    <s v="CH_3RTR8H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490869296192'"/>
    <s v="Business Services-Office Supplies"/>
    <s v="AMEXPLATINUM"/>
    <x v="3"/>
  </r>
  <r>
    <d v="2025-05-29T00:00:00"/>
    <s v="PETCO 3741 0374     NEW YORK            NY"/>
    <n v="70.56"/>
    <s v="34300017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1500888466127'"/>
    <s v="Merchandise &amp; Supplies-General Retail"/>
    <s v="AMEXPLATINUM"/>
    <x v="3"/>
  </r>
  <r>
    <d v="2025-05-29T00:00:00"/>
    <s v="JUICE GENERATION 19 NEW YORK            NY"/>
    <n v="12.79"/>
    <s v="31099535149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500890350395'"/>
    <s v="Restaurant-Bar &amp; CafÃ©"/>
    <s v="AMEXPLATINUM"/>
    <x v="3"/>
  </r>
  <r>
    <d v="2025-05-29T00:00:00"/>
    <s v="COVERGIRL.MAXIM.COM SAN ANTONIO         TX"/>
    <n v="250"/>
    <s v="CH_3RUJ9C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500891486972'"/>
    <s v="Business Services-Office Supplies"/>
    <s v="DELTARESERVE"/>
    <x v="3"/>
  </r>
  <r>
    <d v="2025-05-29T00:00:00"/>
    <s v="COVERGIRL.MAXIM.COM SAN ANTONIO         TX"/>
    <n v="500"/>
    <s v="CH_3RUJBX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500891492678'"/>
    <s v="Business Services-Office Supplies"/>
    <s v="DELTARESERVE"/>
    <x v="3"/>
  </r>
  <r>
    <d v="2025-05-29T00:00:00"/>
    <s v="COVERGIRL.MAXIM.COM SAN ANTONIO         TX"/>
    <n v="250"/>
    <s v="CH_3RUCFL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500894845205'"/>
    <s v="Business Services-Office Supplies"/>
    <s v="DELTARESERVE"/>
    <x v="3"/>
  </r>
  <r>
    <d v="2025-05-30T00:00:00"/>
    <s v="THE CLEANERS IO, LLCNew York            NY"/>
    <n v="75.31"/>
    <s v="9qqGMDPy4vH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500883178377'"/>
    <s v="Business Services-Other Services"/>
    <s v="AMEXPLATINUM"/>
    <x v="8"/>
  </r>
  <r>
    <d v="2025-05-30T00:00:00"/>
    <s v="TST* JOE COFFEE - UNNEW YORK            NY"/>
    <n v="8"/>
    <s v="7lKH7Knyg00 2129247400_x000a_TST* JOE COFFEE - UNION S 300537556_x000a_NEW YORK_x000a_NY_x000a_Description : RESTAURANTS Price : 0.08_x000a_2129247400"/>
    <s v="TST* JOE COFFEE - UNNEW YORK            NY"/>
    <s v="29 Union Square West"/>
    <s v="NEW YORK_x000a_NY"/>
    <n v="10003"/>
    <s v="UNITED STATES"/>
    <s v="'320251500885405709'"/>
    <s v="Restaurant-Restaurant"/>
    <s v="AMEXPLATINUM"/>
    <x v="3"/>
  </r>
  <r>
    <d v="2025-05-30T00:00:00"/>
    <s v="WEGMANS ASTOR PLACE NEW YORK            NY"/>
    <n v="125.74"/>
    <s v="W15639600235854293656_x000a_WEGMANS ASTOR PLACE 156 000000156_x000a_NEW YORK_x000a_NY_x000a_5854293656"/>
    <s v="WEGMANS ASTOR PLACE NEW YORK            NY"/>
    <s v="770 BROADWAY"/>
    <s v="NEW YORK_x000a_NY"/>
    <n v="10003"/>
    <s v="UNITED STATES"/>
    <s v="'320251510918348230'"/>
    <s v="Merchandise &amp; Supplies-Groceries"/>
    <s v="AMEXPLATINUM"/>
    <x v="3"/>
  </r>
  <r>
    <d v="2025-05-30T00:00:00"/>
    <s v="D J*WSJ             800-568-7625        NJ"/>
    <n v="41.72"/>
    <s v="P-037103337 SUBSRIPTION_x000a_D J*WSJ_x000a_800-568-7625_x000a_NJ_x000a_SUBSRIPTION"/>
    <s v="D J*WSJ             800-568-7625        NJ"/>
    <s v="4300 RTE 1 NORTH"/>
    <s v="SOUTH BRUNSWICK_x000a_NJ"/>
    <s v="08852"/>
    <s v="UNITED STATES"/>
    <s v="'320251510922011447'"/>
    <s v="Merchandise &amp; Supplies-Mail Order"/>
    <s v="AMEXPLATINUM"/>
    <x v="8"/>
  </r>
  <r>
    <d v="2025-05-30T00:00:00"/>
    <s v="COVERGIRL.MAXIM.COM SAN ANTONIO         TX"/>
    <n v="20"/>
    <s v="CH_3RUZDH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510925174164'"/>
    <s v="Business Services-Office Supplies"/>
    <s v="AMEXPLATINUM"/>
    <x v="3"/>
  </r>
  <r>
    <d v="2025-05-30T00:00:00"/>
    <s v="ONEMED-TRIBECA 00087NEW YORK            NY"/>
    <n v="204.23"/>
    <s v="73011385152 ADMIN@ONEMEDICAL.COM_x000a_ONEMED-TRIBECA 000875000138883_x000a_NEW YORK_x000a_NY_x000a_ADMIN@ONEMEDICAL.COM"/>
    <s v="ONEMED-TRIBECA 00087NEW YORK            NY"/>
    <s v="25 HUDSON ST"/>
    <s v="NEW YORK_x000a_NY"/>
    <n v="10013"/>
    <s v="UNITED STATES"/>
    <s v="'320251520929482662'"/>
    <s v="Business Services-Health Care Services"/>
    <s v="AMEXPLATINUM"/>
    <x v="8"/>
  </r>
  <r>
    <d v="2025-05-31T00:00:00"/>
    <s v="LE BOUCLIER D_OR    STRASBOURG          FR"/>
    <n v="454.36"/>
    <s v="######aazCQ LODGING_x000a_LE BOUCLIER D_OR_x000a_STRASBOURG_x000a_FR_x000a_LODGINGForeign Spend Amount: 400.00 EURO Commission Amount:  Currency Exchange Rate: null"/>
    <s v="LE BOUCLIER D_OR    STRASBOURG          FR"/>
    <s v="&quot;1, RUE DU BOUCLIER&quot;_x000a_STRASBOURG"/>
    <m/>
    <n v="67000"/>
    <s v="FRANCE"/>
    <s v="'320251510921778616'"/>
    <s v="Travel-Lodging"/>
    <s v="AMEXPLATINUM"/>
    <x v="3"/>
  </r>
  <r>
    <d v="2025-05-31T00:00:00"/>
    <s v="CARLYLE HOTEL       NEW YORK            NY"/>
    <n v="800"/>
    <s v="808261     168079           10021_x000a_CARLYLE HOTEL_x000a_NEW YORK_x000a_NY_x000a_168079           10021"/>
    <s v="CARLYLE HOTEL       NEW YORK            NY"/>
    <s v="35 EAST 76TH ST"/>
    <s v="NEW YORK_x000a_NY"/>
    <s v="10021-1827"/>
    <s v="UNITED STATES"/>
    <s v="'320251520937510036'"/>
    <s v="Restaurant-Restaurant"/>
    <s v="DELTARESERVE"/>
    <x v="11"/>
  </r>
  <r>
    <d v="2025-06-01T00:00:00"/>
    <s v="Amazon Web Services AWS.Amazon.com      WA"/>
    <n v="1576.93"/>
    <s v="6WTSBQ0DX4M WEB SERVICES_x000a_Amazon Web Services_x000a_AWS.Amazon.com_x000a_WA_x000a_WEB SERVICES"/>
    <s v="Amazon Web Services AWS.Amazon.com      WA"/>
    <s v="1512 2ND AVE"/>
    <s v="SEATTLE_x000a_WA"/>
    <n v="98101"/>
    <s v="UNITED STATES"/>
    <s v="'320251520931614642'"/>
    <s v="Merchandise &amp; Supplies-Internet Purchase"/>
    <s v="AMEXPLATINUM"/>
    <x v="12"/>
  </r>
  <r>
    <d v="2025-06-01T00:00:00"/>
    <s v="UBER"/>
    <n v="58.79"/>
    <s v="Q0BZ0P49   OCIALATN         10012_x000a_Uber Trip_x000a_help.uber.com_x000a_CA_x000a_OCIALATN         10012"/>
    <s v="Uber Trip           help.uber.com       CA"/>
    <s v="1455 MARKET ST_x000a_4TH FLOOR"/>
    <s v="SAN FRANCISCO_x000a_CA"/>
    <n v="94103"/>
    <s v="UNITED STATES"/>
    <s v="'320251520933848199'"/>
    <s v="Transportation-Taxis &amp; Coach"/>
    <s v="DELTARESERVE"/>
    <x v="2"/>
  </r>
  <r>
    <d v="2025-06-01T00:00:00"/>
    <s v="VERIZON WRLS RCCRNG PMTS"/>
    <n v="226.78"/>
    <s v="N0000003972VZWRLSS*APOCC_x000a_VZW APO_x000a_800-922-0204_x000a_FL_x000a_VZWRLSS*APOCC"/>
    <s v="VZW APO             800-922-0204        FL"/>
    <s v="600 COOLIDGE DR"/>
    <s v="FOLSOM_x000a_CA"/>
    <s v="95630-3155"/>
    <s v="UNITED STATES"/>
    <s v="'320251520938829672'"/>
    <s v="Communications-Mobile Telecom"/>
    <s v="DELTARESERVE"/>
    <x v="5"/>
  </r>
  <r>
    <d v="2025-06-01T00:00:00"/>
    <s v="VIATOR              LONDON              GB"/>
    <n v="156.4"/>
    <s v="1652178147  447776075114_x000a_VIATOR_x000a_LONDON_x000a_GB_x000a_447776075114"/>
    <s v="VIATOR              LONDON              GB"/>
    <s v="7 SOHO SQUARE"/>
    <s v="LONDON_x000a_ENG"/>
    <s v="W1D 3QB"/>
    <s v="UNITED KINGDOM OF GB AND NI"/>
    <s v="'320251530964813928'"/>
    <s v="Travel-Travel Agencies"/>
    <s v="AMEXPLATINUM"/>
    <x v="3"/>
  </r>
  <r>
    <d v="2025-06-01T00:00:00"/>
    <s v="VIATOR              LONDON              GB"/>
    <n v="205.92"/>
    <s v="1652198309  447776075114_x000a_VIATOR_x000a_LONDON_x000a_GB_x000a_447776075114"/>
    <s v="VIATOR              LONDON              GB"/>
    <s v="7 SOHO SQUARE"/>
    <s v="LONDON_x000a_ENG"/>
    <s v="W1D 3QB"/>
    <s v="UNITED KINGDOM OF GB AND NI"/>
    <s v="'320251530964858883'"/>
    <s v="Travel-Travel Agencies"/>
    <s v="AMEXPLATINUM"/>
    <x v="3"/>
  </r>
  <r>
    <d v="2025-06-01T00:00:00"/>
    <s v="ERACTOLL 7Y329K     877-860-1258        NY"/>
    <n v="0.49"/>
    <s v="T196999934  877-860-1258_x000a_ERACTOLL 7Y329K_x000a_877-860-1258_x000a_NY_x000a_Description : ERACTOLL 7Y329K Price : 0.00_x000a_877-860-1258"/>
    <s v="ERACTOLL 7Y329K     877-860-1258        NY"/>
    <s v="-"/>
    <e v="#NAME?"/>
    <n v="11577"/>
    <s v="UNITED STATES"/>
    <s v="'320251530971107829'"/>
    <s v="Transportation-Tolls &amp; Fees"/>
    <s v="DELTARESERVE"/>
    <x v="9"/>
  </r>
  <r>
    <d v="2025-06-01T00:00:00"/>
    <s v="FACEBK *7Y7C4SURF2  MENLO PARK"/>
    <n v="39"/>
    <s v="99508354583 ADVERTISING SERVICE_x000a_FACEBK *7Y7C4SURF2_x000a_MENLO PARK_x000a_ADVERTISING SERVICE"/>
    <s v="FACEBK *7Y7C4SURF2  MENLO PARK"/>
    <s v="1 HACKER WAY"/>
    <s v="MENLO PARK_x000a_CA"/>
    <n v="94025"/>
    <s v="UNITED STATES"/>
    <s v="'320251530978201319'"/>
    <s v="Business Services-Advertising Services"/>
    <s v="AMEXPLATINUM"/>
    <x v="3"/>
  </r>
  <r>
    <d v="2025-06-02T00:00:00"/>
    <s v="VIATOR              LONDON              GB"/>
    <n v="64.819999999999993"/>
    <s v="1652526289  447776075114_x000a_VIATOR_x000a_LONDON_x000a_GB_x000a_447776075114"/>
    <s v="VIATOR              LONDON              GB"/>
    <s v="7 SOHO SQUARE"/>
    <s v="LONDON_x000a_ENG"/>
    <s v="W1D 3QB"/>
    <s v="UNITED KINGDOM OF GB AND NI"/>
    <s v="'320251530961051242'"/>
    <s v="Travel-Travel Agencies"/>
    <s v="AMEXPLATINUM"/>
    <x v="3"/>
  </r>
  <r>
    <d v="2025-06-02T00:00:00"/>
    <s v="HUBSPOT INC.        CAMBRIDGE, MASSACHUSMA"/>
    <n v="21.4"/>
    <s v="31047035    COMPUTER PROGRAMMING_x000a_HUBSPOT INC._x000a_CAMBRIDGE, MASSACHUSE_x000a_MA_x000a_COMPUTER PROGRAMMING"/>
    <s v="HUBSPOT INC.        CAMBRIDGE, MASSACHUSMA"/>
    <s v="25 FIRST STREET_x000a_-"/>
    <s v="CAMBRIDGE_x000a_MA"/>
    <s v="02141"/>
    <s v="UNITED STATES"/>
    <s v="'320251530978747236'"/>
    <s v="Business Services-Employment Agencies"/>
    <s v="DELTARESERVE"/>
    <x v="1"/>
  </r>
  <r>
    <d v="2025-06-02T00:00:00"/>
    <s v="TOPTAL.COM          SAN FRANCISCO       CA"/>
    <n v="79"/>
    <s v="CH_2RVNHRVY +18886043188_x000a_TOPTAL.COM_x000a_SAN FRANCISCO_x000a_CA_x000a_+18886043188"/>
    <s v="TOPTAL.COM          SAN FRANCISCO       CA"/>
    <s v="548 MARKET ST 36879"/>
    <s v="SAN FRANCISCO_x000a_CA"/>
    <n v="94104"/>
    <s v="UNITED STATES"/>
    <s v="'320251540002740728'"/>
    <s v="Merchandise &amp; Supplies-Computer Supplies"/>
    <s v="DELTARESERVE"/>
    <x v="6"/>
  </r>
  <r>
    <d v="2025-06-02T00:00:00"/>
    <s v="JUICE GENERATION 19 NEW YORK            NY"/>
    <n v="12.79"/>
    <s v="31099535153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540997756669'"/>
    <s v="Restaurant-Bar &amp; CafÃ©"/>
    <s v="AMEXPLATINUM"/>
    <x v="3"/>
  </r>
  <r>
    <d v="2025-06-02T00:00:00"/>
    <s v="CVS PHARMACY        NEW YORK            NY"/>
    <n v="48"/>
    <s v="10187878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1540997826597'"/>
    <s v="Merchandise &amp; Supplies-Pharmacies"/>
    <s v="AMEXPLATINUM"/>
    <x v="3"/>
  </r>
  <r>
    <d v="2025-06-03T00:00:00"/>
    <s v="MICROSOFT           MSBILL.INFO"/>
    <n v="25.84"/>
    <s v="Z73155R6XZ7Z73155R6XZ7E     98052_x000a_MICROSOFT_x000a_MSBILL.INFO_x000a_Z73155R6XZ7E     98052"/>
    <s v="MICROSOFT           MSBILL.INFO"/>
    <s v="1 MICROSOFT WAY"/>
    <s v="REDMOND_x000a_WA"/>
    <n v="98052"/>
    <s v="UNITED STATES"/>
    <s v="'320251540004424437'"/>
    <s v="Other-Miscellaneous"/>
    <s v="DELTARESERVE"/>
    <x v="1"/>
  </r>
  <r>
    <d v="2025-06-03T00:00:00"/>
    <s v="ROOFTOP CINEMA CLUB MARINA DEL REY      CA"/>
    <n v="31.05"/>
    <s v="CH_3RVXBDEN +18634348725_x000a_ROOFTOP CINEMA CLUB_x000a_MARINA DEL REY_x000a_CA_x000a_+18634348725"/>
    <s v="ROOFTOP CINEMA CLUB MARINA DEL REY      CA"/>
    <s v="4136 DEL REY AVE"/>
    <s v="MARINA DEL REY_x000a_CA"/>
    <n v="90292"/>
    <s v="UNITED STATES"/>
    <s v="'320251540011038838'"/>
    <s v="Entertainment-Theatrical Events"/>
    <s v="AMEXPLATINUM"/>
    <x v="3"/>
  </r>
  <r>
    <d v="2025-06-03T00:00:00"/>
    <s v="ONLINE PAYMENT - THANK YOU"/>
    <n v="-5000"/>
    <s v="ONLINE PAYMENT - THANK YOU"/>
    <s v="ONLINE PAYMENT - THANK YOU"/>
    <m/>
    <m/>
    <m/>
    <m/>
    <s v="'320251540985648758'"/>
    <m/>
    <s v="DELTARESERVE"/>
    <x v="0"/>
  </r>
  <r>
    <d v="2025-06-03T00:00:00"/>
    <s v="DISTROKID MUSICIAN+ NEW YORK            NY"/>
    <n v="48.14"/>
    <s v="CH_2RVZQCJS +14153666101_x000a_DISTROKID MUSICIAN+_x000a_NEW YORK_x000a_NY_x000a_+14153666101"/>
    <s v="DISTROKID MUSICIAN+ NEW YORK            NY"/>
    <s v="228 PARK AVE SOUTH"/>
    <s v="NEW YORK_x000a_NY"/>
    <n v="10003"/>
    <s v="UNITED STATES"/>
    <s v="'320251540988659978'"/>
    <s v="Other-Miscellaneous"/>
    <s v="AMEXPLATINUM"/>
    <x v="3"/>
  </r>
  <r>
    <d v="2025-06-03T00:00:00"/>
    <s v="&amp;OS  0750NEW YORK   NEW YORK            NY"/>
    <n v="40.04"/>
    <s v="US075000225 FAMILY CLOTHING_x000a_&amp;OS  0750NEW YORK_x000a_NEW YORK_x000a_NY_x000a_FAMILY CLOTHING"/>
    <s v="&amp;OS  0750NEW YORK   NEW YORK            NY"/>
    <s v="575 BROADWAY"/>
    <s v="NEW YORK_x000a_NY"/>
    <n v="10012"/>
    <s v="UNITED STATES"/>
    <s v="'320251550025691913'"/>
    <s v="Merchandise &amp; Supplies-Clothing Stores"/>
    <s v="AMEXPLATINUM"/>
    <x v="3"/>
  </r>
  <r>
    <d v="2025-06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1550026119734'"/>
    <s v="Business Services-Other Services"/>
    <s v="AMEXPLATINUM"/>
    <x v="8"/>
  </r>
  <r>
    <d v="2025-06-03T00:00:00"/>
    <s v="ENTERPRISE RENT-A-CANEW YORK            NY"/>
    <n v="75"/>
    <s v="009810683   212-5332900_x000a_ENTERPRISE RENT-A-CAR_x000a_NEW YORK_x000a_NY"/>
    <s v="ENTERPRISE RENT-A-CANEW YORK            NY"/>
    <s v="221 THOMPSON ST"/>
    <s v="NEW YORK_x000a_NY"/>
    <n v="10012"/>
    <s v="UNITED STATES"/>
    <s v="'320251550036297849'"/>
    <s v="Travel-Vehicle Rental"/>
    <s v="DELTARESERVE"/>
    <x v="9"/>
  </r>
  <r>
    <d v="2025-06-03T00:00:00"/>
    <s v="COVERGIRL.MAXIM.COM SAN ANTONIO         TX"/>
    <n v="20"/>
    <s v="CH_3RVZPO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550037344024'"/>
    <s v="Business Services-Office Supplies"/>
    <s v="AMEXPLATINUM"/>
    <x v="3"/>
  </r>
  <r>
    <d v="2025-06-03T00:00:00"/>
    <s v="TST* MAMAN - SOHO 30NEW YORK            NY"/>
    <n v="54.87"/>
    <s v="aK3Ldv0kS00 2122260700_x000a_TST* MAMAN - SOHO 300579717_x000a_NEW YORK_x000a_NY_x000a_Description : RESTAURANTS Price : 0.5487_x000a_2122260700"/>
    <s v="TST* MAMAN - SOHO 30NEW YORK            NY"/>
    <s v="237-239 CTR ST"/>
    <s v="NEW YORK_x000a_NY"/>
    <n v="10013"/>
    <s v="UNITED STATES"/>
    <s v="'320251550037463721'"/>
    <s v="Restaurant-Bar &amp; CafÃ©"/>
    <s v="AMEXPLATINUM"/>
    <x v="3"/>
  </r>
  <r>
    <d v="2025-06-03T00:00:00"/>
    <s v="TARGET        034116NEW YORK            NY"/>
    <n v="15.47"/>
    <s v="001648903   612-3044357_x000a_TARGET        034116 09100034116_x000a_NEW YORK_x000a_NY_x000a_Description : SEE INVOICE Price : 0.1547_x000a_612-3044357"/>
    <s v="TARGET        034116NEW YORK            NY"/>
    <s v="600 BROADWAY"/>
    <s v="NEW YORK_x000a_NY"/>
    <n v="10012"/>
    <s v="UNITED STATES"/>
    <s v="'320251550037649789'"/>
    <s v="Merchandise &amp; Supplies-Wholesale Stores"/>
    <s v="AMEXPLATINUM"/>
    <x v="3"/>
  </r>
  <r>
    <d v="2025-06-03T00:00:00"/>
    <s v="MSFT * E0500WFVCY   MSBILL.INFO         WA"/>
    <n v="32.07"/>
    <s v="Z73A57JIT4M MSBILL.INFO_x000a_MSFT * E0500WFVCY_x000a_MSBILL.INFO_x000a_WA_x000a_MSBILL.INFO"/>
    <s v="MSFT * E0500WFVCY   MSBILL.INFO         WA"/>
    <s v="8TH FLOOR_x000a_91 MAIN ST"/>
    <s v="DALLAS_x000a_TX"/>
    <n v="75202"/>
    <s v="UNITED STATES"/>
    <s v="'320251550037948175'"/>
    <s v="Other-Miscellaneous"/>
    <s v="AMEXPLATINUM"/>
    <x v="1"/>
  </r>
  <r>
    <d v="2025-06-03T00:00:00"/>
    <s v="UNIQLO USA LLC      NEW YORK            NY"/>
    <n v="186.4"/>
    <s v="C06BC1AE-92 FAMILY CLOTHING_x000a_UNIQLO USA LLC_x000a_NEW YORK_x000a_NY_x000a_FAMILY CLOTHING"/>
    <s v="UNIQLO USA LLC      NEW YORK            NY"/>
    <s v="546 BROADWAY"/>
    <s v="NEW YORK_x000a_NY"/>
    <n v="10012"/>
    <s v="UNITED STATES"/>
    <s v="'320251550039307715'"/>
    <s v="Merchandise &amp; Supplies-Clothing Stores"/>
    <s v="AMEXPLATINUM"/>
    <x v="3"/>
  </r>
  <r>
    <d v="2025-06-03T00:00:00"/>
    <s v="GU USA LLC          NEW YORK            NY"/>
    <n v="34.9"/>
    <s v="0C01D3CA-D1 FAMILY CLOTHING_x000a_GU USA LLC_x000a_NEW YORK_x000a_NY_x000a_FAMILY CLOTHING"/>
    <s v="GU USA LLC          NEW YORK            NY"/>
    <s v="578 BROADWAY"/>
    <s v="NEW YORK_x000a_NY"/>
    <n v="10012"/>
    <s v="UNITED STATES"/>
    <s v="'320251550039372287'"/>
    <s v="Merchandise &amp; Supplies-Internet Purchase"/>
    <s v="AMEXPLATINUM"/>
    <x v="3"/>
  </r>
  <r>
    <d v="2025-06-03T00:00:00"/>
    <s v="MSFT * E0500WFTS3 2BMSBILL.INFO         WA"/>
    <n v="73.64"/>
    <s v="Z73957IETKUZ73957IETKU8     12866_x000a_COMPUTER DATA PROCESSIN_x000a_MSFT * E0500WFTS3 2BLE_x000a_MSBILL.INFO_x000a_WA_x000a_COMPUTER DATA PROCESSIN_x000a_Z73957IETKU8     12866"/>
    <s v="MSFT * E0500WFTS3 2BMSBILL.INFO         WA"/>
    <s v="8TH FLOOR_x000a_91 MAIN ST"/>
    <s v="DALLAS_x000a_TX"/>
    <n v="75202"/>
    <s v="UNITED STATES"/>
    <s v="'320251550039766273'"/>
    <s v="Other-Miscellaneous"/>
    <s v="AMEXPLATINUM"/>
    <x v="1"/>
  </r>
  <r>
    <d v="2025-06-04T00:00:00"/>
    <s v="COVERGIRL.MAXIM.COM SAN ANTONIO         TX"/>
    <n v="20"/>
    <s v="CH_3RWLGS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550016874286'"/>
    <s v="Business Services-Office Supplies"/>
    <s v="AMEXPLATINUM"/>
    <x v="3"/>
  </r>
  <r>
    <d v="2025-06-04T00:00:00"/>
    <s v="PEACOCK             NEW YORK CITY       NY"/>
    <n v="7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1550021892484'"/>
    <s v="Communications-Cable &amp; Internet Comm"/>
    <s v="DELTARESERVE"/>
    <x v="3"/>
  </r>
  <r>
    <d v="2025-06-04T00:00:00"/>
    <s v="BT*CLV*VECTORMAGIC  EXCELSIOR           CA"/>
    <n v="9.9499999999999993"/>
    <s v="GBXVQ27X    4152302377_x000a_BT*CLV*VECTORMAGIC_x000a_EXCELSIOR_x000a_CA_x000a_4152302377"/>
    <s v="BT*CLV*VECTORMAGIC  EXCELSIOR           CA"/>
    <s v="2500 SHADYWOOD RD_x000a_STE 510"/>
    <s v="EXCELSIOR_x000a_CA"/>
    <n v="55331"/>
    <s v="UNITED STATES"/>
    <s v="'320251550025276997'"/>
    <s v="Merchandise &amp; Supplies-Computer Supplies"/>
    <s v="AMEXPLATINUM"/>
    <x v="3"/>
  </r>
  <r>
    <d v="2025-06-04T00:00:00"/>
    <s v="MICROSOFT           MSBILL.INFO"/>
    <n v="25.84"/>
    <s v="Z72T59AU7JWZ72T59AU7JW3     98052_x000a_MICROSOFT_x000a_MSBILL.INFO_x000a_Z72T59AU7JW3     98052"/>
    <s v="MICROSOFT           MSBILL.INFO"/>
    <s v="1 MICROSOFT WAY"/>
    <s v="REDMOND_x000a_WA"/>
    <n v="98052"/>
    <s v="UNITED STATES"/>
    <s v="'320251550025877453'"/>
    <s v="Other-Miscellaneous"/>
    <s v="DELTARESERVE"/>
    <x v="1"/>
  </r>
  <r>
    <d v="2025-06-04T00:00:00"/>
    <s v="A1010BUSD01         MSBILL.INFO"/>
    <n v="47.08"/>
    <s v="Z72C570VE1NZ72C570VE1NJ     98052_x000a_A1010BUSD01_x000a_MSBILL.INFO_x000a_Z72C570VE1NJ     98052"/>
    <s v="A1010BUSD01         MSBILL.INFO"/>
    <s v="8TH FLOOR_x000a_91 MAIN ST"/>
    <s v="DALLAS_x000a_TX"/>
    <n v="75202"/>
    <s v="UNITED STATES"/>
    <s v="'320251550039743167'"/>
    <s v="Other-Miscellaneous"/>
    <s v="AMEXPLATINUM"/>
    <x v="1"/>
  </r>
  <r>
    <d v="2025-06-04T00:00:00"/>
    <s v="A1010BUSD01         MSBILL.INFO"/>
    <n v="25.68"/>
    <s v="Z72U57CD2IEZ72U57CD2IEH     98052_x000a_A1010BUSD01_x000a_MSBILL.INFO_x000a_Z72U57CD2IEH     98052"/>
    <s v="A1010BUSD01         MSBILL.INFO"/>
    <s v="8TH FLOOR_x000a_91 MAIN ST"/>
    <s v="DALLAS_x000a_TX"/>
    <n v="75202"/>
    <s v="UNITED STATES"/>
    <s v="'320251550039749215'"/>
    <s v="Other-Miscellaneous"/>
    <s v="AMEXPLATINUM"/>
    <x v="1"/>
  </r>
  <r>
    <d v="2025-06-04T00:00:00"/>
    <s v="A1010BUSD01         REDMOND"/>
    <n v="21.4"/>
    <s v="Z73657IYROWZ73657IYROWK     98052_x000a_A1010BUSD01_x000a_REDMOND_x000a_Z73657IYROWK     98052"/>
    <s v="A1010BUSD01         REDMOND"/>
    <s v="8TH FLOOR_x000a_91 MAIN ST"/>
    <s v="DALLAS_x000a_TX"/>
    <n v="75202"/>
    <s v="UNITED STATES"/>
    <s v="'320251550039773434'"/>
    <s v="Other-Miscellaneous"/>
    <s v="AMEXPLATINUM"/>
    <x v="1"/>
  </r>
  <r>
    <d v="2025-06-04T00:00:00"/>
    <s v="A1010BUSD01         MSBILL.INFO"/>
    <n v="289.06"/>
    <s v="Z72Y577X6C5Z72Y577X6C5D     98052_x000a_A1010BUSD01_x000a_MSBILL.INFO_x000a_Z72Y577X6C5D     98052"/>
    <s v="A1010BUSD01         MSBILL.INFO"/>
    <s v="8TH FLOOR_x000a_91 MAIN ST"/>
    <s v="DALLAS_x000a_TX"/>
    <n v="75202"/>
    <s v="UNITED STATES"/>
    <s v="'320251550039780062'"/>
    <s v="Other-Miscellaneous"/>
    <s v="AMEXPLATINUM"/>
    <x v="1"/>
  </r>
  <r>
    <d v="2025-06-04T00:00:00"/>
    <s v="RESTAURANT ABAC 3430BARCELONA           ES"/>
    <n v="114.34"/>
    <s v="90377249960 RESTAURANT_x000a_RESTAURANT ABAC 343025045_x000a_BARCELONA_x000a_ES_x000a_RESTAURANTForeign Spend Amount: 100.00 EURO Commission Amount:  Currency Exchange Rate: null"/>
    <s v="RESTAURANT ABAC 3430BARCELONA           ES"/>
    <s v="AVENIDA TIBIDABO 1_x000a_BARCELONA"/>
    <m/>
    <s v="08022"/>
    <s v="SPAIN"/>
    <s v="'320251550040614797'"/>
    <s v="Restaurant-Restaurant"/>
    <s v="AMEXPLATINUM"/>
    <x v="3"/>
  </r>
  <r>
    <d v="2025-06-04T00:00:00"/>
    <s v="TST* ROOFTOP CINEMA NEW YORK            NY"/>
    <n v="37.24"/>
    <s v="21105175156 RESTAURANT_x000a_TST* ROOFTOP CINEMA CLUB 00072714_x000a_NEW YORK_x000a_NY_x000a_RESTAURANT"/>
    <s v="TST* ROOFTOP CINEMA NEW YORK            NY"/>
    <s v="4136 DEL REY AVE"/>
    <s v="MARINA DEL REY_x000a_CA"/>
    <n v="90292"/>
    <s v="UNITED STATES"/>
    <s v="'320251560056205162'"/>
    <s v="Restaurant-Restaurant"/>
    <s v="AMEXPLATINUM"/>
    <x v="3"/>
  </r>
  <r>
    <d v="2025-06-04T00:00:00"/>
    <s v="Bazaar              New York            NY"/>
    <n v="1400"/>
    <s v="2791       2791             10001_x000a_Bazaar_x000a_New York_x000a_NY_x000a_2791             10001"/>
    <s v="Bazaar              New York            NY"/>
    <s v="1185 BROADWAY"/>
    <s v="NEW YORK_x000a_NY"/>
    <n v="10001"/>
    <s v="UNITED STATES"/>
    <s v="'320251560056868446'"/>
    <s v="Restaurant-Restaurant"/>
    <s v="DELTARESERVE"/>
    <x v="11"/>
  </r>
  <r>
    <d v="2025-06-04T00:00:00"/>
    <s v="NYCT PAYGO          NEW YORK            NY"/>
    <n v="2.9"/>
    <s v="00824984957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1560058163087'"/>
    <s v="Transportation-Rail Services"/>
    <s v="AMEXPLATINUM"/>
    <x v="14"/>
  </r>
  <r>
    <d v="2025-06-04T00:00:00"/>
    <s v="Bazaar              New York            NY"/>
    <n v="82"/>
    <s v="2773       2773             10001_x000a_Bazaar_x000a_New York_x000a_NY_x000a_2773             10001"/>
    <s v="Bazaar              New York            NY"/>
    <s v="1185 BROADWAY"/>
    <s v="NEW YORK_x000a_NY"/>
    <n v="10001"/>
    <s v="UNITED STATES"/>
    <s v="'320251560058432173'"/>
    <s v="Restaurant-Restaurant"/>
    <s v="DELTARESERVE"/>
    <x v="11"/>
  </r>
  <r>
    <d v="2025-06-04T00:00:00"/>
    <s v="KALL8 00089590000642SEATTLE             WA"/>
    <n v="16.87"/>
    <s v="73011005155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1560063070761'"/>
    <s v="Other-Miscellaneous"/>
    <s v="AMEXPLATINUM"/>
    <x v="5"/>
  </r>
  <r>
    <d v="2025-06-04T00:00:00"/>
    <s v="ANTI SOCIAL CAMP    RIDGEWOOD           NY"/>
    <n v="1234.0899999999999"/>
    <s v="CH_3RWNHKEU +15163189273_x000a_ANTI SOCIAL CAMP_x000a_RIDGEWOOD_x000a_NY_x000a_+15163189273"/>
    <s v="ANTI SOCIAL CAMP    RIDGEWOOD           NY"/>
    <s v="5932 GRV ST"/>
    <s v="RIDGEWOOD_x000a_NY"/>
    <n v="11385"/>
    <s v="UNITED STATES"/>
    <s v="'320251560065831550'"/>
    <s v="Travel-Lodging"/>
    <s v="AMEXPLATINUM"/>
    <x v="3"/>
  </r>
  <r>
    <d v="2025-06-05T00:00:00"/>
    <s v="COVERGIRL.MAXIM.COM SAN ANTONIO         TX"/>
    <n v="20"/>
    <s v="CH_3RWHBG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560043915478'"/>
    <s v="Business Services-Office Supplies"/>
    <s v="AMEXPLATINUM"/>
    <x v="3"/>
  </r>
  <r>
    <d v="2025-06-05T00:00:00"/>
    <s v="UBER"/>
    <n v="35"/>
    <s v="NPAJEQW8   SMFXK4CY         10001_x000a_Uber Trip_x000a_help.uber.com_x000a_CA_x000a_SMFXK4CY         10001"/>
    <s v="Uber Trip           help.uber.com       CA"/>
    <s v="1455 MARKET ST_x000a_4TH FLOOR"/>
    <s v="SAN FRANCISCO_x000a_CA"/>
    <n v="94103"/>
    <s v="UNITED STATES"/>
    <s v="'320251560047407252'"/>
    <s v="Transportation-Taxis &amp; Coach"/>
    <s v="DELTARESERVE"/>
    <x v="2"/>
  </r>
  <r>
    <d v="2025-06-05T00:00:00"/>
    <s v="GITHUB, INC.        SAN FRANCISCO       CA"/>
    <n v="4"/>
    <s v="CH_3RWHT8JF +18774484820_x000a_GITHUB, INC._x000a_SAN FRANCISCO_x000a_CA_x000a_+18774484820"/>
    <s v="GITHUB, INC.        SAN FRANCISCO       CA"/>
    <s v="275 BRANNAN ST"/>
    <s v="SAN FRANCISCO_x000a_CA"/>
    <n v="94107"/>
    <s v="UNITED STATES"/>
    <s v="'320251560049686040'"/>
    <s v="Other-Miscellaneous"/>
    <s v="DELTARESERVE"/>
    <x v="1"/>
  </r>
  <r>
    <d v="2025-06-05T00:00:00"/>
    <s v="UBER"/>
    <n v="27.77"/>
    <s v="FMVVTX5D   Z2QQ7ED5         10012_x000a_Uber Trip_x000a_help.uber.com_x000a_CA_x000a_Z2QQ7ED5         10012"/>
    <s v="Uber Trip           help.uber.com       CA"/>
    <s v="1455 MARKET ST_x000a_4TH FLOOR"/>
    <s v="SAN FRANCISCO_x000a_CA"/>
    <n v="94103"/>
    <s v="UNITED STATES"/>
    <s v="'320251560050783200'"/>
    <s v="Transportation-Taxis &amp; Coach"/>
    <s v="DELTARESERVE"/>
    <x v="2"/>
  </r>
  <r>
    <d v="2025-06-05T00:00:00"/>
    <s v="PREM CAR RENTAL PROTECTION 800-228-6855"/>
    <n v="24.95"/>
    <s v="CRA009810683 04/18/2025 NEW YORK_x000a_PREM CAR RENTAL PROTECTION 800-228-6855"/>
    <s v="PREM CAR RENTAL PROTECTION 800-228-6855"/>
    <s v="200 VESEY STREET_x000a_43RD FLOOR"/>
    <s v="NEW YORK_x000a_NY"/>
    <n v="10285"/>
    <s v="UNITED STATES"/>
    <s v="'320251560067875768'"/>
    <s v="Business Services-Insurance Services"/>
    <s v="DELTARESERVE"/>
    <x v="9"/>
  </r>
  <r>
    <d v="2025-06-05T00:00:00"/>
    <s v="MACYS   .COM 0000001MASON               OH"/>
    <n v="114.13"/>
    <s v="05293793255 8002896229_x000a_MACYS   .COM 000000129_x000a_MASON_x000a_OH_x000a_Description : V2C BEDDING Price : 0.98_x000a_8002896229"/>
    <s v="MACYS   .COM 0000001MASON               OH"/>
    <s v="9111 DUKE BLVD"/>
    <s v="MASON_x000a_OH"/>
    <s v="45040-8999"/>
    <s v="UNITED STATES"/>
    <s v="'320251570083790054'"/>
    <s v="Merchandise &amp; Supplies-Department Stores"/>
    <s v="AMEXPLATINUM"/>
    <x v="3"/>
  </r>
  <r>
    <d v="2025-06-05T00:00:00"/>
    <s v="MACYS   .COM 0000001MASON               OH"/>
    <n v="136.94"/>
    <s v="05292763689 8002896229_x000a_MACYS   .COM 000000129_x000a_MASON_x000a_OH_x000a_Description : 1400TC CVC BROOKLIN Price : 0.588_x000a_Description : 1400TC CVC BROOKLIN Price : 0.588_x000a_8002896229"/>
    <s v="MACYS   .COM 0000001MASON               OH"/>
    <s v="9111 DUKE BLVD"/>
    <s v="MASON_x000a_OH"/>
    <s v="45040-8999"/>
    <s v="UNITED STATES"/>
    <s v="'320251570084544495'"/>
    <s v="Merchandise &amp; Supplies-Department Stores"/>
    <s v="AMEXPLATINUM"/>
    <x v="3"/>
  </r>
  <r>
    <d v="2025-06-05T00:00:00"/>
    <s v="JUICE GENERATION 19 NEW YORK            NY"/>
    <n v="12.79"/>
    <s v="31099535156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570085031721'"/>
    <s v="Restaurant-Bar &amp; CafÃ©"/>
    <s v="AMEXPLATINUM"/>
    <x v="3"/>
  </r>
  <r>
    <d v="2025-06-06T00:00:00"/>
    <s v="Interest Charge on Pay Over Time Purchases"/>
    <n v="382.71"/>
    <s v="Interest Charge on Pay Over Time Purchases"/>
    <s v="Interest Charge on Pay Over Time Purchases"/>
    <m/>
    <m/>
    <m/>
    <m/>
    <s v="'150607050001219761'"/>
    <s v="Fees &amp; Adjustments-Fees &amp; Adjustments"/>
    <s v="AMEXPLATINUM"/>
    <x v="13"/>
  </r>
  <r>
    <d v="2025-06-06T00:00:00"/>
    <s v="LEMONADE INSURANCE CNEW YORK            NY"/>
    <n v="9.42"/>
    <s v="######CxPU9 INSURANCE SALES_x000a_LEMONADE INSURANCE COMPANY_x000a_NEW YORK_x000a_NY_x000a_INSURANCE SALES"/>
    <s v="LEMONADE INSURANCE CNEW YORK            NY"/>
    <s v="5 CROSBY ST FL 3"/>
    <s v="NEW YORK_x000a_NY"/>
    <n v="10013"/>
    <s v="UNITED STATES"/>
    <s v="'320251570072093695'"/>
    <s v="Business Services-Insurance Services"/>
    <s v="AMEXPLATINUM"/>
    <x v="3"/>
  </r>
  <r>
    <d v="2025-06-06T00:00:00"/>
    <s v="UBER"/>
    <n v="72.81"/>
    <s v="32F93PDG   55O6NI6F         10012_x000a_Uber Trip_x000a_help.uber.com_x000a_CA_x000a_55O6NI6F         10012"/>
    <s v="Uber Trip           help.uber.com       CA"/>
    <s v="1455 MARKET ST_x000a_4TH FLOOR"/>
    <s v="SAN FRANCISCO_x000a_CA"/>
    <n v="94103"/>
    <s v="UNITED STATES"/>
    <s v="'320251570076251281'"/>
    <s v="Transportation-Taxis &amp; Coach"/>
    <s v="DELTARESERVE"/>
    <x v="2"/>
  </r>
  <r>
    <d v="2025-06-06T00:00:00"/>
    <s v="UBER"/>
    <n v="74.56"/>
    <s v="5AXB4QNA   XBS4QE6K         10019_x000a_Uber Trip_x000a_help.uber.com_x000a_CA_x000a_XBS4QE6K         10019"/>
    <s v="Uber Trip           help.uber.com       CA"/>
    <s v="1455 MARKET ST_x000a_4TH FLOOR"/>
    <s v="SAN FRANCISCO_x000a_CA"/>
    <n v="94103"/>
    <s v="UNITED STATES"/>
    <s v="'320251570077367585'"/>
    <s v="Transportation-Taxis &amp; Coach"/>
    <s v="DELTARESERVE"/>
    <x v="2"/>
  </r>
  <r>
    <d v="2025-06-06T00:00:00"/>
    <s v="FACEBK *X995WSCRF2  MENLO PARK"/>
    <n v="4.82"/>
    <s v="10040951902 ADVERTISING SERVICE_x000a_FACEBK *X995WSCRF2_x000a_MENLO PARK_x000a_ADVERTISING SERVICE"/>
    <s v="FACEBK *X995WSCRF2  MENLO PARK"/>
    <s v="1 HACKER WAY"/>
    <s v="MENLO PARK_x000a_CA"/>
    <n v="94025"/>
    <s v="UNITED STATES"/>
    <s v="'320251570077849571'"/>
    <s v="Business Services-Advertising Services"/>
    <s v="AMEXPLATINUM"/>
    <x v="3"/>
  </r>
  <r>
    <d v="2025-06-06T00:00:00"/>
    <s v="NOTION LABS, INC.   SAN FRANCISCO       CA"/>
    <n v="25.68"/>
    <s v="CH_3RX2I3CC +14154004291_x000a_NOTION LABS, INC._x000a_SAN FRANCISCO_x000a_CA_x000a_+14154004291"/>
    <s v="NOTION LABS, INC.   SAN FRANCISCO       CA"/>
    <s v="685 MARKET ST_x000a_SUITE 300"/>
    <s v="SAN FRANCISCO_x000a_CA"/>
    <n v="94105"/>
    <s v="UNITED STATES"/>
    <s v="'320251570078056038'"/>
    <s v="Business Services-Employment Agencies"/>
    <s v="DELTARESERVE"/>
    <x v="1"/>
  </r>
  <r>
    <d v="2025-06-06T00:00:00"/>
    <s v="SPECTRUM            855-707-7328        MO"/>
    <n v="113"/>
    <s v="RC109336305CABLE SVC_x000a_SPECTRUM_x000a_855-707-7328_x000a_MO_x000a_CABLE SVC"/>
    <s v="SPECTRUM            855-707-7328        MO"/>
    <s v="12405 POWERSCOURT DR"/>
    <s v="SAINT LOUIS_x000a_MO"/>
    <n v="63131"/>
    <s v="UNITED STATES"/>
    <s v="'320251570080848759'"/>
    <s v="Communications-Cable &amp; Internet Comm"/>
    <s v="AMEXPLATINUM"/>
    <x v="5"/>
  </r>
  <r>
    <d v="2025-06-06T00:00:00"/>
    <s v="FACEBK *VK9JESURF2  MENLO PARK"/>
    <n v="18.37"/>
    <s v="99864488614 ADVERTISING SERVICE_x000a_FACEBK *VK9JESURF2_x000a_MENLO PARK_x000a_ADVERTISING SERVICE"/>
    <s v="FACEBK *VK9JESURF2  MENLO PARK"/>
    <s v="1 HACKER WAY"/>
    <s v="MENLO PARK_x000a_CA"/>
    <n v="94025"/>
    <s v="UNITED STATES"/>
    <s v="'320251570082105911'"/>
    <s v="Business Services-Advertising Services"/>
    <s v="AMEXPLATINUM"/>
    <x v="3"/>
  </r>
  <r>
    <d v="2025-06-06T00:00:00"/>
    <s v="HOTEL CASA PALACIO MJEREZ DE LA F       ES"/>
    <n v="126.47"/>
    <s v="011156      LODGING_x000a_HOTEL CASA PALACIO M LUI 036826899_x000a_JEREZ DE LA F_x000a_ES_x000a_LODGINGForeign Spend Amount: 110.00 EURO Commission Amount:  Currency Exchange Rate: null"/>
    <s v="HOTEL CASA PALACIO MJEREZ DE LA F       ES"/>
    <s v="TORNERIA 22_x000a_JEREZ DE LA FRONTERA"/>
    <m/>
    <n v="11403"/>
    <s v="SPAIN"/>
    <s v="'320251570096591339'"/>
    <s v="Travel-Lodging"/>
    <s v="AMEXPLATINUM"/>
    <x v="3"/>
  </r>
  <r>
    <d v="2025-06-06T00:00:00"/>
    <s v="NYU HOSP CTR-MYCHARTNEW YORK            NY"/>
    <n v="100"/>
    <s v="036-0256926 HEALTHCARE P_x000a_NYU HOSP CTR-MYCHART_x000a_NEW YORK_x000a_NY_x000a_HEALTHCARE P"/>
    <s v="NYU HOSP CTR-MYCHARTNEW YORK            NY"/>
    <s v="550 1ST AVE"/>
    <s v="NEW YORK_x000a_NY"/>
    <s v="10016-6402"/>
    <s v="UNITED STATES"/>
    <s v="'320251580111412874'"/>
    <s v="Business Services-Health Care Services"/>
    <s v="AMEXPLATINUM"/>
    <x v="3"/>
  </r>
  <r>
    <d v="2025-06-06T00:00:00"/>
    <s v="WEGMANS ASTOR PLACE NEW YORK            NY"/>
    <n v="78"/>
    <s v="W15639800045854293656_x000a_WEGMANS ASTOR PLACE 156 000000156_x000a_NEW YORK_x000a_NY_x000a_5854293656"/>
    <s v="WEGMANS ASTOR PLACE NEW YORK            NY"/>
    <s v="770 BROADWAY"/>
    <s v="NEW YORK_x000a_NY"/>
    <n v="10003"/>
    <s v="UNITED STATES"/>
    <s v="'320251580114379985'"/>
    <s v="Merchandise &amp; Supplies-Groceries"/>
    <s v="AMEXPLATINUM"/>
    <x v="3"/>
  </r>
  <r>
    <d v="2025-06-06T00:00:00"/>
    <s v="JUICE GENERATION 19 NEW YORK            NY"/>
    <n v="12.79"/>
    <s v="31099535157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580119899500'"/>
    <s v="Restaurant-Bar &amp; CafÃ©"/>
    <s v="AMEXPLATINUM"/>
    <x v="3"/>
  </r>
  <r>
    <d v="2025-06-06T00:00:00"/>
    <s v="_WIX.COM, INC.      NEW YORK            NY"/>
    <n v="137.16999999999999"/>
    <s v="######D1NhJ COMPUTER STORE_x000a__WIX.COM, INC._x000a_NEW YORK_x000a_NY_x000a_COMPUTER STORE"/>
    <s v="_WIX.COM, INC.      NEW YORK            NY"/>
    <s v="GANSEVOORT ST"/>
    <s v="NEW YORK_x000a_NY"/>
    <n v="10014"/>
    <s v="UNITED STATES"/>
    <s v="'320251590128576645'"/>
    <s v="Merchandise &amp; Supplies-Computer Supplies"/>
    <s v="AMEXPLATINUM"/>
    <x v="1"/>
  </r>
  <r>
    <d v="2025-06-06T00:00:00"/>
    <s v="WIX.COM 1182003303  SAN FRANCISCO       CA"/>
    <n v="12.9"/>
    <s v="CH_3RX3Q3AA +14154494724_x000a_WIX.COM 1182003303_x000a_SAN FRANCISCO_x000a_CA_x000a_+14154494724"/>
    <s v="WIX.COM 1182003303  SAN FRANCISCO       CA"/>
    <s v="BLVD FL 6_x000a_500 TERRY A FRANCOIS"/>
    <s v="SAN FRANCISCO_x000a_CA"/>
    <n v="94158"/>
    <s v="UNITED STATES"/>
    <s v="'320251590134718160'"/>
    <s v="Merchandise &amp; Supplies-Internet Purchase"/>
    <s v="AMEXPLATINUM"/>
    <x v="1"/>
  </r>
  <r>
    <d v="2025-06-07T00:00:00"/>
    <s v="ANTHROPOLOGIE  01464NEW YORK            NY"/>
    <n v="259.19"/>
    <s v="CH_3RXQUPJY +18002822200_x000a_ANTHROPOLOGIE  01464_x000a_NEW YORK_x000a_NY_x000a_+18002822200"/>
    <s v="ANTHROPOLOGIE  01464NEW YORK            NY"/>
    <s v="BLDG 3M_x000a_420 W BROADWAY"/>
    <s v="NEW YORK_x000a_NY"/>
    <n v="10012"/>
    <s v="UNITED STATES"/>
    <s v="'320251580107395743'"/>
    <s v="Merchandise &amp; Supplies-Clothing Stores"/>
    <s v="AMEXPLATINUM"/>
    <x v="3"/>
  </r>
  <r>
    <d v="2025-06-07T00:00:00"/>
    <s v="HERTZTOLL 960268724 ALBANY              NY"/>
    <n v="10.48"/>
    <s v="CH_3RXJ7HGT 8774114300_x000a_HERTZTOLL 960268724_x000a_ALBANY_x000a_NY_x000a_8774114300"/>
    <s v="HERTZTOLL 960268724 ALBANY              NY"/>
    <s v="1150 NORTH ALMA SCHOOL RD"/>
    <s v="MESA_x000a_AZ"/>
    <n v="85201"/>
    <s v="UNITED STATES"/>
    <s v="'320251580113651804'"/>
    <s v="Other-Miscellaneous"/>
    <s v="DELTARESERVE"/>
    <x v="9"/>
  </r>
  <r>
    <d v="2025-06-07T00:00:00"/>
    <s v="A1010BUSD01         MSBILL.INFO"/>
    <n v="21.38"/>
    <s v="Z72D5EVCTK2Z72D5EVCTK2V     98052_x000a_A1010BUSD01_x000a_MSBILL.INFO_x000a_Z72D5EVCTK2V     98052"/>
    <s v="A1010BUSD01         MSBILL.INFO"/>
    <s v="8TH FLOOR_x000a_91 MAIN ST"/>
    <s v="DALLAS_x000a_TX"/>
    <n v="75202"/>
    <s v="UNITED STATES"/>
    <s v="'320251580125419072'"/>
    <s v="Other-Miscellaneous"/>
    <s v="DELTARESERVE"/>
    <x v="1"/>
  </r>
  <r>
    <d v="2025-06-07T00:00:00"/>
    <s v="RAIL EUROPE 523130  PARIS"/>
    <n v="78.209999999999994"/>
    <s v="8IEFI6      18003617245_x000a_RAIL EUROPE 523130_x000a_PARIS_x000a_18003617245"/>
    <s v="RAIL EUROPE 523130  PARIS"/>
    <s v="13 - 15 RUE TAITBOUT_x000a_PARIS"/>
    <m/>
    <n v="75009"/>
    <s v="FRANCE"/>
    <s v="'320251590134294068'"/>
    <s v="Transportation-Rail Services"/>
    <s v="AMEXPLATINUM"/>
    <x v="3"/>
  </r>
  <r>
    <d v="2025-06-07T00:00:00"/>
    <s v="AIR FRANCE          NEW YORK"/>
    <n v="382.3"/>
    <s v="244887      AIRLINE/AIR CARRIER_x000a_PASSENGER TICKET_x000a_AIR FRANCE_x000a_NEW YORK_x000a_Carrier : AIR FRANCE_x000a_Passenger Name : NICOLA/CRISTIAN ALEXANDRU_x000a_Ticket Number : 05723393383610_x000a_Departure Day : 07/05_x000a_Additional Info : PASSENGER TICKET_x000a_From : PARIS CHARLES DE G_x000a_To : BARCELONA_x000a_Class : F"/>
    <s v="AIR FRANCE          NEW YORK"/>
    <s v="SUBMISSIONS USD"/>
    <s v="USA"/>
    <s v="00000"/>
    <s v="UNITED STATES"/>
    <s v="'320251590137159305'"/>
    <s v="Travel-Airline"/>
    <s v="DELTARESERVE"/>
    <x v="3"/>
  </r>
  <r>
    <d v="2025-06-07T00:00:00"/>
    <s v="AIR FRANCE          NEW YORK"/>
    <n v="21.7"/>
    <s v="244887      AIRLINE/AIR CARRIER_x000a_PREFERRED SEAT UPGRADE_x000a_AIR FRANCE_x000a_NEW YORK_x000a_Carrier : AIR FRANCE_x000a_Passenger Name : NICOLA/CRISTIAN ALEXANDRU_x000a_Ticket Number : 05742258523315_x000a_Additional Info : PREFERRED SEAT UPGRADE"/>
    <s v="AIR FRANCE          NEW YORK"/>
    <s v="SUBMISSIONS USD"/>
    <s v="USA"/>
    <s v="00000"/>
    <s v="UNITED STATES"/>
    <s v="'320251590137160788'"/>
    <s v="Travel-Airline"/>
    <s v="DELTARESERVE"/>
    <x v="3"/>
  </r>
  <r>
    <d v="2025-06-07T00:00:00"/>
    <s v="IONOS               www.ionos.com       PA"/>
    <n v="41.12"/>
    <s v="00587610473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1590141113717'"/>
    <s v="Merchandise &amp; Supplies-Computer Supplies"/>
    <s v="AMEXPLATINUM"/>
    <x v="1"/>
  </r>
  <r>
    <d v="2025-06-07T00:00:00"/>
    <s v="WIX.COM 1182181563  SAN FRANCISCO       CA"/>
    <n v="180.08"/>
    <s v="CH_3RXVRDAA +14154494724_x000a_WIX.COM 1182181563_x000a_SAN FRANCISCO_x000a_CA_x000a_+14154494724"/>
    <s v="WIX.COM 1182181563  SAN FRANCISCO       CA"/>
    <s v="BLVD FL 6_x000a_500 TERRY A FRANCOIS"/>
    <s v="SAN FRANCISCO_x000a_CA"/>
    <n v="94158"/>
    <s v="UNITED STATES"/>
    <s v="'320251600154745171'"/>
    <s v="Merchandise &amp; Supplies-Internet Purchase"/>
    <s v="AMEXPLATINUM"/>
    <x v="1"/>
  </r>
  <r>
    <d v="2025-06-07T00:00:00"/>
    <s v="ARLOTECHNOLOGIES INC408-638-3750        CA"/>
    <n v="21.39"/>
    <s v="218365053  218365053        12866_x000a_ARLOTECHNOLOGIES INC_x000a_408-638-3750_x000a_CA_x000a_218365053        12866"/>
    <s v="ARLOTECHNOLOGIES INC408-638-3750        CA"/>
    <s v="STE 200_x000a_480 N MCCARTHY BLVD"/>
    <s v="MILPITAS_x000a_CA"/>
    <n v="95035"/>
    <s v="UNITED STATES"/>
    <s v="'320251600158528271'"/>
    <s v="Merchandise &amp; Supplies-Wholesale Stores"/>
    <s v="DELTARESERVE"/>
    <x v="1"/>
  </r>
  <r>
    <d v="2025-06-08T00:00:00"/>
    <s v="UBER"/>
    <n v="22.51"/>
    <s v="2BVCN1WX   ZFULAWZP         10012_x000a_Uber Trip_x000a_help.uber.com_x000a_CA_x000a_ZFULAWZP         10012"/>
    <s v="Uber Trip           help.uber.com       CA"/>
    <s v="1455 MARKET ST_x000a_4TH FLOOR"/>
    <s v="SAN FRANCISCO_x000a_CA"/>
    <n v="94103"/>
    <s v="UNITED STATES"/>
    <s v="'320251590131221470'"/>
    <s v="Transportation-Taxis &amp; Coach"/>
    <s v="DELTARESERVE"/>
    <x v="2"/>
  </r>
  <r>
    <d v="2025-06-08T00:00:00"/>
    <s v="GOVERNORS BALL (MADDLEXINGTON           KY"/>
    <n v="80"/>
    <s v="CH_3RXPXTH4 +16502396947_x000a_GOVERNORS BALL (MADD M_x000a_LEXINGTON_x000a_KY_x000a_+16502396947"/>
    <s v="GOVERNORS BALL (MADDLEXINGTON           KY"/>
    <s v="143 WALTON AVE"/>
    <s v="LEXINGTON_x000a_KY"/>
    <n v="40508"/>
    <s v="UNITED STATES"/>
    <s v="'320251590132314158'"/>
    <s v="Merchandise &amp; Supplies-Clothing Stores"/>
    <s v="AMEXPLATINUM"/>
    <x v="3"/>
  </r>
  <r>
    <d v="2025-06-08T00:00:00"/>
    <s v="THE GOVERNORS BALL (OAK RIDGE NORTH     TX"/>
    <n v="37.880000000000003"/>
    <s v="CH_3RXPYKH4 +16502396947_x000a_THE GOVERNORS BALL (BA_x000a_OAK RIDGE NORTH_x000a_TX_x000a_+16502396947"/>
    <s v="THE GOVERNORS BALL (OAK RIDGE NORTH     TX"/>
    <s v="27328 SPECTRUM WAY"/>
    <s v="CONROE_x000a_TX"/>
    <n v="77385"/>
    <s v="UNITED STATES"/>
    <s v="'320251590132314243'"/>
    <s v="Restaurant-Bar &amp; CafÃ©"/>
    <s v="AMEXPLATINUM"/>
    <x v="3"/>
  </r>
  <r>
    <d v="2025-06-08T00:00:00"/>
    <s v="VUELING AIRLINES SA BARCELONA           ES"/>
    <n v="1329.05"/>
    <s v="NE53JY_2978 AIRLINE/AIR CARRIER_x000a_PASSENGER TICKET_x000a_VUELING AIRLINES SA_x000a_BARCELONA_x000a_ES_x000a_Carrier : Vueling_x000a_Passenger Name : Nicola/Cristian Alexandru_x000a_Ticket Number : NE53JY_x000a_Departure Day : 07/09_x000a_Additional Info : PASSENGER TICKET_x000a_From : BARCELONA_x000a_To : SEVILLE_x000a_Class : I_x000a_From : SEVILLE_x000a_To : BARCELONA_x000a_Class : IForeign Spend Amount: 1161.96 EURO Commission Amount:  Currency Exchange Rate: null"/>
    <s v="VUELING AIRLINES SA BARCELONA           ES"/>
    <s v="PARQUE DE NEGOCIOS MAS BLAU II_x000a_&quot;PLAZA PLA DE L'ESTANY, 5&quot;_x000a_EL PRAT DE LLOBREGAT"/>
    <m/>
    <s v="08820"/>
    <s v="SPAIN"/>
    <s v="'320251590150731051'"/>
    <s v="Travel-Airline"/>
    <s v="DELTARESERVE"/>
    <x v="3"/>
  </r>
  <r>
    <d v="2025-06-08T00:00:00"/>
    <s v="WIX.COM*1182003253  800-600-0949        NY"/>
    <n v="199.88"/>
    <s v="1182003253  800-600-0949_x000a_WIX.COM*1182003253_x000a_800-600-0949_x000a_NY_x000a_800-600-0949"/>
    <s v="WIX.COM*1182003253  800-600-0949        NY"/>
    <s v="2601 MISSION ST_x000a_STE 300"/>
    <s v="SAN FRANCISCO_x000a_CA"/>
    <n v="94110"/>
    <s v="UNITED STATES"/>
    <s v="'320251600175305692'"/>
    <s v="Merchandise &amp; Supplies-Internet Purchase"/>
    <s v="AMEXPLATINUM"/>
    <x v="1"/>
  </r>
  <r>
    <d v="2025-06-09T00:00:00"/>
    <s v="UBER"/>
    <n v="83.81"/>
    <s v="EP6PNCMV   PLJIZBH3         94105_x000a_Uber Trip_x000a_help.uber.com_x000a_CA_x000a_PLJIZBH3         94105"/>
    <s v="Uber Trip           help.uber.com       CA"/>
    <s v="1455 MARKET ST_x000a_4TH FLOOR"/>
    <s v="SAN FRANCISCO_x000a_CA"/>
    <n v="94103"/>
    <s v="UNITED STATES"/>
    <s v="'320251600161123797'"/>
    <s v="Transportation-Taxis &amp; Coach"/>
    <s v="DELTARESERVE"/>
    <x v="2"/>
  </r>
  <r>
    <d v="2025-06-09T00:00:00"/>
    <s v="UBER"/>
    <n v="82.74"/>
    <s v="J8QXZHG2   M5UZ7WPO         11368_x000a_Uber Trip_x000a_help.uber.com_x000a_CA_x000a_M5UZ7WPO         11368"/>
    <s v="Uber Trip           help.uber.com       CA"/>
    <s v="1455 MARKET ST_x000a_4TH FLOOR"/>
    <s v="SAN FRANCISCO_x000a_CA"/>
    <n v="94103"/>
    <s v="UNITED STATES"/>
    <s v="'320251600161322017'"/>
    <s v="Transportation-Taxis &amp; Coach"/>
    <s v="DELTARESERVE"/>
    <x v="2"/>
  </r>
  <r>
    <d v="2025-06-09T00:00:00"/>
    <s v="MICROSOFT           MSBILL.INFO"/>
    <n v="223.27"/>
    <s v="Z7385KC5HYOZ7385KC5HYOI     98052_x000a_MICROSOFT_x000a_MSBILL.INFO_x000a_Z7385KC5HYOI     98052"/>
    <s v="MICROSOFT           MSBILL.INFO"/>
    <s v="1 MICROSOFT WAY"/>
    <s v="REDMOND_x000a_WA"/>
    <n v="98052"/>
    <s v="UNITED STATES"/>
    <s v="'320251600164355623'"/>
    <s v="Other-Miscellaneous"/>
    <s v="DELTARESERVE"/>
    <x v="1"/>
  </r>
  <r>
    <d v="2025-06-09T00:00:00"/>
    <s v="MICROSOFT           MSBILL.INFO"/>
    <n v="165.4"/>
    <s v="Z7315J259H4Z7315J259H4F     98052_x000a_MICROSOFT_x000a_MSBILL.INFO_x000a_Z7315J259H4F     98052"/>
    <s v="MICROSOFT           MSBILL.INFO"/>
    <s v="1 MICROSOFT WAY"/>
    <s v="REDMOND_x000a_WA"/>
    <n v="98052"/>
    <s v="UNITED STATES"/>
    <s v="'320251600164388304'"/>
    <s v="Other-Miscellaneous"/>
    <s v="DELTARESERVE"/>
    <x v="1"/>
  </r>
  <r>
    <d v="2025-06-09T00:00:00"/>
    <s v="AIRFLIGHT INSURANCE PREMIUM 800-228-6855"/>
    <n v="14"/>
    <s v="TKT NO. 05723393383610_x000a_AIRFLIGHT INSURANCE PREMIUM 800-228-6855"/>
    <s v="AIRFLIGHT INSURANCE PREMIUM 800-228-6855"/>
    <s v="P O BOX 19020"/>
    <s v="GREENBAY_x000a_WI"/>
    <n v="54307"/>
    <s v="UNITED STATES"/>
    <s v="'320251600178019290'"/>
    <s v="Business Services-Insurance Services"/>
    <s v="DELTARESERVE"/>
    <x v="16"/>
  </r>
  <r>
    <d v="2025-06-09T00:00:00"/>
    <s v="AIRFLIGHT INSURANCE PREMIUM 800-228-6855"/>
    <n v="14"/>
    <s v="TKT NO. NE53JY_x000a_AIRFLIGHT INSURANCE PREMIUM 800-228-6855"/>
    <s v="AIRFLIGHT INSURANCE PREMIUM 800-228-6855"/>
    <s v="P O BOX 19020"/>
    <s v="GREENBAY_x000a_WI"/>
    <n v="54307"/>
    <s v="UNITED STATES"/>
    <s v="'320251600178019291'"/>
    <s v="Business Services-Insurance Services"/>
    <s v="DELTARESERVE"/>
    <x v="16"/>
  </r>
  <r>
    <d v="2025-06-09T00:00:00"/>
    <s v="BAGGAGE INSURANCE PREMIUM 800-228-6855"/>
    <n v="9.9499999999999993"/>
    <s v="TKT NO. 05723393383610_x000a_BAGGAGE INSURANCE PREMIUM 800-228-6855"/>
    <s v="BAGGAGE INSURANCE PREMIUM 800-228-6855"/>
    <s v="777 AMERICAN EXPRESSWAY_x000a_ATTN: TINA HYMAN"/>
    <s v="FT LAUDERDALE_x000a_FL"/>
    <n v="33337"/>
    <s v="UNITED STATES"/>
    <s v="'320251600178019292'"/>
    <s v="Business Services-Insurance Services"/>
    <s v="DELTARESERVE"/>
    <x v="16"/>
  </r>
  <r>
    <d v="2025-06-09T00:00:00"/>
    <s v="BAGGAGE INSURANCE PREMIUM 800-228-6855"/>
    <n v="9.9499999999999993"/>
    <s v="TKT NO. NE53JY_x000a_BAGGAGE INSURANCE PREMIUM 800-228-6855"/>
    <s v="BAGGAGE INSURANCE PREMIUM 800-228-6855"/>
    <s v="777 AMERICAN EXPRESSWAY_x000a_ATTN: TINA HYMAN"/>
    <s v="FT LAUDERDALE_x000a_FL"/>
    <n v="33337"/>
    <s v="UNITED STATES"/>
    <s v="'320251600178019293'"/>
    <s v="Business Services-Insurance Services"/>
    <s v="DELTARESERVE"/>
    <x v="16"/>
  </r>
  <r>
    <d v="2025-06-09T00:00:00"/>
    <s v="TRAVEL DELAY 800-228-6855"/>
    <n v="9.9499999999999993"/>
    <s v="TKT NO. NE53JY_x000a_TRAVEL DELAY 800-228-6855"/>
    <s v="TRAVEL DELAY 800-228-6855"/>
    <s v="3200 E CAMELBACK"/>
    <s v="PHOENIX_x000a_AZ"/>
    <n v="85016"/>
    <s v="UNITED STATES OF AMERICA (THE)"/>
    <s v="'320251600178019294'"/>
    <s v="Business Services-Insurance Services"/>
    <s v="DELTARESERVE"/>
    <x v="16"/>
  </r>
  <r>
    <d v="2025-06-09T00:00:00"/>
    <s v="TRAVEL DELAY 800-228-6855"/>
    <n v="9.9499999999999993"/>
    <s v="TKT NO. 05723393383610_x000a_TRAVEL DELAY 800-228-6855"/>
    <s v="TRAVEL DELAY 800-228-6855"/>
    <s v="3200 E CAMELBACK"/>
    <s v="PHOENIX_x000a_AZ"/>
    <n v="85016"/>
    <s v="UNITED STATES OF AMERICA (THE)"/>
    <s v="'320251600178019295'"/>
    <s v="Business Services-Insurance Services"/>
    <s v="DELTARESERVE"/>
    <x v="16"/>
  </r>
  <r>
    <d v="2025-06-09T00:00:00"/>
    <s v="JUICE GENERATION 19 NEW YORK            NY"/>
    <n v="12.79"/>
    <s v="31099535160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610192015050'"/>
    <s v="Restaurant-Bar &amp; CafÃ©"/>
    <s v="AMEXPLATINUM"/>
    <x v="3"/>
  </r>
  <r>
    <d v="2025-06-09T00:00:00"/>
    <s v="WWW.PERPLEXITY.AI   SAN FRANCISCO       CA"/>
    <n v="21.4"/>
    <s v="CH_3RYJQPGZ +15102700840_x000a_WWW.PERPLEXITY.AI_x000a_SAN FRANCISCO_x000a_CA_x000a_+15102700840"/>
    <s v="WWW.PERPLEXITY.AI   SAN FRANCISCO       CA"/>
    <s v="115 SANSOME ST_x000a_SUITE 900"/>
    <s v="SAN FRANCISCO_x000a_CA"/>
    <n v="94104"/>
    <s v="UNITED STATES"/>
    <s v="'320251610196862427'"/>
    <s v="Business Services-Office Supplies"/>
    <s v="DELTARESERVE"/>
    <x v="1"/>
  </r>
  <r>
    <d v="2025-06-09T00:00:00"/>
    <s v="ARISTON CAFE 0000   NEW YORK            NY"/>
    <n v="20.41"/>
    <s v="40500166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610197595167'"/>
    <s v="Restaurant-Bar &amp; CafÃ©"/>
    <s v="AMEXPLATINUM"/>
    <x v="3"/>
  </r>
  <r>
    <d v="2025-06-10T00:00:00"/>
    <s v="THE CLEANERS IO, LLCNew York            NY"/>
    <n v="96.7"/>
    <s v="BC5a1BbtdtW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610186199653'"/>
    <s v="Business Services-Other Services"/>
    <s v="DELTARESERVE"/>
    <x v="8"/>
  </r>
  <r>
    <d v="2025-06-10T00:00:00"/>
    <s v="TST* IL BUCO - BOND NEW YORK            NY"/>
    <n v="390"/>
    <s v="00041760025 RESTAURANT_x000a_TST* IL BUCO - BOND ST 00041760_x000a_NEW YORK_x000a_NY_x000a_RESTAURANT"/>
    <s v="TST* IL BUCO - BOND NEW YORK            NY"/>
    <s v="47 BOND ST FRNT 1"/>
    <s v="NEW YORK_x000a_NY"/>
    <n v="10012"/>
    <s v="UNITED STATES"/>
    <s v="'320251620220463903'"/>
    <s v="Restaurant-Restaurant"/>
    <s v="AMEXPLATINUM"/>
    <x v="11"/>
  </r>
  <r>
    <d v="2025-06-10T00:00:00"/>
    <s v="PETCO 3741 0374     NEW YORK            NY"/>
    <n v="85.63"/>
    <s v="37200007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1620222317178'"/>
    <s v="Merchandise &amp; Supplies-General Retail"/>
    <s v="AMEXPLATINUM"/>
    <x v="3"/>
  </r>
  <r>
    <d v="2025-06-11T00:00:00"/>
    <s v="MOBILE PAYMENT - THANK YOU"/>
    <n v="-5000"/>
    <s v="MOBILE PAYMENT - THANK YOU"/>
    <s v="MOBILE PAYMENT - THANK YOU"/>
    <m/>
    <m/>
    <m/>
    <m/>
    <s v="'320251620208672739'"/>
    <m/>
    <s v="DELTARESERVE"/>
    <x v="0"/>
  </r>
  <r>
    <d v="2025-06-11T00:00:00"/>
    <s v="COVERGIRL.MAXIM.COM SAN ANTONIO         TX"/>
    <n v="30"/>
    <s v="CH_3RYRXF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620210497683'"/>
    <s v="Business Services-Office Supplies"/>
    <s v="AMEXPLATINUM"/>
    <x v="3"/>
  </r>
  <r>
    <d v="2025-06-11T00:00:00"/>
    <s v="COVERGIRL.MAXIM.COM SAN ANTONIO         TX"/>
    <n v="10"/>
    <s v="CH_3RYSEG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620210567128'"/>
    <s v="Business Services-Office Supplies"/>
    <s v="AMEXPLATINUM"/>
    <x v="3"/>
  </r>
  <r>
    <d v="2025-06-11T00:00:00"/>
    <s v="DISTROKID EXTRAS    NEW YORK            NY"/>
    <n v="1.06"/>
    <s v="CH_2RYUGPJS +14153666101_x000a_DISTROKID EXTRAS_x000a_NEW YORK_x000a_NY_x000a_+14153666101"/>
    <s v="DISTROKID EXTRAS    NEW YORK            NY"/>
    <s v="228 PARK AVE SOUTH"/>
    <s v="NEW YORK_x000a_NY"/>
    <n v="10003"/>
    <s v="UNITED STATES"/>
    <s v="'320251620211838013'"/>
    <s v="Other-Miscellaneous"/>
    <s v="AMEXPLATINUM"/>
    <x v="3"/>
  </r>
  <r>
    <d v="2025-06-11T00:00:00"/>
    <s v="UBER"/>
    <n v="51.73"/>
    <s v="96QVV93V   RR6MNT2T         94105_x000a_Uber Trip_x000a_help.uber.com_x000a_CA_x000a_RR6MNT2T         94105"/>
    <s v="Uber Trip           help.uber.com       CA"/>
    <s v="1455 MARKET ST_x000a_4TH FLOOR"/>
    <s v="SAN FRANCISCO_x000a_CA"/>
    <n v="94103"/>
    <s v="UNITED STATES"/>
    <s v="'320251620215676798'"/>
    <s v="Transportation-Taxis &amp; Coach"/>
    <s v="DELTARESERVE"/>
    <x v="2"/>
  </r>
  <r>
    <d v="2025-06-11T00:00:00"/>
    <s v="UBER"/>
    <n v="43.66"/>
    <s v="GJ2YWR49   Q3BAAQUD         10012_x000a_Uber Trip_x000a_help.uber.com_x000a_CA_x000a_Q3BAAQUD         10012"/>
    <s v="Uber Trip           help.uber.com       CA"/>
    <s v="1455 MARKET ST_x000a_4TH FLOOR"/>
    <s v="SAN FRANCISCO_x000a_CA"/>
    <n v="94103"/>
    <s v="UNITED STATES"/>
    <s v="'320251620215798702'"/>
    <s v="Transportation-Taxis &amp; Coach"/>
    <s v="DELTARESERVE"/>
    <x v="2"/>
  </r>
  <r>
    <d v="2025-06-11T00:00:00"/>
    <s v="ILLUSTRATOR Adobe SySAN JOSE            CA"/>
    <n v="36.9"/>
    <s v="588714868   ADOBE.LY/ENUS_x000a_ILLUSTRATOR Adobe Systems_x000a_SAN JOSE_x000a_CA_x000a_Description : 0 Price : 0.3449_x000a_ADOBE.LY/ENUS"/>
    <s v="ILLUSTRATOR Adobe SySAN JOSE            CA"/>
    <s v="801 N 34TH ST"/>
    <s v="SEATTLE_x000a_WA"/>
    <n v="98103"/>
    <s v="UNITED STATES"/>
    <s v="'320251630246469321'"/>
    <s v="Merchandise &amp; Supplies-Mail Order"/>
    <s v="AMEXPLATINUM"/>
    <x v="1"/>
  </r>
  <r>
    <d v="2025-06-11T00:00:00"/>
    <s v="ADOBE SYSTEMS Adobe SAN JOSE            CA"/>
    <n v="21.39"/>
    <s v="588714662   www.adobe.com_x000a_ADOBE SYSTEMS Adobe Systems_x000a_SAN JOSE_x000a_CA_x000a_Description : 0 Price : 0.1999_x000a_www.adobe.com"/>
    <s v="ADOBE SYSTEMS Adobe SAN JOSE            CA"/>
    <s v="801 N 34TH ST"/>
    <s v="SEATTLE_x000a_WA"/>
    <n v="98103"/>
    <s v="UNITED STATES"/>
    <s v="'320251630247620664'"/>
    <s v="Merchandise &amp; Supplies-Mail Order"/>
    <s v="AMEXPLATINUM"/>
    <x v="1"/>
  </r>
  <r>
    <d v="2025-06-11T00:00:00"/>
    <s v="GETTHELEVERAGE.COM  BOSTON              MA"/>
    <n v="15"/>
    <s v="CH_3RZ3AJG7 +15082931383_x000a_GETTHELEVERAGE.COM_x000a_BOSTON_x000a_MA_x000a_+15082931383"/>
    <s v="GETTHELEVERAGE.COM  BOSTON              MA"/>
    <s v="1693 BEACON ST_x000a_APT 3"/>
    <s v="BROOKLINE_x000a_MA"/>
    <s v="02445"/>
    <s v="UNITED STATES"/>
    <s v="'320251630254354968'"/>
    <s v="Business Services-Office Supplies"/>
    <s v="DELTARESERVE"/>
    <x v="1"/>
  </r>
  <r>
    <d v="2025-06-12T00:00:00"/>
    <s v="ONLINE PAYMENT - THANK YOU"/>
    <n v="-2500"/>
    <s v="ONLINE PAYMENT - THANK YOU"/>
    <s v="ONLINE PAYMENT - THANK YOU"/>
    <m/>
    <m/>
    <m/>
    <m/>
    <s v="'320251630237096844'"/>
    <m/>
    <s v="AMEXPLATINUM"/>
    <x v="0"/>
  </r>
  <r>
    <d v="2025-06-12T00:00:00"/>
    <s v="ONLINE PAYMENT - THANK YOU"/>
    <n v="-2500"/>
    <s v="ONLINE PAYMENT - THANK YOU"/>
    <s v="ONLINE PAYMENT - THANK YOU"/>
    <m/>
    <m/>
    <m/>
    <m/>
    <s v="'320251630237105628'"/>
    <m/>
    <s v="DELTARESERVE"/>
    <x v="0"/>
  </r>
  <r>
    <d v="2025-06-12T00:00:00"/>
    <s v="UBER"/>
    <n v="48.43"/>
    <s v="00PXY1E4   GEA2AQCR         10012_x000a_Uber Trip_x000a_help.uber.com_x000a_CA_x000a_GEA2AQCR         10012"/>
    <s v="Uber Trip           help.uber.com       CA"/>
    <s v="1455 MARKET ST_x000a_4TH FLOOR"/>
    <s v="SAN FRANCISCO_x000a_CA"/>
    <n v="94103"/>
    <s v="UNITED STATES"/>
    <s v="'320251630242430112'"/>
    <s v="Transportation-Taxis &amp; Coach"/>
    <s v="DELTARESERVE"/>
    <x v="2"/>
  </r>
  <r>
    <d v="2025-06-12T00:00:00"/>
    <s v="UBER"/>
    <n v="109.14"/>
    <s v="61CXQ2WY   UBPTXZPM         10021_x000a_Uber Trip_x000a_help.uber.com_x000a_CA_x000a_UBPTXZPM         10021"/>
    <s v="Uber Trip           help.uber.com       CA"/>
    <s v="1455 MARKET ST_x000a_4TH FLOOR"/>
    <s v="SAN FRANCISCO_x000a_CA"/>
    <n v="94103"/>
    <s v="UNITED STATES"/>
    <s v="'320251630242509829'"/>
    <s v="Transportation-Taxis &amp; Coach"/>
    <s v="DELTARESERVE"/>
    <x v="2"/>
  </r>
  <r>
    <d v="2025-06-12T00:00:00"/>
    <s v="GOOGLE *ISHARINGSOFT G.CO/HELPPAY#      CA"/>
    <n v="16.04"/>
    <s v="A1106FQ7    COMPUTER STORE_x000a_GOOGLE *ISHARINGSOFT_x000a_G.CO/HELPPAY#_x000a_CA_x000a_COMPUTER STORE"/>
    <s v="GOOGLE *ISHARINGSOFT G.CO/HELPPAY#      CA"/>
    <s v="1600 AMPHITHEATRE PKWY"/>
    <s v="MOUNTAIN VIEW_x000a_CA"/>
    <s v="94043-1351"/>
    <s v="UNITED STATES"/>
    <s v="'320251630251012321'"/>
    <s v="Business Services-Internet Services"/>
    <s v="DELTARESERVE"/>
    <x v="1"/>
  </r>
  <r>
    <d v="2025-06-12T00:00:00"/>
    <s v="FACEBK *META VERIFIEFB.ME/CC            CA"/>
    <n v="11.99"/>
    <s v="23992536653 DGTL CONTENT_x000a_FACEBK *META VERIFIED_x000a_FB.ME/CC_x000a_CA_x000a_DGTL CONTENT"/>
    <s v="FACEBK *META VERIFIEFB.ME/CC            CA"/>
    <s v="1 HACKER WAY"/>
    <s v="MENLO PARK_x000a_CA"/>
    <n v="94025"/>
    <s v="UNITED STATES"/>
    <s v="'320251640289542783'"/>
    <s v="Business Services-Office Supplies"/>
    <s v="AMEXPLATINUM"/>
    <x v="3"/>
  </r>
  <r>
    <d v="2025-06-13T00:00:00"/>
    <s v="LINKEDIN SN P6556893MOUNTAIN VIEW"/>
    <n v="106.99"/>
    <s v="P655689354  SUBSCRIPTIONS_x000a_LINKEDIN SN P655689354_x000a_MOUNTAIN VIEW_x000a_SUBSCRIPTIONS"/>
    <s v="LINKEDIN SN P6556893MOUNTAIN VIEW"/>
    <s v="2029 STIERLIN CT_x000a_STE 200"/>
    <s v="MOUNTAIN VIEW_x000a_CA"/>
    <s v="94043-4655"/>
    <s v="UNITED STATES"/>
    <s v="'320251640268043173'"/>
    <s v="Merchandise &amp; Supplies-Internet Purchase"/>
    <s v="AMEXPLATINUM"/>
    <x v="4"/>
  </r>
  <r>
    <d v="2025-06-13T00:00:00"/>
    <s v="UBER"/>
    <n v="57.18"/>
    <s v="Q3B2RQ3R   CNKTYVJN         10012_x000a_Uber Trip_x000a_help.uber.com_x000a_CA_x000a_CNKTYVJN         10012"/>
    <s v="Uber Trip           help.uber.com       CA"/>
    <s v="1455 MARKET ST_x000a_4TH FLOOR"/>
    <s v="SAN FRANCISCO_x000a_CA"/>
    <n v="94103"/>
    <s v="UNITED STATES"/>
    <s v="'320251640270872978'"/>
    <s v="Transportation-Taxis &amp; Coach"/>
    <s v="DELTARESERVE"/>
    <x v="2"/>
  </r>
  <r>
    <d v="2025-06-13T00:00:00"/>
    <s v="CVS PHARMACY        NEW YORK            NY"/>
    <n v="49.64"/>
    <s v="10176759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1650309700809'"/>
    <s v="Merchandise &amp; Supplies-Pharmacies"/>
    <s v="AMEXPLATINUM"/>
    <x v="3"/>
  </r>
  <r>
    <d v="2025-06-13T00:00:00"/>
    <s v="COVERGIRL.MAXIM.COM SAN ANTONIO         TX"/>
    <n v="20"/>
    <s v="CH_3RZGOI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650311901789'"/>
    <s v="Business Services-Office Supplies"/>
    <s v="AMEXPLATINUM"/>
    <x v="3"/>
  </r>
  <r>
    <d v="2025-06-13T00:00:00"/>
    <s v="JUICE GENERATION 19 NEW YORK            NY"/>
    <n v="12.79"/>
    <s v="31099535164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650315235006'"/>
    <s v="Restaurant-Bar &amp; CafÃ©"/>
    <s v="AMEXPLATINUM"/>
    <x v="3"/>
  </r>
  <r>
    <d v="2025-06-14T00:00:00"/>
    <s v="PATREON* MEMBERSHIP SAN FRANCISCO       CA"/>
    <n v="20.18"/>
    <s v="831QPY00094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1650298331854'"/>
    <s v="Business Services-Office Supplies"/>
    <s v="AMEXPLATINUM"/>
    <x v="3"/>
  </r>
  <r>
    <d v="2025-06-14T00:00:00"/>
    <s v="AT&amp;T"/>
    <n v="109.42"/>
    <s v="48101738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1660339393993'"/>
    <s v="Communications-Mobile Telecom"/>
    <s v="DELTARESERVE"/>
    <x v="5"/>
  </r>
  <r>
    <d v="2025-06-14T00:00:00"/>
    <s v="SONGHALL.ORG        KATONAH             NY"/>
    <n v="100"/>
    <s v="CH_3RZZL7FQ +19145791000_x000a_SONGHALL.ORG_x000a_KATONAH_x000a_NY_x000a_+19145791000"/>
    <s v="SONGHALL.ORG        KATONAH             NY"/>
    <s v="33 KATONAH AVE"/>
    <s v="KATONAH_x000a_NY"/>
    <n v="10536"/>
    <s v="UNITED STATES"/>
    <s v="'320251660343403487'"/>
    <s v="Entertainment-Associations"/>
    <s v="AMEXPLATINUM"/>
    <x v="3"/>
  </r>
  <r>
    <d v="2025-06-15T00:00:00"/>
    <s v="TST* EYVAL 00198002 BROOKLYN            NY"/>
    <n v="80"/>
    <s v="21105175167 RESTAURANT_x000a_TST* EYVAL 00198002_x000a_BROOKLYN_x000a_NY_x000a_RESTAURANT"/>
    <s v="TST* EYVAL 00198002 BROOKLYN            NY"/>
    <s v="25 BOGART ST"/>
    <s v="BROOKLYN_x000a_NY"/>
    <n v="11206"/>
    <s v="UNITED STATES"/>
    <s v="'320251670357504310'"/>
    <s v="Restaurant-Restaurant"/>
    <s v="AMEXPLATINUM"/>
    <x v="3"/>
  </r>
  <r>
    <d v="2025-06-15T00:00:00"/>
    <s v="TABULAR EDITOR APS  COPENHAGEN V        DK"/>
    <n v="10"/>
    <s v="CH_3RAPPWAV +4553503099_x000a_TABULAR EDITOR APS_x000a_COPENHAGEN V_x000a_DK_x000a_+4553503099"/>
    <s v="TABULAR EDITOR APS  COPENHAGEN V        DK"/>
    <s v="SUNDKAJ 125_x000a_NORDHAVN"/>
    <m/>
    <n v="2150"/>
    <s v="DENMARK"/>
    <s v="'320251670359635481'"/>
    <s v="Merchandise &amp; Supplies-Computer Supplies"/>
    <s v="DELTARESERVE"/>
    <x v="1"/>
  </r>
  <r>
    <d v="2025-06-15T00:00:00"/>
    <s v="NYCT PAYGO          NEW YORK            NY"/>
    <n v="2.9"/>
    <s v="00827807733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1670360085997'"/>
    <s v="Transportation-Rail Services"/>
    <s v="AMEXPLATINUM"/>
    <x v="14"/>
  </r>
  <r>
    <d v="2025-06-15T00:00:00"/>
    <s v="NYCT PAYGO          NEW YORK            NY"/>
    <n v="2.9"/>
    <s v="00827848328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1670360339759'"/>
    <s v="Transportation-Rail Services"/>
    <s v="AMEXPLATINUM"/>
    <x v="14"/>
  </r>
  <r>
    <d v="2025-06-15T00:00:00"/>
    <s v="GRUBHUB*SHUKA       NEW YORK            NY"/>
    <n v="70.06"/>
    <s v="H2XVXCHB    8775851085_x000a_GRUBHUB*SHUKA_x000a_NEW YORK_x000a_NY_x000a_8775851085"/>
    <s v="GRUBHUB*SHUKA       NEW YORK            NY"/>
    <s v="SUITE 2100_x000a_111 W WASHINGTON"/>
    <s v="CHICAGO_x000a_IL"/>
    <n v="60602"/>
    <s v="UNITED STATES"/>
    <s v="'320251670363125512'"/>
    <s v="Restaurant-Restaurant"/>
    <s v="AMEXPLATINUM"/>
    <x v="3"/>
  </r>
  <r>
    <d v="2025-06-15T00:00:00"/>
    <s v="JUICE GENERATION 19 NEW YORK            NY"/>
    <n v="12.79"/>
    <s v="31099535166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670363672667'"/>
    <s v="Restaurant-Bar &amp; CafÃ©"/>
    <s v="AMEXPLATINUM"/>
    <x v="3"/>
  </r>
  <r>
    <d v="2025-06-15T00:00:00"/>
    <s v="SADDLE RIVER MUNICIPHAMILTON            NJ"/>
    <n v="391.4"/>
    <s v="333147250   201-327-2132_x000a_SADDLE RIVER MUNICIPAL C_x000a_HAMILTON_x000a_NJ_x000a_Description : NJ 0258 SADDLE RIVE Price : 0.00_x000a_201-327-2132"/>
    <s v="SADDLE RIVER MUNICIPHAMILTON            NJ"/>
    <s v="15 WEST STATE ST 2ND_x000a_FL"/>
    <s v="TRENTON_x000a_NJ"/>
    <s v="08608"/>
    <s v="UNITED STATES"/>
    <s v="'320251670366624714'"/>
    <s v="Other-Government Services"/>
    <s v="DELTARESERVE"/>
    <x v="10"/>
  </r>
  <r>
    <d v="2025-06-15T00:00:00"/>
    <s v="DOWN UNDER COFFEE LLNEW YORK            NY"/>
    <n v="7.62"/>
    <s v="62900053    516-353-0015_x000a_DOWN UNDER COFFEE LLC 0000_x000a_NEW YORK_x000a_NY_x000a_Description : FAST FOOD RESTAURAN Price : 0.00_x000a_516-353-0015"/>
    <s v="DOWN UNDER COFFEE LLNEW YORK            NY"/>
    <s v="1000S 8TH AVE"/>
    <s v="NEW YORK_x000a_NY"/>
    <n v="10019"/>
    <s v="UNITED STATES"/>
    <s v="'320251670369043303'"/>
    <s v="Restaurant-Bar &amp; CafÃ©"/>
    <s v="AMEXPLATINUM"/>
    <x v="3"/>
  </r>
  <r>
    <d v="2025-06-15T00:00:00"/>
    <s v="STEWARTS ICE CREAM  SARATOGA SPRINGS    NY"/>
    <n v="66.78"/>
    <s v="00251800009 5185811201_x000a_STEWARTS ICE CREAM_x000a_SARATOGA SPRINGS_x000a_NY_x000a_Description : AUTOMATED FUEL Price : 0.6678_x000a_5185811201"/>
    <s v="STEWARTS ICE CREAM  SARATOGA SPRINGS    NY"/>
    <s v="402 LK AVE"/>
    <s v="SARATOGA SPRINGS_x000a_NY"/>
    <n v="12866"/>
    <s v="UNITED STATES"/>
    <s v="'320251670369658555'"/>
    <s v="Transportation-Fuel"/>
    <s v="DELTARESERVE"/>
    <x v="7"/>
  </r>
  <r>
    <d v="2025-06-16T00:00:00"/>
    <s v="DROPBOX*LXKFBV6V33SVSAN FRANCISCO       CA"/>
    <n v="119.88"/>
    <s v="GYRWESPG   621559370        94107_x000a_DROPBOX*LXKFBV6V33SV_x000a_SAN FRANCISCO_x000a_CA_x000a_621559370        94107"/>
    <s v="DROPBOX*LXKFBV6V33SVSAN FRANCISCO       CA"/>
    <s v="333 BRANNAN ST"/>
    <s v="SAN FRANCISCO_x000a_CA"/>
    <n v="94107"/>
    <s v="UNITED STATES"/>
    <s v="'320251670350313529'"/>
    <s v="Other-Miscellaneous"/>
    <s v="DELTARESERVE"/>
    <x v="1"/>
  </r>
  <r>
    <d v="2025-06-16T00:00:00"/>
    <s v="SPLICE.COM          NEW YORK            NY"/>
    <n v="27.99"/>
    <s v="CH_3RAGXFCF 3235775423_x000a_SPLICE.COM_x000a_NEW YORK_x000a_NY_x000a_3235775423"/>
    <s v="SPLICE.COM          NEW YORK            NY"/>
    <s v="817 BROADWAY FLOOR 4"/>
    <s v="NEW YORK_x000a_NY"/>
    <n v="10003"/>
    <s v="UNITED STATES"/>
    <s v="'320251670352470193'"/>
    <s v="Merchandise &amp; Supplies-Computer Supplies"/>
    <s v="AMEXPLATINUM"/>
    <x v="3"/>
  </r>
  <r>
    <d v="2025-06-16T00:00:00"/>
    <s v="WEGMANS ASTOR PLACE NEW YORK            NY"/>
    <n v="73.33"/>
    <s v="W15640900165854293656_x000a_WEGMANS ASTOR PLACE 156 000000156_x000a_NEW YORK_x000a_NY_x000a_5854293656"/>
    <s v="WEGMANS ASTOR PLACE NEW YORK            NY"/>
    <s v="770 BROADWAY"/>
    <s v="NEW YORK_x000a_NY"/>
    <n v="10003"/>
    <s v="UNITED STATES"/>
    <s v="'320251680388061909'"/>
    <s v="Merchandise &amp; Supplies-Groceries"/>
    <s v="AMEXPLATINUM"/>
    <x v="3"/>
  </r>
  <r>
    <d v="2025-06-16T00:00:00"/>
    <s v="LEMONADE INSURANCE CNEW YORK            NY"/>
    <n v="50.67"/>
    <s v="######DFKmm INSURANCE SALES_x000a_LEMONADE INSURANCE COMPANY_x000a_NEW YORK_x000a_NY_x000a_INSURANCE SALES"/>
    <s v="LEMONADE INSURANCE CNEW YORK            NY"/>
    <s v="5 CROSBY ST FL 3"/>
    <s v="NEW YORK_x000a_NY"/>
    <n v="10013"/>
    <s v="UNITED STATES"/>
    <s v="'320251680399816682'"/>
    <s v="Business Services-Insurance Services"/>
    <s v="AMEXPLATINUM"/>
    <x v="3"/>
  </r>
  <r>
    <d v="2025-06-17T00:00:00"/>
    <s v="HERTZTOLL 960268724 ALBANY              NY"/>
    <n v="32.65"/>
    <s v="CH_3RAV8AGT 8774114300_x000a_HERTZTOLL 960268724_x000a_ALBANY_x000a_NY_x000a_8774114300"/>
    <s v="HERTZTOLL 960268724 ALBANY              NY"/>
    <s v="1150 NORTH ALMA SCHOOL RD"/>
    <s v="MESA_x000a_AZ"/>
    <n v="85201"/>
    <s v="UNITED STATES"/>
    <s v="'320251680385647163'"/>
    <s v="Other-Miscellaneous"/>
    <s v="DELTARESERVE"/>
    <x v="9"/>
  </r>
  <r>
    <d v="2025-06-17T00:00:00"/>
    <s v="ARISTON CAFE 0000   NEW YORK            NY"/>
    <n v="9.8000000000000007"/>
    <s v="40100219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690421982387'"/>
    <s v="Restaurant-Bar &amp; CafÃ©"/>
    <s v="AMEXPLATINUM"/>
    <x v="3"/>
  </r>
  <r>
    <d v="2025-06-17T00:00:00"/>
    <s v="ENTERPRISE RENT-A-CANEW YORK            NY"/>
    <n v="1131.55"/>
    <s v="012473651   212-5332900_x000a_ENTERPRISE RENT-A-CAR_x000a_NEW YORK_x000a_NY"/>
    <s v="ENTERPRISE RENT-A-CANEW YORK            NY"/>
    <s v="221 THOMPSON ST"/>
    <s v="NEW YORK_x000a_NY"/>
    <n v="10012"/>
    <s v="UNITED STATES"/>
    <s v="'320251690423266720'"/>
    <s v="Travel-Vehicle Rental"/>
    <s v="DELTARESERVE"/>
    <x v="9"/>
  </r>
  <r>
    <d v="2025-06-18T00:00:00"/>
    <s v="UBER"/>
    <n v="32.68"/>
    <s v="NKWASW6S   KEL2ICG6         10012_x000a_Uber Trip_x000a_help.uber.com_x000a_CA_x000a_KEL2ICG6         10012"/>
    <s v="Uber Trip           help.uber.com       CA"/>
    <s v="1455 MARKET ST_x000a_4TH FLOOR"/>
    <s v="SAN FRANCISCO_x000a_CA"/>
    <n v="94103"/>
    <s v="UNITED STATES"/>
    <s v="'320251690409907019'"/>
    <s v="Transportation-Taxis &amp; Coach"/>
    <s v="DELTARESERVE"/>
    <x v="2"/>
  </r>
  <r>
    <d v="2025-06-18T00:00:00"/>
    <s v="UBER"/>
    <n v="35.159999999999997"/>
    <s v="J4VQG0YD   QE5BJM5H         10001_x000a_Uber Trip_x000a_help.uber.com_x000a_CA_x000a_QE5BJM5H         10001"/>
    <s v="Uber Trip           help.uber.com       CA"/>
    <s v="1455 MARKET ST_x000a_4TH FLOOR"/>
    <s v="SAN FRANCISCO_x000a_CA"/>
    <n v="94103"/>
    <s v="UNITED STATES"/>
    <s v="'320251690410771401'"/>
    <s v="Transportation-Taxis &amp; Coach"/>
    <s v="DELTARESERVE"/>
    <x v="2"/>
  </r>
  <r>
    <d v="2025-06-18T00:00:00"/>
    <s v="IDEA BROWSER        AVENTURA            FL"/>
    <n v="299"/>
    <s v="CH_3RBAVWEK +14158890787_x000a_IDEA BROWSER_x000a_AVENTURA_x000a_FL_x000a_+14158890787"/>
    <s v="IDEA BROWSER        AVENTURA            FL"/>
    <s v="4000 IS BLVD_x000a_901"/>
    <s v="AVENTURA_x000a_FL"/>
    <n v="33160"/>
    <s v="UNITED STATES"/>
    <s v="'320251700438173615'"/>
    <s v="Other-Miscellaneous"/>
    <s v="DELTARESERVE"/>
    <x v="1"/>
  </r>
  <r>
    <d v="2025-06-18T00:00:00"/>
    <s v="ERACTOLL 7Y329K     877-860-1258        NY"/>
    <n v="11.19"/>
    <s v="T198988098  877-860-1258_x000a_ERACTOLL 7Y329K_x000a_877-860-1258_x000a_NY_x000a_Description : ERACTOLL 7Y329K Price : 0.00_x000a_877-860-1258"/>
    <s v="ERACTOLL 7Y329K     877-860-1258        NY"/>
    <s v="-"/>
    <e v="#NAME?"/>
    <n v="11577"/>
    <s v="UNITED STATES"/>
    <s v="'320251700446667131'"/>
    <s v="Transportation-Tolls &amp; Fees"/>
    <s v="DELTARESERVE"/>
    <x v="9"/>
  </r>
  <r>
    <d v="2025-06-18T00:00:00"/>
    <s v="JUICE GENERATION 19 NEW YORK            NY"/>
    <n v="12.79"/>
    <s v="31099535169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700448438217'"/>
    <s v="Restaurant-Bar &amp; CafÃ©"/>
    <s v="AMEXPLATINUM"/>
    <x v="3"/>
  </r>
  <r>
    <d v="2025-06-19T00:00:00"/>
    <s v="UBER"/>
    <n v="20.34"/>
    <s v="595R296P   AHK5SLKG         11249_x000a_Uber Trip_x000a_help.uber.com_x000a_CA_x000a_AHK5SLKG         11249"/>
    <s v="Uber Trip           help.uber.com       CA"/>
    <s v="1455 MARKET ST_x000a_4TH FLOOR"/>
    <s v="SAN FRANCISCO_x000a_CA"/>
    <n v="94103"/>
    <s v="UNITED STATES"/>
    <s v="'320251700437786531'"/>
    <s v="Transportation-Taxis &amp; Coach"/>
    <s v="DELTARESERVE"/>
    <x v="2"/>
  </r>
  <r>
    <d v="2025-06-19T00:00:00"/>
    <s v="UBER"/>
    <n v="84.55"/>
    <s v="85AWJPGR   PDXNHWXX         11203_x000a_Uber Trip_x000a_help.uber.com_x000a_CA_x000a_PDXNHWXX         11203"/>
    <s v="Uber Trip           help.uber.com       CA"/>
    <s v="1455 MARKET ST_x000a_4TH FLOOR"/>
    <s v="SAN FRANCISCO_x000a_CA"/>
    <n v="94103"/>
    <s v="UNITED STATES"/>
    <s v="'320251700437823311'"/>
    <s v="Transportation-Taxis &amp; Coach"/>
    <s v="DELTARESERVE"/>
    <x v="2"/>
  </r>
  <r>
    <d v="2025-06-19T00:00:00"/>
    <s v="UBER"/>
    <n v="70.06"/>
    <s v="57XCRHJ1   W7B4CRAW         11249_x000a_Uber Trip_x000a_help.uber.com_x000a_CA_x000a_W7B4CRAW         11249"/>
    <s v="Uber Trip           help.uber.com       CA"/>
    <s v="1455 MARKET ST_x000a_4TH FLOOR"/>
    <s v="SAN FRANCISCO_x000a_CA"/>
    <n v="94103"/>
    <s v="UNITED STATES"/>
    <s v="'320251700438113020'"/>
    <s v="Transportation-Taxis &amp; Coach"/>
    <s v="DELTARESERVE"/>
    <x v="2"/>
  </r>
  <r>
    <d v="2025-06-19T00:00:00"/>
    <s v="UBER"/>
    <n v="80.44"/>
    <s v="QS8NWSB4   TY53X2EL         94105_x000a_Uber Trip_x000a_help.uber.com_x000a_CA_x000a_TY53X2EL         94105"/>
    <s v="Uber Trip           help.uber.com       CA"/>
    <s v="1455 MARKET ST_x000a_4TH FLOOR"/>
    <s v="SAN FRANCISCO_x000a_CA"/>
    <n v="94103"/>
    <s v="UNITED STATES"/>
    <s v="'320251700438917891'"/>
    <s v="Transportation-Taxis &amp; Coach"/>
    <s v="DELTARESERVE"/>
    <x v="2"/>
  </r>
  <r>
    <d v="2025-06-19T00:00:00"/>
    <s v="PREM CAR RENTAL PROTECTION 800-228-6855"/>
    <n v="24.95"/>
    <s v="CRA012473651 06/17/2025 NEW YORK_x000a_PREM CAR RENTAL PROTECTION 800-228-6855"/>
    <s v="PREM CAR RENTAL PROTECTION 800-228-6855"/>
    <s v="200 VESEY STREET_x000a_43RD FLOOR"/>
    <s v="NEW YORK_x000a_NY"/>
    <n v="10285"/>
    <s v="UNITED STATES"/>
    <s v="'320251700455958607'"/>
    <s v="Business Services-Insurance Services"/>
    <s v="DELTARESERVE"/>
    <x v="9"/>
  </r>
  <r>
    <d v="2025-06-19T00:00:00"/>
    <s v="ONLINE PAYMENT - THANK YOU"/>
    <n v="-2500"/>
    <s v="ONLINE PAYMENT - THANK YOU"/>
    <s v="ONLINE PAYMENT - THANK YOU"/>
    <m/>
    <m/>
    <m/>
    <m/>
    <s v="'320251710456036908'"/>
    <m/>
    <s v="DELTARESERVE"/>
    <x v="0"/>
  </r>
  <r>
    <d v="2025-06-19T00:00:00"/>
    <s v="ONLINE PAYMENT - THANK YOU"/>
    <n v="-2500"/>
    <s v="ONLINE PAYMENT - THANK YOU"/>
    <s v="ONLINE PAYMENT - THANK YOU"/>
    <m/>
    <m/>
    <m/>
    <m/>
    <s v="'320251710456037109'"/>
    <m/>
    <s v="AMEXPLATINUM"/>
    <x v="0"/>
  </r>
  <r>
    <d v="2025-06-19T00:00:00"/>
    <s v="CVS/PHARMACY #10612 MANHATTAN           NY"/>
    <n v="38.08"/>
    <s v="10106746   8007467287_x000a_PHARMACIES_x000a_CVS/PHARMACY #10612 000010612_x000a_MANHATTAN_x000a_NY_x000a_PHARMACIES_x000a_8007467287"/>
    <s v="CVS/PHARMACY #10612 MANHATTAN           NY"/>
    <s v="5TH AVE 14TH ST_x000a_SEC"/>
    <s v="MANHATTAN_x000a_NY"/>
    <n v="10011"/>
    <s v="UNITED STATES"/>
    <s v="'320251710470975710'"/>
    <s v="Merchandise &amp; Supplies-Pharmacies"/>
    <s v="AMEXPLATINUM"/>
    <x v="3"/>
  </r>
  <r>
    <d v="2025-06-19T00:00:00"/>
    <s v="JUICE GENERATION 19 NEW YORK            NY"/>
    <n v="12.79"/>
    <s v="31099535173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740560253771'"/>
    <s v="Restaurant-Bar &amp; CafÃ©"/>
    <s v="AMEXPLATINUM"/>
    <x v="3"/>
  </r>
  <r>
    <d v="2025-06-20T00:00:00"/>
    <s v="URBAN OUTFITTERS 000NEW YORK            NY"/>
    <n v="120.51"/>
    <s v="CH_3RC9UXJY +18002822200_x000a_URBAN OUTFITTERS 00004_x000a_NEW YORK_x000a_NY_x000a_+18002822200"/>
    <s v="URBAN OUTFITTERS 000NEW YORK            NY"/>
    <s v="628 BROADWAY"/>
    <s v="NEW YORK_x000a_NY"/>
    <n v="10012"/>
    <s v="UNITED STATES"/>
    <s v="'320251710460784537'"/>
    <s v="Merchandise &amp; Supplies-Clothing Stores"/>
    <s v="AMEXPLATINUM"/>
    <x v="3"/>
  </r>
  <r>
    <d v="2025-06-20T00:00:00"/>
    <s v="SPLICE.COM          NEW YORK            NY"/>
    <n v="13.9"/>
    <s v="CH_3RC67RCF 3235775423_x000a_SPLICE.COM_x000a_NEW YORK_x000a_NY_x000a_3235775423"/>
    <s v="SPLICE.COM          NEW YORK            NY"/>
    <s v="817 BROADWAY FLOOR 4"/>
    <s v="NEW YORK_x000a_NY"/>
    <n v="10003"/>
    <s v="UNITED STATES"/>
    <s v="'320251710465196415'"/>
    <s v="Merchandise &amp; Supplies-Computer Supplies"/>
    <s v="AMEXPLATINUM"/>
    <x v="3"/>
  </r>
  <r>
    <d v="2025-06-20T00:00:00"/>
    <s v="THE CLEANERS IO, LLCNEW YORK            NY"/>
    <n v="92.71"/>
    <s v="nzW9v3s2S5N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710467590026'"/>
    <s v="Business Services-Other Services"/>
    <s v="DELTARESERVE"/>
    <x v="8"/>
  </r>
  <r>
    <d v="2025-06-21T00:00:00"/>
    <s v="CANVA* I04554-574481CAMDEN              DE"/>
    <n v="15"/>
    <s v="CH_2RCZ0WK8 +17372853388_x000a_CANVA* I04554-57448168_x000a_CAMDEN_x000a_DE_x000a_+17372853388"/>
    <s v="CANVA* I04554-574481CAMDEN              DE"/>
    <s v="2140 SOUTH DUPONT HWY"/>
    <s v="CAMDEN_x000a_DE"/>
    <n v="19934"/>
    <s v="UNITED STATES"/>
    <s v="'320251720491756721'"/>
    <s v="Business Services-Professional Services"/>
    <s v="AMEXPLATINUM"/>
    <x v="1"/>
  </r>
  <r>
    <d v="2025-06-21T00:00:00"/>
    <s v="APPLE.COM/BILL      INTERNET CHARGE     CA"/>
    <n v="70.61"/>
    <s v="MTK7V6Y37L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1720495848648'"/>
    <s v="Merchandise &amp; Supplies-Internet Purchase"/>
    <s v="AMEXPLATINUM"/>
    <x v="3"/>
  </r>
  <r>
    <d v="2025-06-21T00:00:00"/>
    <s v="THE CLEANERS IO, LLCNEW YORK            NY"/>
    <n v="19"/>
    <s v="hwKz3WqnB9e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720495945070'"/>
    <s v="Business Services-Other Services"/>
    <s v="AMEXPLATINUM"/>
    <x v="8"/>
  </r>
  <r>
    <d v="2025-06-21T00:00:00"/>
    <s v="CVS PHARMACY        NEW YORK            NY"/>
    <n v="23"/>
    <s v="10082839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1730532448980'"/>
    <s v="Merchandise &amp; Supplies-Pharmacies"/>
    <s v="AMEXPLATINUM"/>
    <x v="3"/>
  </r>
  <r>
    <d v="2025-06-21T00:00:00"/>
    <s v="WEGMANS ASTOR PLACE NEW YORK            NY"/>
    <n v="117.34"/>
    <s v="W15639201965854293656_x000a_WEGMANS ASTOR PLACE 156 000000156_x000a_NEW YORK_x000a_NY_x000a_5854293656"/>
    <s v="WEGMANS ASTOR PLACE NEW YORK            NY"/>
    <s v="770 BROADWAY"/>
    <s v="NEW YORK_x000a_NY"/>
    <n v="10003"/>
    <s v="UNITED STATES"/>
    <s v="'320251730535642551'"/>
    <s v="Merchandise &amp; Supplies-Groceries"/>
    <s v="AMEXPLATINUM"/>
    <x v="3"/>
  </r>
  <r>
    <d v="2025-06-22T00:00:00"/>
    <s v="UBER TRIP           SAN FRANCISCO       CA"/>
    <n v="22.79"/>
    <s v="953EXAZD    8005928996_x000a_UBER TRIP_x000a_SAN FRANCISCO_x000a_CA_x000a_8005928996"/>
    <s v="UBER TRIP           SAN FRANCISCO       CA"/>
    <s v="MR. TREUBLAAN 7_x000a_AMSTERDAM"/>
    <m/>
    <s v="1097 DP"/>
    <s v="NETHERLANDS"/>
    <s v="'320251730520338697'"/>
    <s v="Transportation-Taxis &amp; Coach"/>
    <s v="DELTARESERVE"/>
    <x v="2"/>
  </r>
  <r>
    <d v="2025-06-22T00:00:00"/>
    <s v="UBER"/>
    <n v="185.72"/>
    <s v="37QC16Y0   B3PULAIT         11430_x000a_Uber Trip_x000a_help.uber.com_x000a_CA_x000a_B3PULAIT         11430"/>
    <s v="Uber Trip           help.uber.com       CA"/>
    <s v="1455 MARKET ST_x000a_4TH FLOOR"/>
    <s v="SAN FRANCISCO_x000a_CA"/>
    <n v="94103"/>
    <s v="UNITED STATES"/>
    <s v="'320251730522914471'"/>
    <s v="Transportation-Taxis &amp; Coach"/>
    <s v="DELTARESERVE"/>
    <x v="2"/>
  </r>
  <r>
    <d v="2025-06-22T00:00:00"/>
    <s v="OPENAI *CHATGPT SUBSSAN FRANCISCO       CA"/>
    <n v="21.4"/>
    <s v="CH_3RCOX3C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1730524482219'"/>
    <s v="Merchandise &amp; Supplies-Computer Supplies"/>
    <s v="DELTARESERVE"/>
    <x v="1"/>
  </r>
  <r>
    <d v="2025-06-22T00:00:00"/>
    <s v="DELTA AIR LINES     ATLANTA"/>
    <n v="2331.4"/>
    <s v="18002211212_x000a_ADDITIONAL COLLECTION_x000a_DELTA AIR LINES_x000a_ATLANTA_x000a_Carrier : DELTA AIR LINES_x000a_Passenger Name : NICOLA/ELENA FIONA_x000a_Ticket Number : 0062330765239_x000a_Departure Day : 06/21_x000a_Additional Info : ADDITIONAL COLLECTION_x000a_From : N.Y. J F KENNEDY I_x000a_To : PARIS CHARLES DE G_x000a_From : PARIS CHARLES DE G_x000a_To : N.Y. J F KENNEDY I"/>
    <s v="DELTA AIR LINES     ATLANTA"/>
    <s v="DEPT 680 1030 DELTA BLVD"/>
    <s v="ATLANTA_x000a_GA"/>
    <n v="30354"/>
    <s v="UNITED STATES"/>
    <s v="'320251730531662661'"/>
    <s v="Travel-Airline"/>
    <s v="DELTARESERVE"/>
    <x v="16"/>
  </r>
  <r>
    <d v="2025-06-22T00:00:00"/>
    <s v="_WIX.COM, INC.      NEW YORK            NY"/>
    <n v="92.55"/>
    <s v="######DS2sP COMPUTER STORE_x000a__WIX.COM, INC._x000a_NEW YORK_x000a_NY_x000a_COMPUTER STORE"/>
    <s v="_WIX.COM, INC.      NEW YORK            NY"/>
    <s v="GANSEVOORT ST"/>
    <s v="NEW YORK_x000a_NY"/>
    <n v="10014"/>
    <s v="UNITED STATES"/>
    <s v="'320251760615088069'"/>
    <s v="Merchandise &amp; Supplies-Computer Supplies"/>
    <s v="AMEXPLATINUM"/>
    <x v="1"/>
  </r>
  <r>
    <d v="2025-06-22T00:00:00"/>
    <s v="_WIX.COM, INC.      NEW YORK            NY"/>
    <n v="182.9"/>
    <s v="######DS4D3 COMPUTER STORE_x000a__WIX.COM, INC._x000a_NEW YORK_x000a_NY_x000a_COMPUTER STORE"/>
    <s v="_WIX.COM, INC.      NEW YORK            NY"/>
    <s v="GANSEVOORT ST"/>
    <s v="NEW YORK_x000a_NY"/>
    <n v="10014"/>
    <s v="UNITED STATES"/>
    <s v="'320251760615088097'"/>
    <s v="Merchandise &amp; Supplies-Computer Supplies"/>
    <s v="AMEXPLATINUM"/>
    <x v="1"/>
  </r>
  <r>
    <d v="2025-06-23T00:00:00"/>
    <s v="ONLINE PAYMENT - THANK YOU"/>
    <n v="-2500"/>
    <s v="ONLINE PAYMENT - THANK YOU"/>
    <s v="ONLINE PAYMENT - THANK YOU"/>
    <m/>
    <m/>
    <m/>
    <m/>
    <s v="'320251740541757851'"/>
    <m/>
    <s v="AMEXPLATINUM"/>
    <x v="0"/>
  </r>
  <r>
    <d v="2025-06-23T00:00:00"/>
    <s v="ONLINE PAYMENT - THANK YOU"/>
    <n v="-2500"/>
    <s v="ONLINE PAYMENT - THANK YOU"/>
    <s v="ONLINE PAYMENT - THANK YOU"/>
    <m/>
    <m/>
    <m/>
    <m/>
    <s v="'320251740541802456'"/>
    <m/>
    <s v="DELTARESERVE"/>
    <x v="0"/>
  </r>
  <r>
    <d v="2025-06-23T00:00:00"/>
    <s v="APPLE.COM/BILL      INTERNET CHARGE     CA"/>
    <n v="73.37"/>
    <s v="MTK7VD9FY0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1740546060317'"/>
    <s v="Merchandise &amp; Supplies-Internet Purchase"/>
    <s v="AMEXPLATINUM"/>
    <x v="3"/>
  </r>
  <r>
    <d v="2025-06-23T00:00:00"/>
    <s v="COVERGIRL.MAXIM.COM SAN ANTONIO         TX"/>
    <n v="10"/>
    <s v="CH_3RDF7B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740567569611'"/>
    <s v="Business Services-Office Supplies"/>
    <s v="AMEXPLATINUM"/>
    <x v="3"/>
  </r>
  <r>
    <d v="2025-06-23T00:00:00"/>
    <s v="CVS PHARMACY        NEW YORK            NY"/>
    <n v="15"/>
    <s v="10178550    8007467287_x000a_CVS PHARMACY_x000a_NEW YORK_x000a_NY_x000a_Description : PHARMACIES Price : 0.15_x000a_8007467287"/>
    <s v="CVS PHARMACY        NEW YORK            NY"/>
    <s v="158 BLEECKER ST"/>
    <s v="NEW YORK_x000a_NY"/>
    <n v="10012"/>
    <s v="UNITED STATES"/>
    <s v="'320251750581263175'"/>
    <s v="Merchandise &amp; Supplies-Pharmacies"/>
    <s v="AMEXPLATINUM"/>
    <x v="3"/>
  </r>
  <r>
    <d v="2025-06-24T00:00:00"/>
    <s v="UBER TRIP           SAN FRANCISCO       CA"/>
    <n v="20.87"/>
    <s v="Q1GKWWPS    8005928996_x000a_UBER TRIP_x000a_SAN FRANCISCO_x000a_CA_x000a_8005928996"/>
    <s v="UBER TRIP           SAN FRANCISCO       CA"/>
    <s v="MR. TREUBLAAN 7_x000a_AMSTERDAM"/>
    <m/>
    <s v="1097 DP"/>
    <s v="NETHERLANDS"/>
    <s v="'320251750571657659'"/>
    <s v="Transportation-Taxis &amp; Coach"/>
    <s v="DELTARESERVE"/>
    <x v="2"/>
  </r>
  <r>
    <d v="2025-06-24T00:00:00"/>
    <s v="GROOVER.CO          MEZIDON VALLEE DAUGEEU"/>
    <n v="20.76"/>
    <s v="CH_3RDKXJIE +33607652260_x000a_GROOVER.CO_x000a_MEZIDON VALLEE DAUGE_x000a_EU_x000a_+33607652260Foreign Spend Amount: 18.00 EURO Commission Amount:  Currency Exchange Rate: null"/>
    <s v="GROOVER.CO          MEZIDON VALLEE DAUGEEU"/>
    <s v="LES COUDRETTES - LE MESNIL-MAUGER_x000a_MEZIDON VALLEE D'AUGE"/>
    <m/>
    <n v="14270"/>
    <s v="FRANCE"/>
    <s v="'320251750586383956'"/>
    <s v="Business Services-Other Services"/>
    <s v="AMEXPLATINUM"/>
    <x v="3"/>
  </r>
  <r>
    <d v="2025-06-24T00:00:00"/>
    <s v="ARISTON CAFE 0000   NEW YORK            NY"/>
    <n v="8.66"/>
    <s v="40500198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760612947778'"/>
    <s v="Restaurant-Bar &amp; CafÃ©"/>
    <s v="AMEXPLATINUM"/>
    <x v="3"/>
  </r>
  <r>
    <d v="2025-06-24T00:00:00"/>
    <s v="TIKTOK PROMOTE      CULVER CITY         CA"/>
    <n v="40"/>
    <s v="CH_3RDGSZJ0 +12138742982_x000a_TIKTOK PROMOTE_x000a_CULVER CITY_x000a_CA_x000a_+12138742982"/>
    <s v="TIKTOK PROMOTE      CULVER CITY         CA"/>
    <s v="5800 BRISTOL PKWY_x000a_SUITE 100"/>
    <s v="CULVER CITY_x000a_CA"/>
    <n v="90230"/>
    <s v="UNITED STATES"/>
    <s v="'320251760620530198'"/>
    <s v="Business Services-Advertising Services"/>
    <s v="AMEXPLATINUM"/>
    <x v="3"/>
  </r>
  <r>
    <d v="2025-06-24T00:00:00"/>
    <s v="JUICE GENERATION 19 NEW YORK            NY"/>
    <n v="12.79"/>
    <s v="31099535179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800719942551'"/>
    <s v="Restaurant-Bar &amp; CafÃ©"/>
    <s v="AMEXPLATINUM"/>
    <x v="3"/>
  </r>
  <r>
    <d v="2025-06-25T00:00:00"/>
    <s v="ERACTOLL 8LGZN9     877-860-1258        NY"/>
    <n v="7.2"/>
    <s v="T199797659  877-860-1258_x000a_ERACTOLL 8LGZN9_x000a_877-860-1258_x000a_NY_x000a_Description : ERACTOLL 8LGZN9 Price : 0.00_x000a_877-860-1258"/>
    <s v="ERACTOLL 8LGZN9     877-860-1258        NY"/>
    <s v="-"/>
    <e v="#NAME?"/>
    <n v="11577"/>
    <s v="UNITED STATES"/>
    <s v="'320251770638957002'"/>
    <s v="Transportation-Tolls &amp; Fees"/>
    <s v="DELTARESERVE"/>
    <x v="9"/>
  </r>
  <r>
    <d v="2025-06-25T00:00:00"/>
    <s v="MORTON WILLIAMS - TANEW YORK            NY"/>
    <n v="34.42"/>
    <s v="000052932   2123589597_x000a_MORTON WILLIAMS - TAN 000000000579387_x000a_NEW YORK_x000a_NY_x000a_2123589597"/>
    <s v="MORTON WILLIAMS - TANEW YORK            NY"/>
    <s v="130 BLEECKER ST"/>
    <s v="NEW YORK_x000a_NY"/>
    <n v="10012"/>
    <s v="UNITED STATES"/>
    <s v="'320251770646623129'"/>
    <s v="Merchandise &amp; Supplies-Groceries"/>
    <s v="AMEXPLATINUM"/>
    <x v="3"/>
  </r>
  <r>
    <d v="2025-06-25T00:00:00"/>
    <s v="MAISON FL           PARIS               FR"/>
    <n v="1011.02"/>
    <s v="L1769lhn0j0 http://www.maisonfl.c_x000a_http://www.maisonfl.com_x000a_MAISON FL_x000a_PARIS_x000a_FR_x000a_http://www.maisonfl.comForeign Spend Amount: 860.00 EURO Commission Amount:  Currency Exchange Rate: null"/>
    <s v="MAISON FL           PARIS               FR"/>
    <s v="6 RUE DE LA TOUR_x000a_PARIS"/>
    <m/>
    <n v="75016"/>
    <s v="FRANCE"/>
    <s v="'320251790684846309'"/>
    <s v="Travel-Lodging"/>
    <s v="DELTARESERVE"/>
    <x v="3"/>
  </r>
  <r>
    <d v="2025-06-26T00:00:00"/>
    <s v="AMAZON PRIME*NQ4B61J888-802-3080        WA"/>
    <n v="10.99"/>
    <s v="7BJSU73UIXS DIGITAL_x000a_AMAZON PRIME*NQ4B61J50_x000a_888-802-3080_x000a_WA_x000a_DIGITAL"/>
    <s v="AMAZON PRIME*NQ4B61J888-802-3080        WA"/>
    <s v="1512 2ND AVE"/>
    <s v="SEATTLE_x000a_WA"/>
    <s v="98101-1508"/>
    <s v="UNITED STATES"/>
    <s v="'320251770629782187'"/>
    <s v="Merchandise &amp; Supplies-Internet Purchase"/>
    <s v="DELTARESERVE"/>
    <x v="3"/>
  </r>
  <r>
    <d v="2025-06-26T00:00:00"/>
    <s v="TST* JOE COFFEE - LANEW YORK            NY"/>
    <n v="9"/>
    <s v="CHudwraJS00 2129247400_x000a_TST* JOE COFFEE - LAGUARD 300633109_x000a_NEW YORK_x000a_NY_x000a_Description : RESTAURANTS Price : 0.09_x000a_2129247400"/>
    <s v="TST* JOE COFFEE - LANEW YORK            NY"/>
    <s v="550 LAGUARDIA PLACE"/>
    <s v="NEW YORK_x000a_NY"/>
    <n v="10012"/>
    <s v="UNITED STATES"/>
    <s v="'320251770636649619'"/>
    <s v="Merchandise &amp; Supplies-Groceries"/>
    <s v="AMEXPLATINUM"/>
    <x v="3"/>
  </r>
  <r>
    <d v="2025-06-26T00:00:00"/>
    <s v="PETCO 3741 0374     NEW YORK            NY"/>
    <n v="77.02"/>
    <s v="35600060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1780666987232'"/>
    <s v="Merchandise &amp; Supplies-General Retail"/>
    <s v="AMEXPLATINUM"/>
    <x v="3"/>
  </r>
  <r>
    <d v="2025-06-26T00:00:00"/>
    <s v="SAGA - 70 PINE ST   NEW YORK            NY"/>
    <n v="400"/>
    <s v="CH_3REPNWRN +12125171932_x000a_SAGA - 70 PINE ST_x000a_NEW YORK_x000a_NY_x000a_+12125171932"/>
    <s v="SAGA - 70 PINE ST   NEW YORK            NY"/>
    <s v="70 PNE ST_x000a_64TH FLOOR"/>
    <s v="NEW YORK_x000a_NY"/>
    <n v="10005"/>
    <s v="UNITED STATES"/>
    <s v="'320251780669304737'"/>
    <s v="Restaurant-Restaurant"/>
    <s v="AMEXPLATINUM"/>
    <x v="11"/>
  </r>
  <r>
    <d v="2025-06-26T00:00:00"/>
    <s v="CALENDLY            AVONDALE ESTATES    GA"/>
    <n v="16.05"/>
    <s v="CH_3REQ1M4Y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1780669376175'"/>
    <s v="Merchandise &amp; Supplies-Computer Supplies"/>
    <s v="AMEXPLATINUM"/>
    <x v="1"/>
  </r>
  <r>
    <d v="2025-06-26T00:00:00"/>
    <s v="ARISTON CAFE 0000   NEW YORK            NY"/>
    <n v="7.57"/>
    <s v="40900175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780670516524'"/>
    <s v="Restaurant-Bar &amp; CafÃ©"/>
    <s v="AMEXPLATINUM"/>
    <x v="3"/>
  </r>
  <r>
    <d v="2025-06-26T00:00:00"/>
    <s v="SAGA - 70 PINE ST   NEW YORK            NY"/>
    <n v="400"/>
    <s v="CH_3REPN2RN +12125171932_x000a_SAGA - 70 PINE ST_x000a_NEW YORK_x000a_NY_x000a_+12125171932"/>
    <s v="SAGA - 70 PINE ST   NEW YORK            NY"/>
    <s v="70 PNE ST_x000a_64TH FLOOR"/>
    <s v="NEW YORK_x000a_NY"/>
    <n v="10005"/>
    <s v="UNITED STATES"/>
    <s v="'320251780671246755'"/>
    <s v="Restaurant-Restaurant"/>
    <s v="AMEXPLATINUM"/>
    <x v="11"/>
  </r>
  <r>
    <d v="2025-06-26T00:00:00"/>
    <s v="KIMBERLY MEEHAN, NP NEW YORK            NY"/>
    <n v="200"/>
    <s v="73011005178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1790707197396'"/>
    <s v="Business Services-Health Care Services"/>
    <s v="AMEXPLATINUM"/>
    <x v="3"/>
  </r>
  <r>
    <d v="2025-06-26T00:00:00"/>
    <s v="CLEANY              NEW YORK            NY"/>
    <n v="184"/>
    <s v="CH_3REPLRHQ +12128516134_x000a_CLEANY_x000a_NEW YORK_x000a_NY_x000a_+12128516134"/>
    <s v="CLEANY              NEW YORK            NY"/>
    <s v="167 MADISON AVE_x000a_202"/>
    <s v="MANHATTAN_x000a_NY"/>
    <n v="10016"/>
    <s v="UNITED STATES"/>
    <s v="'320251820777732835'"/>
    <s v="Business Services-Other Services"/>
    <s v="AMEXPLATINUM"/>
    <x v="8"/>
  </r>
  <r>
    <d v="2025-06-27T00:00:00"/>
    <s v="TELECHARGE.COM      NEW YORK            NY"/>
    <n v="591"/>
    <s v="97646087   97646087         10036_x000a_Tickets_x000a_TELECHARGE.COM_x000a_NEW YORK_x000a_NY_x000a_Tickets_x000a_97646087         10036"/>
    <s v="TELECHARGE.COM      NEW YORK            NY"/>
    <s v="234 WEST 44TH ST_x000a_FL 6"/>
    <s v="NEW YORK_x000a_NY"/>
    <s v="10036-3979"/>
    <s v="UNITED STATES"/>
    <s v="'320251780656198967'"/>
    <s v="Entertainment-Theatrical Events"/>
    <s v="AMEXPLATINUM"/>
    <x v="3"/>
  </r>
  <r>
    <d v="2025-06-27T00:00:00"/>
    <s v="JUICE GENERATION 19 NEW YORK            NY"/>
    <n v="12.79"/>
    <s v="31099535178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790695286276'"/>
    <s v="Restaurant-Bar &amp; CafÃ©"/>
    <s v="AMEXPLATINUM"/>
    <x v="3"/>
  </r>
  <r>
    <d v="2025-06-27T00:00:00"/>
    <s v="D J*WSJ             800-568-7625        NJ"/>
    <n v="41.72"/>
    <s v="P-038275696 SUBSRIPTION_x000a_D J*WSJ_x000a_800-568-7625_x000a_NJ_x000a_SUBSRIPTION"/>
    <s v="D J*WSJ             800-568-7625        NJ"/>
    <s v="4300 RTE 1 NORTH"/>
    <s v="SOUTH BRUNSWICK_x000a_NJ"/>
    <s v="08852"/>
    <s v="UNITED STATES"/>
    <s v="'320251790703270238'"/>
    <s v="Merchandise &amp; Supplies-Mail Order"/>
    <s v="AMEXPLATINUM"/>
    <x v="8"/>
  </r>
  <r>
    <d v="2025-06-27T00:00:00"/>
    <s v="TARGET        034116NEW YORK            NY"/>
    <n v="23.43"/>
    <s v="001632084   612-3044357_x000a_TARGET        034116 09100034116_x000a_NEW YORK_x000a_NY_x000a_Description : SEE INVOICE Price : 0.2343_x000a_612-3044357"/>
    <s v="TARGET        034116NEW YORK            NY"/>
    <s v="600 BROADWAY"/>
    <s v="NEW YORK_x000a_NY"/>
    <n v="10012"/>
    <s v="UNITED STATES"/>
    <s v="'320251790708578654'"/>
    <s v="Merchandise &amp; Supplies-Wholesale Stores"/>
    <s v="AMEXPLATINUM"/>
    <x v="3"/>
  </r>
  <r>
    <d v="2025-06-28T00:00:00"/>
    <s v="CN23062_1           NEW YORK            NY"/>
    <n v="904.55"/>
    <s v="######DZ4LS COMPUTERS &amp; EQUIPMENT_x000a_CN23062_1_x000a_NEW YORK_x000a_NY_x000a_COMPUTERS &amp; EQUIPMENT"/>
    <s v="CN23062_1           NEW YORK            NY"/>
    <s v="MERCER ST_x000a_250"/>
    <s v="NEW YORK_x000a_NY"/>
    <n v="10012"/>
    <s v="UNITED STATES"/>
    <s v="'320251790685977263'"/>
    <s v="Other-Miscellaneous"/>
    <s v="AMEXPLATINUM"/>
    <x v="3"/>
  </r>
  <r>
    <d v="2025-06-28T00:00:00"/>
    <s v="UBER TRIP           SAN FRANCISCO       CA"/>
    <n v="20.079999999999998"/>
    <s v="4A79WXRM    8005928996_x000a_UBER TRIP_x000a_SAN FRANCISCO_x000a_CA_x000a_8005928996"/>
    <s v="UBER TRIP           SAN FRANCISCO       CA"/>
    <s v="MR. TREUBLAAN 7_x000a_AMSTERDAM"/>
    <m/>
    <s v="1097 DP"/>
    <s v="NETHERLANDS"/>
    <s v="'320251790686815739'"/>
    <s v="Transportation-Taxis &amp; Coach"/>
    <s v="DELTARESERVE"/>
    <x v="2"/>
  </r>
  <r>
    <d v="2025-06-28T00:00:00"/>
    <s v="UBER TRIP           SAN FRANCISCO       CA"/>
    <n v="3"/>
    <s v="HRZFHHG7   FX524H6R_x000a_UBER TRIP_x000a_SAN FRANCISCO_x000a_CA_x000a_FX524H6R"/>
    <s v="UBER TRIP           SAN FRANCISCO       CA"/>
    <s v="MR. TREUBLAAN 7_x000a_AMSTERDAM"/>
    <m/>
    <s v="1097 DP"/>
    <s v="NETHERLANDS"/>
    <s v="'320251790687565071'"/>
    <s v="Transportation-Taxis &amp; Coach"/>
    <s v="DELTARESERVE"/>
    <x v="2"/>
  </r>
  <r>
    <d v="2025-06-28T00:00:00"/>
    <s v="UBER TRIP           SAN FRANCISCO       CA"/>
    <n v="17.82"/>
    <s v="BEC60XQ5    8005928996_x000a_UBER TRIP_x000a_SAN FRANCISCO_x000a_CA_x000a_8005928996"/>
    <s v="UBER TRIP           SAN FRANCISCO       CA"/>
    <s v="MR. TREUBLAAN 7_x000a_AMSTERDAM"/>
    <m/>
    <s v="1097 DP"/>
    <s v="NETHERLANDS"/>
    <s v="'320251790689074175'"/>
    <s v="Transportation-Taxis &amp; Coach"/>
    <s v="DELTARESERVE"/>
    <x v="2"/>
  </r>
  <r>
    <d v="2025-06-28T00:00:00"/>
    <s v="UBER TRIP           SAN FRANCISCO       CA"/>
    <n v="17.82"/>
    <s v="HXBY89ZV   B62PGK36_x000a_UBER TRIP_x000a_SAN FRANCISCO_x000a_CA_x000a_B62PGK36"/>
    <s v="UBER TRIP           SAN FRANCISCO       CA"/>
    <s v="MR. TREUBLAAN 7_x000a_AMSTERDAM"/>
    <m/>
    <s v="1097 DP"/>
    <s v="NETHERLANDS"/>
    <s v="'320251790689142356'"/>
    <s v="Transportation-Taxis &amp; Coach"/>
    <s v="DELTARESERVE"/>
    <x v="2"/>
  </r>
  <r>
    <d v="2025-06-28T00:00:00"/>
    <s v="UBER TRIP           SAN FRANCISCO       CA"/>
    <n v="3"/>
    <s v="DDBP0BYE   B62PGK36_x000a_UBER TRIP_x000a_SAN FRANCISCO_x000a_CA_x000a_B62PGK36"/>
    <s v="UBER TRIP           SAN FRANCISCO       CA"/>
    <s v="MR. TREUBLAAN 7_x000a_AMSTERDAM"/>
    <m/>
    <s v="1097 DP"/>
    <s v="NETHERLANDS"/>
    <s v="'320251790689159951'"/>
    <s v="Transportation-Taxis &amp; Coach"/>
    <s v="DELTARESERVE"/>
    <x v="2"/>
  </r>
  <r>
    <d v="2025-06-28T00:00:00"/>
    <s v="THE CLEANERS IO, LLCNEW YORK            NY"/>
    <n v="61.91"/>
    <s v="fviLT7SacAT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790689349813'"/>
    <s v="Business Services-Other Services"/>
    <s v="AMEXPLATINUM"/>
    <x v="8"/>
  </r>
  <r>
    <d v="2025-06-28T00:00:00"/>
    <s v="NYC DRIP DROP CAFE LNew York            NY"/>
    <n v="9.17"/>
    <s v="Lpg7A7JdIVC squareup.com/receipts_x000a_NYC DRIP DROP CAFE LLC_x000a_New York_x000a_NY_x000a_squareup.com/receipts"/>
    <s v="NYC DRIP DROP CAFE LNew York            NY"/>
    <s v="98 THOMPSON ST"/>
    <s v="NEW YORK_x000a_NY"/>
    <s v="10012-3745"/>
    <s v="UNITED STATES"/>
    <s v="'320251790689410986'"/>
    <s v="Restaurant-Bar &amp; CafÃ©"/>
    <s v="AMEXPLATINUM"/>
    <x v="3"/>
  </r>
  <r>
    <d v="2025-06-28T00:00:00"/>
    <s v="BLVD   *ART AUTONOMYNEW YORK            NY"/>
    <n v="355.3"/>
    <s v="999999951802123434274_x000a_BEAUTY &amp; BARBER_x000a_BLVD   *ART AUTONOMY SALO 000000317_x000a_NEW YORK_x000a_NY_x000a_BEAUTY &amp; BARBER_x000a_2123434274"/>
    <s v="BLVD   *ART AUTONOMYNEW YORK            NY"/>
    <s v="497 BROOME ST_x000a_FL 2 FLOOR 2"/>
    <s v="NEW YORK_x000a_NY"/>
    <s v="10013-2214"/>
    <s v="UNITED STATES"/>
    <s v="'320251800725195269'"/>
    <s v="Business Services-Other Services"/>
    <s v="AMEXPLATINUM"/>
    <x v="3"/>
  </r>
  <r>
    <d v="2025-06-28T00:00:00"/>
    <s v="PAYPAL *SOUNDBETTER 8887344358          CA"/>
    <n v="250"/>
    <s v="10183957807 8887344358_x000a_PAYPAL *SOUNDBETTER_x000a_8887344358_x000a_CA_x000a_Description : GENERAL Price : 0.00_x000a_8887344358"/>
    <s v="PAYPAL *SOUNDBETTER 8887344358          CA"/>
    <s v="1901 AVE OF THE STARS_x000a_SUITE 200"/>
    <s v="LOS ANGELES_x000a_CA"/>
    <n v="90067"/>
    <s v="UNITED STATES"/>
    <s v="'320251800729410007'"/>
    <s v="Merchandise &amp; Supplies-Music &amp; Video"/>
    <s v="AMEXPLATINUM"/>
    <x v="3"/>
  </r>
  <r>
    <d v="2025-06-29T00:00:00"/>
    <s v="UBER TRIP           SAN FRANCISCO       CA"/>
    <n v="30.69"/>
    <s v="FQDS5PK9   3E5WFS5P_x000a_UBER TRIP_x000a_SAN FRANCISCO_x000a_CA_x000a_3E5WFS5P"/>
    <s v="UBER TRIP           SAN FRANCISCO       CA"/>
    <s v="MR. TREUBLAAN 7_x000a_AMSTERDAM"/>
    <m/>
    <s v="1097 DP"/>
    <s v="NETHERLANDS"/>
    <s v="'320251800711755047'"/>
    <s v="Transportation-Taxis &amp; Coach"/>
    <s v="DELTARESERVE"/>
    <x v="2"/>
  </r>
  <r>
    <d v="2025-06-29T00:00:00"/>
    <s v="UBER TRIP           SAN FRANCISCO       CA"/>
    <n v="17.760000000000002"/>
    <s v="2SXE4N5Z    8005928996_x000a_UBER TRIP_x000a_SAN FRANCISCO_x000a_CA_x000a_8005928996"/>
    <s v="UBER TRIP           SAN FRANCISCO       CA"/>
    <s v="MR. TREUBLAAN 7_x000a_AMSTERDAM"/>
    <m/>
    <s v="1097 DP"/>
    <s v="NETHERLANDS"/>
    <s v="'320251800714791510'"/>
    <s v="Transportation-Taxis &amp; Coach"/>
    <s v="DELTARESERVE"/>
    <x v="2"/>
  </r>
  <r>
    <d v="2025-06-29T00:00:00"/>
    <s v="UBER TRIP           SAN FRANCISCO       CA"/>
    <n v="3"/>
    <s v="C4ZB95CY   NVBGKAWE_x000a_UBER TRIP_x000a_SAN FRANCISCO_x000a_CA_x000a_NVBGKAWE"/>
    <s v="UBER TRIP           SAN FRANCISCO       CA"/>
    <s v="MR. TREUBLAAN 7_x000a_AMSTERDAM"/>
    <m/>
    <s v="1097 DP"/>
    <s v="NETHERLANDS"/>
    <s v="'320251800715784321'"/>
    <s v="Transportation-Taxis &amp; Coach"/>
    <s v="DELTARESERVE"/>
    <x v="2"/>
  </r>
  <r>
    <d v="2025-06-29T00:00:00"/>
    <s v="UBER TRIP           SAN FRANCISCO       CA"/>
    <n v="34.159999999999997"/>
    <s v="PJMDBE5B    8005928996_x000a_UBER TRIP_x000a_SAN FRANCISCO_x000a_CA_x000a_8005928996"/>
    <s v="UBER TRIP           SAN FRANCISCO       CA"/>
    <s v="MR. TREUBLAAN 7_x000a_AMSTERDAM"/>
    <m/>
    <s v="1097 DP"/>
    <s v="NETHERLANDS"/>
    <s v="'320251800715833482'"/>
    <s v="Transportation-Taxis &amp; Coach"/>
    <s v="DELTARESERVE"/>
    <x v="2"/>
  </r>
  <r>
    <d v="2025-06-29T00:00:00"/>
    <s v="UBER TRIP           SAN FRANCISCO       CA"/>
    <n v="28.34"/>
    <s v="85562JSE    8005928996_x000a_UBER TRIP_x000a_SAN FRANCISCO_x000a_CA_x000a_8005928996"/>
    <s v="UBER TRIP           SAN FRANCISCO       CA"/>
    <s v="MR. TREUBLAAN 7_x000a_AMSTERDAM"/>
    <m/>
    <s v="1097 DP"/>
    <s v="NETHERLANDS"/>
    <s v="'320251810742203332'"/>
    <s v="Transportation-Taxis &amp; Coach"/>
    <s v="DELTARESERVE"/>
    <x v="2"/>
  </r>
  <r>
    <d v="2025-06-29T00:00:00"/>
    <s v="CAFE AMRITA 0000    NEW YORK            NY"/>
    <n v="17.2"/>
    <s v="01600083    917-804-8199_x000a_CAFE AMRITA 0000_x000a_NEW YORK_x000a_NY_x000a_Description : FAST FOOD RESTAURAN Price : 0.00_x000a_917-804-8199"/>
    <s v="CAFE AMRITA 0000    NEW YORK            NY"/>
    <s v="301 WEST 110TH ST"/>
    <s v="NEW YORK_x000a_NY"/>
    <s v="10026-4066"/>
    <s v="UNITED STATES"/>
    <s v="'320251810753640270'"/>
    <s v="Restaurant-Bar &amp; CafÃ©"/>
    <s v="AMEXPLATINUM"/>
    <x v="3"/>
  </r>
  <r>
    <d v="2025-06-30T00:00:00"/>
    <s v="UBER TRIP           SAN FRANCISCO       CA"/>
    <n v="42.46"/>
    <s v="P6T9QW6S    8005928996_x000a_UBER TRIP_x000a_SAN FRANCISCO_x000a_CA_x000a_8005928996"/>
    <s v="UBER TRIP           SAN FRANCISCO       CA"/>
    <s v="MR. TREUBLAAN 7_x000a_AMSTERDAM"/>
    <m/>
    <s v="1097 DP"/>
    <s v="NETHERLANDS"/>
    <s v="'320251810738577781'"/>
    <s v="Transportation-Taxis &amp; Coach"/>
    <s v="DELTARESERVE"/>
    <x v="2"/>
  </r>
  <r>
    <d v="2025-06-30T00:00:00"/>
    <s v="UBER TRIP           SAN FRANCISCO       CA"/>
    <n v="36.15"/>
    <s v="7WF0WXN3    8005928996_x000a_UBER TRIP_x000a_SAN FRANCISCO_x000a_CA_x000a_8005928996"/>
    <s v="UBER TRIP           SAN FRANCISCO       CA"/>
    <s v="MR. TREUBLAAN 7_x000a_AMSTERDAM"/>
    <m/>
    <s v="1097 DP"/>
    <s v="NETHERLANDS"/>
    <s v="'320251810742520227'"/>
    <s v="Transportation-Taxis &amp; Coach"/>
    <s v="DELTARESERVE"/>
    <x v="2"/>
  </r>
  <r>
    <d v="2025-06-30T00:00:00"/>
    <s v="UBER TRIP           SAN FRANCISCO       CA"/>
    <n v="44.67"/>
    <s v="KS7WP86Y    8005928996_x000a_UBER TRIP_x000a_SAN FRANCISCO_x000a_CA_x000a_8005928996"/>
    <s v="UBER TRIP           SAN FRANCISCO       CA"/>
    <s v="MR. TREUBLAAN 7_x000a_AMSTERDAM"/>
    <m/>
    <s v="1097 DP"/>
    <s v="NETHERLANDS"/>
    <s v="'320251810742520615'"/>
    <s v="Transportation-Taxis &amp; Coach"/>
    <s v="DELTARESERVE"/>
    <x v="2"/>
  </r>
  <r>
    <d v="2025-06-30T00:00:00"/>
    <s v="UBER TRIP           SAN FRANCISCO       CA"/>
    <n v="5.01"/>
    <s v="DXYVESTC   LQS6Y3LQ_x000a_UBER TRIP_x000a_SAN FRANCISCO_x000a_CA_x000a_LQS6Y3LQ"/>
    <s v="UBER TRIP           SAN FRANCISCO       CA"/>
    <s v="MR. TREUBLAAN 7_x000a_AMSTERDAM"/>
    <m/>
    <s v="1097 DP"/>
    <s v="NETHERLANDS"/>
    <s v="'320251810742531606'"/>
    <s v="Transportation-Taxis &amp; Coach"/>
    <s v="DELTARESERVE"/>
    <x v="2"/>
  </r>
  <r>
    <d v="2025-06-30T00:00:00"/>
    <s v="UBER TRIP           SAN FRANCISCO       CA"/>
    <n v="5"/>
    <s v="8Z71RM18   MJPPIBFI_x000a_UBER TRIP_x000a_SAN FRANCISCO_x000a_CA_x000a_MJPPIBFI"/>
    <s v="UBER TRIP           SAN FRANCISCO       CA"/>
    <s v="MR. TREUBLAAN 7_x000a_AMSTERDAM"/>
    <m/>
    <s v="1097 DP"/>
    <s v="NETHERLANDS"/>
    <s v="'320251810742601423'"/>
    <s v="Transportation-Taxis &amp; Coach"/>
    <s v="DELTARESERVE"/>
    <x v="2"/>
  </r>
  <r>
    <d v="2025-06-30T00:00:00"/>
    <s v="UBER TRIP           SAN FRANCISCO       CA"/>
    <n v="72.47"/>
    <s v="N3XB7SRB   MJPPIBFI_x000a_UBER TRIP_x000a_SAN FRANCISCO_x000a_CA_x000a_MJPPIBFI"/>
    <s v="UBER TRIP           SAN FRANCISCO       CA"/>
    <s v="MR. TREUBLAAN 7_x000a_AMSTERDAM"/>
    <m/>
    <s v="1097 DP"/>
    <s v="NETHERLANDS"/>
    <s v="'320251810743524583'"/>
    <s v="Transportation-Taxis &amp; Coach"/>
    <s v="DELTARESERVE"/>
    <x v="2"/>
  </r>
  <r>
    <d v="2025-06-30T00:00:00"/>
    <s v="SOC AMIS DU LOUVRE  PARIS"/>
    <n v="99.93"/>
    <s v="CH_3RFD3MCX +33140205364_x000a_SOC AMIS DU LOUVRE_x000a_PARIS_x000a_+33140205364Foreign Spend Amount: 85.00 EURO Commission Amount:  Currency Exchange Rate: null"/>
    <s v="SOC AMIS DU LOUVRE  PARIS"/>
    <s v="&quot;PALAIS DU LOUVRE, PLACE DU CARROUSEL&quot;_x000a_PARIS"/>
    <m/>
    <n v="75001"/>
    <s v="FRANCE"/>
    <s v="'320251810745480207'"/>
    <s v="Entertainment-Associations"/>
    <s v="DELTARESERVE"/>
    <x v="3"/>
  </r>
  <r>
    <d v="2025-06-30T00:00:00"/>
    <s v="SOC AMIS DU LOUVRE  PARIS"/>
    <n v="99.93"/>
    <s v="CH_3RFCUCCX +33140205364_x000a_SOC AMIS DU LOUVRE_x000a_PARIS_x000a_+33140205364Foreign Spend Amount: 85.00 EURO Commission Amount:  Currency Exchange Rate: null"/>
    <s v="SOC AMIS DU LOUVRE  PARIS"/>
    <s v="&quot;PALAIS DU LOUVRE, PLACE DU CARROUSEL&quot;_x000a_PARIS"/>
    <m/>
    <n v="75001"/>
    <s v="FRANCE"/>
    <s v="'320251810745651849'"/>
    <s v="Entertainment-Associations"/>
    <s v="DELTARESERVE"/>
    <x v="3"/>
  </r>
  <r>
    <d v="2025-06-30T00:00:00"/>
    <s v="UBER TRIP           SAN FRANCISCO       CA"/>
    <n v="32.36"/>
    <s v="GFWZ4GZ4   P23EBJ4L_x000a_UBER TRIP_x000a_SAN FRANCISCO_x000a_CA_x000a_P23EBJ4L"/>
    <s v="UBER TRIP           SAN FRANCISCO       CA"/>
    <s v="MR. TREUBLAAN 7_x000a_AMSTERDAM"/>
    <m/>
    <s v="1097 DP"/>
    <s v="NETHERLANDS"/>
    <s v="'320251820772919263'"/>
    <s v="Transportation-Taxis &amp; Coach"/>
    <s v="DELTARESERVE"/>
    <x v="2"/>
  </r>
  <r>
    <d v="2025-06-30T00:00:00"/>
    <s v="JUICE GENERATION 19 NEW YORK            NY"/>
    <n v="12.79"/>
    <s v="31099535181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820777967565'"/>
    <s v="Restaurant-Bar &amp; CafÃ©"/>
    <s v="AMEXPLATINUM"/>
    <x v="3"/>
  </r>
  <r>
    <d v="2025-06-30T00:00:00"/>
    <s v="CHATEAUDEVERSAILLESVVERSAILLES          FR"/>
    <n v="94.02"/>
    <s v="17cfc23faca GOVERNMENT SERVICE_x000a_CHATEAUDEVERSAILLESVEL_x000a_VERSAILLES_x000a_FR_x000a_GOVERNMENT SERVICEForeign Spend Amount: 80.00 EURO Commission Amount:  Currency Exchange Rate: null"/>
    <s v="CHATEAUDEVERSAILLESVVERSAILLES          FR"/>
    <s v="RP 834_x000a_VERSAILLES"/>
    <m/>
    <n v="78000"/>
    <s v="FRANCE"/>
    <s v="'320251820778915551'"/>
    <s v="Entertainment-General Attractions"/>
    <s v="DELTARESERVE"/>
    <x v="3"/>
  </r>
  <r>
    <d v="2025-06-30T00:00:00"/>
    <s v="WEGMANS ASTOR PLACE NEW YORK            NY"/>
    <n v="81.33"/>
    <s v="W15640900085854293656_x000a_WEGMANS ASTOR PLACE 156 000000156_x000a_NEW YORK_x000a_NY_x000a_5854293656"/>
    <s v="WEGMANS ASTOR PLACE NEW YORK            NY"/>
    <s v="770 BROADWAY"/>
    <s v="NEW YORK_x000a_NY"/>
    <n v="10003"/>
    <s v="UNITED STATES"/>
    <s v="'320251820780272689'"/>
    <s v="Merchandise &amp; Supplies-Groceries"/>
    <s v="AMEXPLATINUM"/>
    <x v="3"/>
  </r>
  <r>
    <d v="2025-07-01T00:00:00"/>
    <s v="Amazon Web Services AWS.Amazon.com      WA"/>
    <n v="1538.74"/>
    <s v="SS2M5DI5BXP WEB SERVICES_x000a_Amazon Web Services_x000a_AWS.Amazon.com_x000a_WA_x000a_WEB SERVICES"/>
    <s v="Amazon Web Services AWS.Amazon.com      WA"/>
    <s v="1512 2ND AVE"/>
    <s v="SEATTLE_x000a_WA"/>
    <n v="98101"/>
    <s v="UNITED STATES"/>
    <s v="'320251820766022323'"/>
    <s v="Merchandise &amp; Supplies-Internet Purchase"/>
    <s v="AMEXPLATINUM"/>
    <x v="12"/>
  </r>
  <r>
    <d v="2025-07-01T00:00:00"/>
    <s v="UBER TRIP           SAN FRANCISCO       CA"/>
    <n v="42.46"/>
    <s v="98VA48C5    8005928996_x000a_UBER TRIP_x000a_SAN FRANCISCO_x000a_CA_x000a_8005928996"/>
    <s v="UBER TRIP           SAN FRANCISCO       CA"/>
    <s v="MR. TREUBLAAN 7_x000a_AMSTERDAM"/>
    <m/>
    <s v="1097 DP"/>
    <s v="NETHERLANDS"/>
    <s v="'320251820773171220'"/>
    <s v="Transportation-Taxis &amp; Coach"/>
    <s v="DELTARESERVE"/>
    <x v="2"/>
  </r>
  <r>
    <d v="2025-07-01T00:00:00"/>
    <s v="UBER TRIP           SAN FRANCISCO       CA"/>
    <n v="47.67"/>
    <s v="JY4NZF93   DP6MEAX6_x000a_UBER TRIP_x000a_SAN FRANCISCO_x000a_CA_x000a_DP6MEAX6"/>
    <s v="UBER TRIP           SAN FRANCISCO       CA"/>
    <s v="MR. TREUBLAAN 7_x000a_AMSTERDAM"/>
    <m/>
    <s v="1097 DP"/>
    <s v="NETHERLANDS"/>
    <s v="'320251820773236419'"/>
    <s v="Transportation-Taxis &amp; Coach"/>
    <s v="DELTARESERVE"/>
    <x v="2"/>
  </r>
  <r>
    <d v="2025-07-01T00:00:00"/>
    <s v="UBER TRIP           SAN FRANCISCO       CA"/>
    <n v="27.56"/>
    <s v="80CB7W30   LQELI2QJ_x000a_UBER TRIP_x000a_SAN FRANCISCO_x000a_CA_x000a_LQELI2QJ"/>
    <s v="UBER TRIP           SAN FRANCISCO       CA"/>
    <s v="MR. TREUBLAAN 7_x000a_AMSTERDAM"/>
    <m/>
    <s v="1097 DP"/>
    <s v="NETHERLANDS"/>
    <s v="'320251820773285104'"/>
    <s v="Transportation-Taxis &amp; Coach"/>
    <s v="DELTARESERVE"/>
    <x v="2"/>
  </r>
  <r>
    <d v="2025-07-01T00:00:00"/>
    <s v="VERIZON WRLS RCCRNG PMTS"/>
    <n v="232.44"/>
    <s v="N0000003997VZWRLSS*APOCC_x000a_VZW APO_x000a_800-922-0204_x000a_FL_x000a_VZWRLSS*APOCC"/>
    <s v="VZW APO             800-922-0204        FL"/>
    <s v="600 COOLIDGE DR"/>
    <s v="FOLSOM_x000a_CA"/>
    <s v="95630-3155"/>
    <s v="UNITED STATES"/>
    <s v="'320251820780889978'"/>
    <s v="Communications-Mobile Telecom"/>
    <s v="DELTARESERVE"/>
    <x v="5"/>
  </r>
  <r>
    <d v="2025-07-01T00:00:00"/>
    <s v="UBER TRIP           SAN FRANCISCO       CA"/>
    <n v="32.78"/>
    <s v="7PBJ8GQT    8005928996_x000a_UBER TRIP_x000a_SAN FRANCISCO_x000a_CA_x000a_8005928996"/>
    <s v="UBER TRIP           SAN FRANCISCO       CA"/>
    <s v="MR. TREUBLAAN 7_x000a_AMSTERDAM"/>
    <m/>
    <s v="1097 DP"/>
    <s v="NETHERLANDS"/>
    <s v="'320251830802528970'"/>
    <s v="Transportation-Taxis &amp; Coach"/>
    <s v="DELTARESERVE"/>
    <x v="2"/>
  </r>
  <r>
    <d v="2025-07-01T00:00:00"/>
    <s v="AIR FRANCE          NEW YORK"/>
    <n v="82"/>
    <s v="283645      AIRLINE/AIR CARRIER_x000a_TICKET CHANGE OR CANCEL FEE_x000a_AIR FRANCE_x000a_NEW YORK_x000a_Carrier : AIR FRANCE_x000a_Passenger Name : NICOLA/CRISTIAN ALEXANDRU_x000a_Ticket Number : 05742267240323_x000a_Additional Info : TICKET CHANGE OR CANCEL FEE"/>
    <s v="AIR FRANCE          NEW YORK"/>
    <s v="SUBMISSIONS USD"/>
    <s v="USA"/>
    <s v="00000"/>
    <s v="UNITED STATES"/>
    <s v="'320251830805203773'"/>
    <s v="Travel-Airline"/>
    <s v="DELTARESERVE"/>
    <x v="3"/>
  </r>
  <r>
    <d v="2025-07-01T00:00:00"/>
    <s v="AIR FRANCE          NEW YORK"/>
    <n v="4.45"/>
    <s v="283645      AIRLINE/AIR CARRIER_x000a_PREFERRED SEAT UPGRADE_x000a_AIR FRANCE_x000a_NEW YORK_x000a_Carrier : AIR FRANCE_x000a_Passenger Name : NICOLA/CRISTIAN ALEXANDRU_x000a_Ticket Number : 05742267240334_x000a_Additional Info : PREFERRED SEAT UPGRADE"/>
    <s v="AIR FRANCE          NEW YORK"/>
    <s v="SUBMISSIONS USD"/>
    <s v="USA"/>
    <s v="00000"/>
    <s v="UNITED STATES"/>
    <s v="'320251830805220480'"/>
    <s v="Travel-Airline"/>
    <s v="DELTARESERVE"/>
    <x v="3"/>
  </r>
  <r>
    <d v="2025-07-01T00:00:00"/>
    <s v="AIR FRANCE          NEW YORK"/>
    <n v="12.2"/>
    <s v="283645      AIRLINE/AIR CARRIER_x000a_PASSENGER TICKET_x000a_AIR FRANCE_x000a_NEW YORK_x000a_Carrier : AIR FRANCE_x000a_Passenger Name : NICOLA/CRISTIAN ALEXANDRU_x000a_Ticket Number : 05723406416475_x000a_Departure Day : 07/05_x000a_Additional Info : PASSENGER TICKET_x000a_From : PARIS CHARLES DE G_x000a_To : BARCELONA_x000a_Class : F"/>
    <s v="AIR FRANCE          NEW YORK"/>
    <s v="SUBMISSIONS USD"/>
    <s v="USA"/>
    <s v="00000"/>
    <s v="UNITED STATES"/>
    <s v="'320251830805237995'"/>
    <s v="Travel-Airline"/>
    <s v="DELTARESERVE"/>
    <x v="3"/>
  </r>
  <r>
    <d v="2025-07-01T00:00:00"/>
    <s v="JUICE GENERATION 19 NEW YORK            NY"/>
    <n v="12.79"/>
    <s v="31099535182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830806560933'"/>
    <s v="Restaurant-Bar &amp; CafÃ©"/>
    <s v="AMEXPLATINUM"/>
    <x v="3"/>
  </r>
  <r>
    <d v="2025-07-01T00:00:00"/>
    <s v="ARISTON CAFE 0000   NEW YORK            NY"/>
    <n v="7.84"/>
    <s v="40700184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830813116849'"/>
    <s v="Restaurant-Bar &amp; CafÃ©"/>
    <s v="AMEXPLATINUM"/>
    <x v="3"/>
  </r>
  <r>
    <d v="2025-07-02T00:00:00"/>
    <s v="UBER TRIP           SAN FRANCISCO       CA"/>
    <n v="31.18"/>
    <s v="2WB3PP48    8005928996_x000a_UBER TRIP_x000a_SAN FRANCISCO_x000a_CA_x000a_8005928996"/>
    <s v="UBER TRIP           SAN FRANCISCO       CA"/>
    <s v="MR. TREUBLAAN 7_x000a_AMSTERDAM"/>
    <m/>
    <s v="1097 DP"/>
    <s v="NETHERLANDS"/>
    <s v="'320251830797955161'"/>
    <s v="Transportation-Taxis &amp; Coach"/>
    <s v="DELTARESERVE"/>
    <x v="2"/>
  </r>
  <r>
    <d v="2025-07-02T00:00:00"/>
    <s v="UBER TRIP           SAN FRANCISCO       CA"/>
    <n v="22.3"/>
    <s v="NZN7XAYD   GPBHDU4Z_x000a_UBER TRIP_x000a_SAN FRANCISCO_x000a_CA_x000a_GPBHDU4Z"/>
    <s v="UBER TRIP           SAN FRANCISCO       CA"/>
    <s v="MR. TREUBLAAN 7_x000a_AMSTERDAM"/>
    <m/>
    <s v="1097 DP"/>
    <s v="NETHERLANDS"/>
    <s v="'320251830798203091'"/>
    <s v="Transportation-Taxis &amp; Coach"/>
    <s v="DELTARESERVE"/>
    <x v="2"/>
  </r>
  <r>
    <d v="2025-07-02T00:00:00"/>
    <s v="UBER TRIP           SAN FRANCISCO       CA"/>
    <n v="36.590000000000003"/>
    <s v="BGF2ASW7    8005928996_x000a_UBER TRIP_x000a_SAN FRANCISCO_x000a_CA_x000a_8005928996"/>
    <s v="UBER TRIP           SAN FRANCISCO       CA"/>
    <s v="MR. TREUBLAAN 7_x000a_AMSTERDAM"/>
    <m/>
    <s v="1097 DP"/>
    <s v="NETHERLANDS"/>
    <s v="'320251830801750926'"/>
    <s v="Transportation-Taxis &amp; Coach"/>
    <s v="DELTARESERVE"/>
    <x v="2"/>
  </r>
  <r>
    <d v="2025-07-02T00:00:00"/>
    <s v="UBER TRIP           SAN FRANCISCO       CA"/>
    <n v="23.74"/>
    <s v="2BYEC12B    8005928996_x000a_UBER TRIP_x000a_SAN FRANCISCO_x000a_CA_x000a_8005928996"/>
    <s v="UBER TRIP           SAN FRANCISCO       CA"/>
    <s v="MR. TREUBLAAN 7_x000a_AMSTERDAM"/>
    <m/>
    <s v="1097 DP"/>
    <s v="NETHERLANDS"/>
    <s v="'320251830801801490'"/>
    <s v="Transportation-Taxis &amp; Coach"/>
    <s v="DELTARESERVE"/>
    <x v="2"/>
  </r>
  <r>
    <d v="2025-07-02T00:00:00"/>
    <s v="HUBSPOT INC.        CAMBRIDGE, MASSACHUSMA"/>
    <n v="21.4"/>
    <s v="31888256    COMPUTER PROGRAMMING_x000a_HUBSPOT INC._x000a_CAMBRIDGE, MASSACHUSE_x000a_MA_x000a_COMPUTER PROGRAMMING"/>
    <s v="HUBSPOT INC.        CAMBRIDGE, MASSACHUSMA"/>
    <s v="25 FIRST STREET_x000a_-"/>
    <s v="CAMBRIDGE_x000a_MA"/>
    <s v="02141"/>
    <s v="UNITED STATES"/>
    <s v="'320251830820680751'"/>
    <s v="Business Services-Employment Agencies"/>
    <s v="DELTARESERVE"/>
    <x v="1"/>
  </r>
  <r>
    <d v="2025-07-02T00:00:00"/>
    <s v="JUICE GENERATION 19 NEW YORK            NY"/>
    <n v="12.79"/>
    <s v="31099535183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840838811711'"/>
    <s v="Restaurant-Bar &amp; CafÃ©"/>
    <s v="AMEXPLATINUM"/>
    <x v="3"/>
  </r>
  <r>
    <d v="2025-07-02T00:00:00"/>
    <s v="ERACTOLL 8LGZN9     877-860-1258        NY"/>
    <n v="18.309999999999999"/>
    <s v="T200622578  877-860-1258_x000a_ERACTOLL 8LGZN9_x000a_877-860-1258_x000a_NY_x000a_Description : ERACTOLL 8LGZN9 Price : 0.00_x000a_877-860-1258"/>
    <s v="ERACTOLL 8LGZN9     877-860-1258        NY"/>
    <s v="-"/>
    <e v="#NAME?"/>
    <n v="11577"/>
    <s v="UNITED STATES"/>
    <s v="'320251840840232076'"/>
    <s v="Transportation-Tolls &amp; Fees"/>
    <s v="DELTARESERVE"/>
    <x v="9"/>
  </r>
  <r>
    <d v="2025-07-02T00:00:00"/>
    <s v="TOPTAL.COM          SAN FRANCISCO       CA"/>
    <n v="79"/>
    <s v="CH_2RGG0GVY +18886043188_x000a_TOPTAL.COM_x000a_SAN FRANCISCO_x000a_CA_x000a_+18886043188"/>
    <s v="TOPTAL.COM          SAN FRANCISCO       CA"/>
    <s v="548 MARKET ST 36879"/>
    <s v="SAN FRANCISCO_x000a_CA"/>
    <n v="94104"/>
    <s v="UNITED STATES"/>
    <s v="'320251840844965264'"/>
    <s v="Merchandise &amp; Supplies-Computer Supplies"/>
    <s v="DELTARESERVE"/>
    <x v="6"/>
  </r>
  <r>
    <d v="2025-07-02T00:00:00"/>
    <s v="PADDLE.NET* CHAJUN  ASTORIA             NY"/>
    <n v="102.72"/>
    <s v="CH_3RGB8YK8 +17745236658_x000a_PADDLE.NET* CHAJUN_x000a_ASTORIA_x000a_NY_x000a_+17745236658"/>
    <s v="PADDLE.NET* CHAJUN  ASTORIA             NY"/>
    <s v="3811 DITMARS BLVD_x000a_1071"/>
    <s v="ASTORIA_x000a_NY"/>
    <n v="11105"/>
    <s v="UNITED STATES"/>
    <s v="'320251840849070823'"/>
    <s v="Merchandise &amp; Supplies-Internet Purchase"/>
    <s v="AMEXPLATINUM"/>
    <x v="3"/>
  </r>
  <r>
    <d v="2025-07-03T00:00:00"/>
    <s v="UBER TRIP           SAN FRANCISCO       CA"/>
    <n v="33.590000000000003"/>
    <s v="AA0DXB46    8005928996_x000a_UBER TRIP_x000a_SAN FRANCISCO_x000a_CA_x000a_8005928996"/>
    <s v="UBER TRIP           SAN FRANCISCO       CA"/>
    <s v="MR. TREUBLAAN 7_x000a_AMSTERDAM"/>
    <m/>
    <s v="1097 DP"/>
    <s v="NETHERLANDS"/>
    <s v="'320251840829731355'"/>
    <s v="Transportation-Taxis &amp; Coach"/>
    <s v="DELTARESERVE"/>
    <x v="2"/>
  </r>
  <r>
    <d v="2025-07-03T00:00:00"/>
    <s v="UBER TRIP           SAN FRANCISCO       CA"/>
    <n v="156.62"/>
    <s v="13H94M4S   MED37XBI_x000a_UBER TRIP_x000a_SAN FRANCISCO_x000a_CA_x000a_MED37XBI"/>
    <s v="UBER TRIP           SAN FRANCISCO       CA"/>
    <s v="MR. TREUBLAAN 7_x000a_AMSTERDAM"/>
    <m/>
    <s v="1097 DP"/>
    <s v="NETHERLANDS"/>
    <s v="'320251840835330484'"/>
    <s v="Transportation-Taxis &amp; Coach"/>
    <s v="DELTARESERVE"/>
    <x v="2"/>
  </r>
  <r>
    <d v="2025-07-03T00:00:00"/>
    <s v="MICROSOFT           MSBILL.INFO"/>
    <n v="25.84"/>
    <s v="Z72C714M42DZ72C714M42D7     98052_x000a_MICROSOFT_x000a_MSBILL.INFO_x000a_Z72C714M42D7     98052"/>
    <s v="MICROSOFT           MSBILL.INFO"/>
    <s v="1 MICROSOFT WAY"/>
    <s v="REDMOND_x000a_WA"/>
    <n v="98052"/>
    <s v="UNITED STATES"/>
    <s v="'320251840846618862'"/>
    <s v="Other-Miscellaneous"/>
    <s v="DELTARESERVE"/>
    <x v="1"/>
  </r>
  <r>
    <d v="2025-07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1850864946087'"/>
    <s v="Business Services-Other Services"/>
    <s v="AMEXPLATINUM"/>
    <x v="8"/>
  </r>
  <r>
    <d v="2025-07-03T00:00:00"/>
    <s v="ARISTON CAFE 0000   NEW YORK            NY"/>
    <n v="12.25"/>
    <s v="40100155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850871284112'"/>
    <s v="Restaurant-Bar &amp; CafÃ©"/>
    <s v="AMEXPLATINUM"/>
    <x v="3"/>
  </r>
  <r>
    <d v="2025-07-03T00:00:00"/>
    <s v="PETCO 3741 0374     NEW YORK            NY"/>
    <n v="88.89"/>
    <s v="35800036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1850871453157'"/>
    <s v="Merchandise &amp; Supplies-General Retail"/>
    <s v="AMEXPLATINUM"/>
    <x v="3"/>
  </r>
  <r>
    <d v="2025-07-04T00:00:00"/>
    <s v="UBER TRIP           SAN FRANCISCO       CA"/>
    <n v="30.35"/>
    <s v="5MNB4SWZ   MQWNMLR4_x000a_UBER TRIP_x000a_SAN FRANCISCO_x000a_CA_x000a_MQWNMLR4"/>
    <s v="UBER TRIP           SAN FRANCISCO       CA"/>
    <s v="MR. TREUBLAAN 7_x000a_AMSTERDAM"/>
    <m/>
    <s v="1097 DP"/>
    <s v="NETHERLANDS"/>
    <s v="'320251850857319781'"/>
    <s v="Transportation-Taxis &amp; Coach"/>
    <s v="DELTARESERVE"/>
    <x v="2"/>
  </r>
  <r>
    <d v="2025-07-04T00:00:00"/>
    <s v="UBER TRIP           SAN FRANCISCO       CA"/>
    <n v="26.89"/>
    <s v="2Z9FMZX8   J2Q2F576_x000a_UBER TRIP_x000a_SAN FRANCISCO_x000a_CA_x000a_J2Q2F576"/>
    <s v="UBER TRIP           SAN FRANCISCO       CA"/>
    <s v="MR. TREUBLAAN 7_x000a_AMSTERDAM"/>
    <m/>
    <s v="1097 DP"/>
    <s v="NETHERLANDS"/>
    <s v="'320251850857867915'"/>
    <s v="Transportation-Taxis &amp; Coach"/>
    <s v="DELTARESERVE"/>
    <x v="2"/>
  </r>
  <r>
    <d v="2025-07-04T00:00:00"/>
    <s v="UBER TRIP           SAN FRANCISCO       CA"/>
    <n v="5"/>
    <s v="AR55X3BD   J2Q2F576_x000a_UBER TRIP_x000a_SAN FRANCISCO_x000a_CA_x000a_J2Q2F576"/>
    <s v="UBER TRIP           SAN FRANCISCO       CA"/>
    <s v="MR. TREUBLAAN 7_x000a_AMSTERDAM"/>
    <m/>
    <s v="1097 DP"/>
    <s v="NETHERLANDS"/>
    <s v="'320251850857893665'"/>
    <s v="Transportation-Taxis &amp; Coach"/>
    <s v="DELTARESERVE"/>
    <x v="2"/>
  </r>
  <r>
    <d v="2025-07-04T00:00:00"/>
    <s v="PEACOCK             NEW YORK CITY       NY"/>
    <n v="7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1850859538115'"/>
    <s v="Communications-Cable &amp; Internet Comm"/>
    <s v="DELTARESERVE"/>
    <x v="3"/>
  </r>
  <r>
    <d v="2025-07-04T00:00:00"/>
    <s v="ELECTRONIC ARTS INC.REDWOOD CITY        CA"/>
    <n v="42.79"/>
    <s v="######7xfgV DIGITAL GOODS: GAMES_x000a_ELECTRONIC ARTS INC._x000a_REDWOOD CITY_x000a_CA_x000a_DIGITAL GOODS: GAMES"/>
    <s v="ELECTRONIC ARTS INC.REDWOOD CITY        CA"/>
    <s v="209 REDWOOD SHRS PKWY"/>
    <s v="REDWOOD CITY_x000a_CA"/>
    <n v="94065"/>
    <s v="UNITED STATES"/>
    <s v="'320251850860075331'"/>
    <s v="Business Services-Employment Agencies"/>
    <s v="AMEXPLATINUM"/>
    <x v="3"/>
  </r>
  <r>
    <d v="2025-07-04T00:00:00"/>
    <s v="UBER TRIP           SAN FRANCISCO       CA"/>
    <n v="78.45"/>
    <s v="EZH774QB    8005928996_x000a_UBER TRIP_x000a_SAN FRANCISCO_x000a_CA_x000a_8005928996"/>
    <s v="UBER TRIP           SAN FRANCISCO       CA"/>
    <s v="MR. TREUBLAAN 7_x000a_AMSTERDAM"/>
    <m/>
    <s v="1097 DP"/>
    <s v="NETHERLANDS"/>
    <s v="'320251850861371670'"/>
    <s v="Transportation-Taxis &amp; Coach"/>
    <s v="DELTARESERVE"/>
    <x v="2"/>
  </r>
  <r>
    <d v="2025-07-04T00:00:00"/>
    <s v="UBER TRIP           SAN FRANCISCO       CA"/>
    <n v="66.27"/>
    <s v="9RRMFX73    8005928996_x000a_UBER TRIP_x000a_SAN FRANCISCO_x000a_CA_x000a_8005928996"/>
    <s v="UBER TRIP           SAN FRANCISCO       CA"/>
    <s v="MR. TREUBLAAN 7_x000a_AMSTERDAM"/>
    <m/>
    <s v="1097 DP"/>
    <s v="NETHERLANDS"/>
    <s v="'320251850861916184'"/>
    <s v="Transportation-Taxis &amp; Coach"/>
    <s v="DELTARESERVE"/>
    <x v="2"/>
  </r>
  <r>
    <d v="2025-07-04T00:00:00"/>
    <s v="ENLY                New York            NY"/>
    <n v="10.8"/>
    <s v="pYq8ki9OLsO squareup.com/receipts_x000a_ENLY_x000a_New York_x000a_NY_x000a_squareup.com/receipts"/>
    <s v="ENLY                New York            NY"/>
    <s v="227 MOTT ST"/>
    <s v="NEW YORK_x000a_NY"/>
    <n v="10012"/>
    <s v="UNITED STATES"/>
    <s v="'320251850862055589'"/>
    <s v="Restaurant-Bar &amp; CafÃ©"/>
    <s v="AMEXPLATINUM"/>
    <x v="3"/>
  </r>
  <r>
    <d v="2025-07-04T00:00:00"/>
    <s v="BT*CLV*VECTORMAGIC  EXCELSIOR           CA"/>
    <n v="9.9499999999999993"/>
    <s v="H46RZD8W    4152302377_x000a_BT*CLV*VECTORMAGIC_x000a_EXCELSIOR_x000a_CA_x000a_4152302377"/>
    <s v="BT*CLV*VECTORMAGIC  EXCELSIOR           CA"/>
    <s v="2500 SHADYWOOD RD_x000a_STE 510"/>
    <s v="EXCELSIOR_x000a_CA"/>
    <n v="55331"/>
    <s v="UNITED STATES"/>
    <s v="'320251850863033190'"/>
    <s v="Merchandise &amp; Supplies-Computer Supplies"/>
    <s v="AMEXPLATINUM"/>
    <x v="3"/>
  </r>
  <r>
    <d v="2025-07-04T00:00:00"/>
    <s v="MICROSOFT           MSBILL.INFO"/>
    <n v="25.84"/>
    <s v="Z72X72HAFBBZ72X72HAFBBN     98052_x000a_MICROSOFT_x000a_MSBILL.INFO_x000a_Z72X72HAFBBN     98052"/>
    <s v="MICROSOFT           MSBILL.INFO"/>
    <s v="1 MICROSOFT WAY"/>
    <s v="REDMOND_x000a_WA"/>
    <n v="98052"/>
    <s v="UNITED STATES"/>
    <s v="'320251850874097731'"/>
    <s v="Other-Miscellaneous"/>
    <s v="DELTARESERVE"/>
    <x v="1"/>
  </r>
  <r>
    <d v="2025-07-04T00:00:00"/>
    <s v="A1010BUSD01         MSBILL.INFO"/>
    <n v="42.8"/>
    <s v="Z728737J78TZ728737J78TQ     98052_x000a_A1010BUSD01_x000a_MSBILL.INFO_x000a_Z728737J78TQ     98052"/>
    <s v="A1010BUSD01         MSBILL.INFO"/>
    <s v="8TH FLOOR_x000a_91 MAIN ST"/>
    <s v="DALLAS_x000a_TX"/>
    <n v="75202"/>
    <s v="UNITED STATES"/>
    <s v="'320251850878492236'"/>
    <s v="Other-Miscellaneous"/>
    <s v="AMEXPLATINUM"/>
    <x v="1"/>
  </r>
  <r>
    <d v="2025-07-04T00:00:00"/>
    <s v="A1010BUSD01         MSBILL.INFO"/>
    <n v="32.07"/>
    <s v="Z72T717RZ4HZ72T717RZ4HH     98052_x000a_A1010BUSD01_x000a_MSBILL.INFO_x000a_Z72T717RZ4HH     98052"/>
    <s v="A1010BUSD01         MSBILL.INFO"/>
    <s v="8TH FLOOR_x000a_91 MAIN ST"/>
    <s v="DALLAS_x000a_TX"/>
    <n v="75202"/>
    <s v="UNITED STATES"/>
    <s v="'320251850878496646'"/>
    <s v="Other-Miscellaneous"/>
    <s v="AMEXPLATINUM"/>
    <x v="1"/>
  </r>
  <r>
    <d v="2025-07-04T00:00:00"/>
    <s v="A1010BUSD01         MSBILL.INFO"/>
    <n v="25.68"/>
    <s v="Z730718C528Z730718C528R     98052_x000a_A1010BUSD01_x000a_MSBILL.INFO_x000a_Z730718C528R     98052"/>
    <s v="A1010BUSD01         MSBILL.INFO"/>
    <s v="8TH FLOOR_x000a_91 MAIN ST"/>
    <s v="DALLAS_x000a_TX"/>
    <n v="75202"/>
    <s v="UNITED STATES"/>
    <s v="'320251850878497776'"/>
    <s v="Other-Miscellaneous"/>
    <s v="AMEXPLATINUM"/>
    <x v="1"/>
  </r>
  <r>
    <d v="2025-07-04T00:00:00"/>
    <s v="A1010BUSD01         MSBILL.INFO"/>
    <n v="68.48"/>
    <s v="Z72U72B6N1NZ72U72B6N1NP     98052_x000a_A1010BUSD01_x000a_MSBILL.INFO_x000a_Z72U72B6N1NP     98052"/>
    <s v="A1010BUSD01         MSBILL.INFO"/>
    <s v="8TH FLOOR_x000a_91 MAIN ST"/>
    <s v="DALLAS_x000a_TX"/>
    <n v="75202"/>
    <s v="UNITED STATES"/>
    <s v="'320251850878542222'"/>
    <s v="Other-Miscellaneous"/>
    <s v="AMEXPLATINUM"/>
    <x v="1"/>
  </r>
  <r>
    <d v="2025-07-04T00:00:00"/>
    <s v="A1010BUSD01         REDMOND"/>
    <n v="21.4"/>
    <s v="Z72W73A57MWZ72W73A57MW9     98052_x000a_A1010BUSD01_x000a_REDMOND_x000a_Z72W73A57MW9     98052"/>
    <s v="A1010BUSD01         REDMOND"/>
    <s v="8TH FLOOR_x000a_91 MAIN ST"/>
    <s v="DALLAS_x000a_TX"/>
    <n v="75202"/>
    <s v="UNITED STATES"/>
    <s v="'320251850878545385'"/>
    <s v="Other-Miscellaneous"/>
    <s v="AMEXPLATINUM"/>
    <x v="1"/>
  </r>
  <r>
    <d v="2025-07-04T00:00:00"/>
    <s v="A1010BUSD01         MSBILL.INFO"/>
    <n v="289.06"/>
    <s v="Z72H717XLCOZ72H717XLCOC     98052_x000a_A1010BUSD01_x000a_MSBILL.INFO_x000a_Z72H717XLCOC     98052"/>
    <s v="A1010BUSD01         MSBILL.INFO"/>
    <s v="8TH FLOOR_x000a_91 MAIN ST"/>
    <s v="DALLAS_x000a_TX"/>
    <n v="75202"/>
    <s v="UNITED STATES"/>
    <s v="'320251850878551775'"/>
    <s v="Other-Miscellaneous"/>
    <s v="AMEXPLATINUM"/>
    <x v="1"/>
  </r>
  <r>
    <d v="2025-07-04T00:00:00"/>
    <s v="CVS PHARMACY        NEW YORK            NY"/>
    <n v="68.37"/>
    <s v="10189461    8007467287_x000a_CVS PHARMACY_x000a_NEW YORK_x000a_NY_x000a_Description : PHARMACIES Price : 0.6837_x000a_8007467287"/>
    <s v="CVS PHARMACY        NEW YORK            NY"/>
    <s v="158 BLEECKER ST"/>
    <s v="NEW YORK_x000a_NY"/>
    <n v="10012"/>
    <s v="UNITED STATES"/>
    <s v="'320251860897627690'"/>
    <s v="Merchandise &amp; Supplies-Pharmacies"/>
    <s v="AMEXPLATINUM"/>
    <x v="3"/>
  </r>
  <r>
    <d v="2025-07-04T00:00:00"/>
    <s v="KALL8 00089590000642SEATTLE             WA"/>
    <n v="17.04"/>
    <s v="73011005185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1860900530566'"/>
    <s v="Other-Miscellaneous"/>
    <s v="AMEXPLATINUM"/>
    <x v="5"/>
  </r>
  <r>
    <d v="2025-07-05T00:00:00"/>
    <s v="HOTEL DUQUESA DE CARBARCELONA           ES"/>
    <n v="1783.27"/>
    <s v="911554      LODGING_x000a_HOTEL DUQUESA DE CARDONA 266063106_x000a_BARCELONA_x000a_ES_x000a_LODGINGForeign Spend Amount: 1512.66 EURO Commission Amount:  Currency Exchange Rate: null"/>
    <s v="HOTEL DUQUESA DE CARBARCELONA           ES"/>
    <s v="PG. COLOM 12_x000a_BARCELONA"/>
    <m/>
    <s v="08002"/>
    <s v="SPAIN"/>
    <s v="'320251860884175018'"/>
    <s v="Travel-Lodging"/>
    <s v="DELTARESERVE"/>
    <x v="3"/>
  </r>
  <r>
    <d v="2025-07-05T00:00:00"/>
    <s v="MERCER GESTION LLEDOBARCELONA           ES"/>
    <n v="458.59"/>
    <s v="2717        LODGING_x000a_MERCER GESTION LLEDO SL 014534143_x000a_BARCELONA_x000a_ES_x000a_LODGINGForeign Spend Amount: 389.00 EURO Commission Amount:  Currency Exchange Rate: null"/>
    <s v="MERCER GESTION LLEDOBARCELONA           ES"/>
    <s v="LLEDO 7_x000a_BARCELONA"/>
    <m/>
    <s v="08002"/>
    <s v="SPAIN"/>
    <s v="'320251860884180545'"/>
    <s v="Travel-Lodging"/>
    <s v="DELTARESERVE"/>
    <x v="3"/>
  </r>
  <r>
    <d v="2025-07-05T00:00:00"/>
    <s v="GITHUB, INC.        SAN FRANCISCO       CA"/>
    <n v="4"/>
    <s v="CH_3RHZYGJF +18774484820_x000a_GITHUB, INC._x000a_SAN FRANCISCO_x000a_CA_x000a_+18774484820"/>
    <s v="GITHUB, INC.        SAN FRANCISCO       CA"/>
    <s v="275 BRANNAN ST"/>
    <s v="SAN FRANCISCO_x000a_CA"/>
    <n v="94107"/>
    <s v="UNITED STATES"/>
    <s v="'320251860888244274'"/>
    <s v="Other-Miscellaneous"/>
    <s v="DELTARESERVE"/>
    <x v="1"/>
  </r>
  <r>
    <d v="2025-07-05T00:00:00"/>
    <s v="THE CLEANERS IO, LLCNEW YORK            NY"/>
    <n v="41.98"/>
    <s v="REA1AVvdxB5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1860890549994'"/>
    <s v="Business Services-Other Services"/>
    <s v="AMEXPLATINUM"/>
    <x v="8"/>
  </r>
  <r>
    <d v="2025-07-05T00:00:00"/>
    <s v="UBER TRIP           SAN FRANCISCO       CA"/>
    <n v="102.49"/>
    <s v="86F6PBGG    8005928996_x000a_UBER TRIP_x000a_SAN FRANCISCO_x000a_CA_x000a_8005928996"/>
    <s v="UBER TRIP           SAN FRANCISCO       CA"/>
    <s v="MR. TREUBLAAN 7_x000a_AMSTERDAM"/>
    <m/>
    <s v="1097 DP"/>
    <s v="NETHERLANDS"/>
    <s v="'320251860891294632'"/>
    <s v="Transportation-Taxis &amp; Coach"/>
    <s v="DELTARESERVE"/>
    <x v="2"/>
  </r>
  <r>
    <d v="2025-07-05T00:00:00"/>
    <s v="JUICE GENERATION 19 NEW YORK            NY"/>
    <n v="12.79"/>
    <s v="31099535186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1870915279416'"/>
    <s v="Restaurant-Bar &amp; CafÃ©"/>
    <s v="AMEXPLATINUM"/>
    <x v="3"/>
  </r>
  <r>
    <d v="2025-07-05T00:00:00"/>
    <s v="ARISTON CAFE 0000   NEW YORK            NY"/>
    <n v="8.66"/>
    <s v="40300101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1870920008835'"/>
    <s v="Restaurant-Bar &amp; CafÃ©"/>
    <s v="AMEXPLATINUM"/>
    <x v="3"/>
  </r>
  <r>
    <d v="2025-07-05T00:00:00"/>
    <s v="HUDSONNEWS  ST1176 1JAMAICA             NY"/>
    <n v="7.2"/>
    <s v="706001115  705201115        11430_x000a_NEWS DEALERS/NEWSSTANDS_x000a_HUDSONNEWS  ST1176 1176_x000a_JAMAICA_x000a_NY_x000a_NEWS DEALERS/NEWSSTANDS_x000a_705201115        11430"/>
    <s v="HUDSONNEWS  ST1176 1JAMAICA             NY"/>
    <s v="ROOM 2420_x000a_TERMINAL 4"/>
    <s v="JAMAICA_x000a_NY"/>
    <n v="11430"/>
    <s v="UNITED STATES"/>
    <s v="'320251870920919933'"/>
    <s v="Merchandise &amp; Supplies-Book Stores"/>
    <s v="AMEXPLATINUM"/>
    <x v="3"/>
  </r>
  <r>
    <d v="2025-07-05T00:00:00"/>
    <s v="HUDSONNEWS  ST1182 1JAMAICA             NY"/>
    <n v="8.51"/>
    <s v="706003152  705203152        11430_x000a_NEWS DEALERS/NEWSSTANDS_x000a_HUDSONNEWS  ST1182 1182_x000a_JAMAICA_x000a_NY_x000a_NEWS DEALERS/NEWSSTANDS_x000a_705203152        11430"/>
    <s v="HUDSONNEWS  ST1182 1JAMAICA             NY"/>
    <s v="ROOM 2420_x000a_TERMINAL 4"/>
    <s v="JAMAICA_x000a_NY"/>
    <n v="11430"/>
    <s v="UNITED STATES"/>
    <s v="'320251870920953987'"/>
    <s v="Merchandise &amp; Supplies-Book Stores"/>
    <s v="AMEXPLATINUM"/>
    <x v="3"/>
  </r>
  <r>
    <d v="2025-07-05T00:00:00"/>
    <s v="DUANE READE #14468 0NEW YORK            NY"/>
    <n v="39.46"/>
    <s v="99999995187 8002892273_x000a_DUANE READE #14468 000014468_x000a_NEW YORK_x000a_NY_x000a_Description : PHARMACIES Price : 0.3946_x000a_8002892273"/>
    <s v="DUANE READE #14468 0NEW YORK            NY"/>
    <s v="1 UN SQ SOUTH"/>
    <s v="NEW YORK_x000a_NY"/>
    <n v="10003"/>
    <s v="UNITED STATES"/>
    <s v="'320251870922218031'"/>
    <s v="Merchandise &amp; Supplies-Pharmacies"/>
    <s v="AMEXPLATINUM"/>
    <x v="3"/>
  </r>
  <r>
    <d v="2025-07-05T00:00:00"/>
    <s v="HUDSONNEWS  ST1178 1JAMAICA             NY"/>
    <n v="3"/>
    <s v="705234018  705194018        11430_x000a_NEWS DEALERS/NEWSSTANDS_x000a_HUDSONNEWS  ST1178 1178_x000a_JAMAICA_x000a_NY_x000a_NEWS DEALERS/NEWSSTANDS_x000a_705194018        11430"/>
    <s v="HUDSONNEWS  ST1178 1JAMAICA             NY"/>
    <s v="ROOM 2420_x000a_TERMINAL 4"/>
    <s v="JAMAICA_x000a_NY"/>
    <n v="11430"/>
    <s v="UNITED STATES"/>
    <s v="'320251870923055374'"/>
    <s v="Merchandise &amp; Supplies-Book Stores"/>
    <s v="AMEXPLATINUM"/>
    <x v="3"/>
  </r>
  <r>
    <d v="2025-07-05T00:00:00"/>
    <s v="HUDSONNEWS  ST1177 1JAMAICA             NY"/>
    <n v="14.41"/>
    <s v="706000342  705200342        11430_x000a_NEWS DEALERS/NEWSSTANDS_x000a_HUDSONNEWS  ST1177 1177_x000a_JAMAICA_x000a_NY_x000a_NEWS DEALERS/NEWSSTANDS_x000a_705200342        11430"/>
    <s v="HUDSONNEWS  ST1177 1JAMAICA             NY"/>
    <s v="ROOM 2420_x000a_TERMINAL 4"/>
    <s v="JAMAICA_x000a_NY"/>
    <n v="11430"/>
    <s v="UNITED STATES"/>
    <s v="'320251870923093990'"/>
    <s v="Merchandise &amp; Supplies-Book Stores"/>
    <s v="AMEXPLATINUM"/>
    <x v="3"/>
  </r>
  <r>
    <d v="2025-07-05T00:00:00"/>
    <s v="MORTON WILLIAMS - TANEW YORK            NY"/>
    <n v="13.6"/>
    <s v="000041312   2123589597_x000a_MORTON WILLIAMS - TAN 000000000579387_x000a_NEW YORK_x000a_NY_x000a_2123589597"/>
    <s v="MORTON WILLIAMS - TANEW YORK            NY"/>
    <s v="130 BLEECKER ST"/>
    <s v="NEW YORK_x000a_NY"/>
    <n v="10012"/>
    <s v="UNITED STATES"/>
    <s v="'320251870924877463'"/>
    <s v="Merchandise &amp; Supplies-Groceries"/>
    <s v="AMEXPLATINUM"/>
    <x v="3"/>
  </r>
  <r>
    <d v="2025-07-06T00:00:00"/>
    <s v="ONLINE PAYMENT - THANK YOU"/>
    <n v="-2500"/>
    <s v="ONLINE PAYMENT - THANK YOU"/>
    <s v="ONLINE PAYMENT - THANK YOU"/>
    <m/>
    <m/>
    <m/>
    <m/>
    <s v="'320251870904516558'"/>
    <m/>
    <s v="AMEXPLATINUM"/>
    <x v="0"/>
  </r>
  <r>
    <d v="2025-07-06T00:00:00"/>
    <s v="ONLINE PAYMENT - THANK YOU"/>
    <n v="-5000"/>
    <s v="ONLINE PAYMENT - THANK YOU"/>
    <s v="ONLINE PAYMENT - THANK YOU"/>
    <m/>
    <m/>
    <m/>
    <m/>
    <s v="'320251870904532623'"/>
    <m/>
    <s v="DELTARESERVE"/>
    <x v="0"/>
  </r>
  <r>
    <d v="2025-07-06T00:00:00"/>
    <s v="LEMONADE INSURANCE CNEW YORK            NY"/>
    <n v="9.42"/>
    <s v="######DlumY INSURANCE SALES_x000a_LEMONADE INSURANCE COMPANY_x000a_NEW YORK_x000a_NY_x000a_INSURANCE SALES"/>
    <s v="LEMONADE INSURANCE CNEW YORK            NY"/>
    <s v="5 CROSBY ST FL 3"/>
    <s v="NEW YORK_x000a_NY"/>
    <n v="10013"/>
    <s v="UNITED STATES"/>
    <s v="'320251870906055261'"/>
    <s v="Business Services-Insurance Services"/>
    <s v="AMEXPLATINUM"/>
    <x v="3"/>
  </r>
  <r>
    <d v="2025-07-06T00:00:00"/>
    <s v="NOTION LABS, INC.   SAN FRANCISCO       CA"/>
    <n v="25.68"/>
    <s v="CH_3RHVXLCC +14154004291_x000a_NOTION LABS, INC._x000a_SAN FRANCISCO_x000a_CA_x000a_+14154004291"/>
    <s v="NOTION LABS, INC.   SAN FRANCISCO       CA"/>
    <s v="685 MARKET ST_x000a_SUITE 300"/>
    <s v="SAN FRANCISCO_x000a_CA"/>
    <n v="94105"/>
    <s v="UNITED STATES"/>
    <s v="'320251870909982486'"/>
    <s v="Business Services-Employment Agencies"/>
    <s v="DELTARESERVE"/>
    <x v="1"/>
  </r>
  <r>
    <d v="2025-07-06T00:00:00"/>
    <s v="SPECTRUM            855-707-7328        MO"/>
    <n v="113"/>
    <s v="RC148688802CABLE SVC_x000a_SPECTRUM_x000a_855-707-7328_x000a_MO_x000a_CABLE SVC"/>
    <s v="SPECTRUM            855-707-7328        MO"/>
    <s v="12405 POWERSCOURT DR"/>
    <s v="SAINT LOUIS_x000a_MO"/>
    <n v="63131"/>
    <s v="UNITED STATES"/>
    <s v="'320251870913592012'"/>
    <s v="Communications-Cable &amp; Internet Comm"/>
    <s v="AMEXPLATINUM"/>
    <x v="5"/>
  </r>
  <r>
    <d v="2025-07-06T00:00:00"/>
    <s v="FACEBK *MDUP8VQRF2  MENLO PARK"/>
    <n v="1.6"/>
    <s v="24064032949 ADVERTISING SERVICE_x000a_FACEBK *MDUP8VQRF2_x000a_MENLO PARK_x000a_ADVERTISING SERVICE"/>
    <s v="FACEBK *MDUP8VQRF2  MENLO PARK"/>
    <s v="1 HACKER WAY"/>
    <s v="MENLO PARK_x000a_CA"/>
    <n v="94025"/>
    <s v="UNITED STATES"/>
    <s v="'320251870914725260'"/>
    <s v="Business Services-Advertising Services"/>
    <s v="AMEXPLATINUM"/>
    <x v="3"/>
  </r>
  <r>
    <d v="2025-07-06T00:00:00"/>
    <s v="NYU HOSP CTR-MYCHARTNEW YORK            NY"/>
    <n v="100"/>
    <s v="036-0261221 HEALTHCARE P_x000a_NYU HOSP CTR-MYCHART_x000a_NEW YORK_x000a_NY_x000a_HEALTHCARE P"/>
    <s v="NYU HOSP CTR-MYCHARTNEW YORK            NY"/>
    <s v="550 1ST AVE"/>
    <s v="NEW YORK_x000a_NY"/>
    <s v="10016-6402"/>
    <s v="UNITED STATES"/>
    <s v="'320251880938189924'"/>
    <s v="Business Services-Health Care Services"/>
    <s v="AMEXPLATINUM"/>
    <x v="3"/>
  </r>
  <r>
    <d v="2025-07-07T00:00:00"/>
    <s v="TIQETS INC          PHILADELPHIA        PA"/>
    <n v="268.79000000000002"/>
    <s v="######R030S TRAVEL AGENCY_x000a_TIQETS INC_x000a_PHILADELPHIA_x000a_PA_x000a_TRAVEL AGENCYForeign Spend Amount: 228.00 EURO Commission Amount:  Currency Exchange Rate: null"/>
    <s v="TIQETS INC          PHILADELPHIA        PA"/>
    <s v="JAMES WATTSTRAAT 100_x000a_AMSTERDAM"/>
    <m/>
    <s v="1097 DM"/>
    <s v="NETHERLANDS"/>
    <s v="'320251880948712932'"/>
    <s v="Entertainment-General Attractions"/>
    <s v="AMEXPLATINUM"/>
    <x v="3"/>
  </r>
  <r>
    <d v="2025-07-07T00:00:00"/>
    <s v="A1010BUSD01         MSBILL.INFO"/>
    <n v="21.38"/>
    <s v="Z72U7876JQNZ72U7876JQNW     98052_x000a_A1010BUSD01_x000a_MSBILL.INFO_x000a_Z72U7876JQNW     98052"/>
    <s v="A1010BUSD01         MSBILL.INFO"/>
    <s v="8TH FLOOR_x000a_91 MAIN ST"/>
    <s v="DALLAS_x000a_TX"/>
    <n v="75202"/>
    <s v="UNITED STATES"/>
    <s v="'320251880949008783'"/>
    <s v="Other-Miscellaneous"/>
    <s v="DELTARESERVE"/>
    <x v="1"/>
  </r>
  <r>
    <d v="2025-07-07T00:00:00"/>
    <s v="IONOS               www.ionos.com       PA"/>
    <n v="41.12"/>
    <s v="00612362104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1890975840919'"/>
    <s v="Merchandise &amp; Supplies-Computer Supplies"/>
    <s v="AMEXPLATINUM"/>
    <x v="1"/>
  </r>
  <r>
    <d v="2025-07-07T00:00:00"/>
    <s v="RESTAURANT ABAC, S.LBARCELONA           ES"/>
    <n v="911.4"/>
    <s v="003705      LODGING_x000a_RESTAURANT ABAC, S.L. 022295869_x000a_BARCELONA_x000a_ES_x000a_LODGINGForeign Spend Amount: 775.00 EURO Commission Amount:  Currency Exchange Rate: null"/>
    <s v="RESTAURANT ABAC, S.LBARCELONA           ES"/>
    <s v="&quot;AVDA. TIBIDABO,1&quot;_x000a_BARCELONA"/>
    <m/>
    <s v="08022"/>
    <s v="SPAIN"/>
    <s v="'320251890982456523'"/>
    <s v="Restaurant-Restaurant"/>
    <s v="DELTARESERVE"/>
    <x v="3"/>
  </r>
  <r>
    <d v="2025-07-08T00:00:00"/>
    <s v="Interest Charge on Pay Over Time Purchases"/>
    <n v="532.9"/>
    <s v="Interest Charge on Pay Over Time Purchases"/>
    <s v="Interest Charge on Pay Over Time Purchases"/>
    <m/>
    <m/>
    <m/>
    <m/>
    <s v="'150709060000499911'"/>
    <s v="Fees &amp; Adjustments-Fees &amp; Adjustments"/>
    <s v="AMEXPLATINUM"/>
    <x v="13"/>
  </r>
  <r>
    <d v="2025-07-08T00:00:00"/>
    <s v="QUIRAT              BARCELONA           BA"/>
    <n v="258.72000000000003"/>
    <s v="CH_3RIIMNG7 +34918362213_x000a_QUIRAT_x000a_BARCELONA_x000a_BA_x000a_+34918362213Foreign Spend Amount: 220.00 EURO Commission Amount:  Currency Exchange Rate: null"/>
    <s v="QUIRAT              BARCELONA           BA"/>
    <s v="PSO DE LA CASTELLANA 81 8A_x000a_MADRID"/>
    <m/>
    <n v="28046"/>
    <s v="SPAIN"/>
    <s v="'320251890959110778'"/>
    <s v="Restaurant-Restaurant"/>
    <s v="AMEXPLATINUM"/>
    <x v="11"/>
  </r>
  <r>
    <d v="2025-07-08T00:00:00"/>
    <s v="APPLE.COM/BILL      INTERNET CHARGE     CA"/>
    <n v="15.99"/>
    <s v="MTK7VTXZ5S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1890964603414'"/>
    <s v="Merchandise &amp; Supplies-Internet Purchase"/>
    <s v="AMEXPLATINUM"/>
    <x v="3"/>
  </r>
  <r>
    <d v="2025-07-08T00:00:00"/>
    <s v="VUELING AIRLINES SA BARCELONA           ES"/>
    <n v="190.51"/>
    <s v="NE53JY_3001 AIRLINE/AIR CARRIER_x000a_PASSENGER TICKET_x000a_VUELING AIRLINES SA_x000a_BARCELONA_x000a_ES_x000a_Carrier : Vueling_x000a_Passenger Name : Nicola/Cristian Alexandru_x000a_Ticket Number : NE53JY_x000a_Departure Day : 07/09_x000a_Additional Info : PASSENGER TICKET_x000a_From : BARCELONA_x000a_To : SEVILLE_x000a_Class : I_x000a_From : SEVILLE_x000a_To : BARCELONA_x000a_Class : IForeign Spend Amount: 162.00 EURO Commission Amount:  Currency Exchange Rate: null"/>
    <s v="VUELING AIRLINES SA BARCELONA           ES"/>
    <s v="PARQUE DE NEGOCIOS MAS BLAU II_x000a_&quot;PLAZA PLA DE L'ESTANY, 5&quot;_x000a_EL PRAT DE LLOBREGAT"/>
    <m/>
    <s v="08820"/>
    <s v="SPAIN"/>
    <s v="'320251890967830824'"/>
    <s v="Travel-Airline"/>
    <s v="DELTARESERVE"/>
    <x v="3"/>
  </r>
  <r>
    <d v="2025-07-08T00:00:00"/>
    <s v="EL CORTE INGLES PLAZBARCELONA           ES"/>
    <n v="1241.1500000000001"/>
    <s v="00006649    DEPARTMENT STORE_x000a_EL CORTE INGLES PLAZA DE CATALUA 00067_x000a_BARCELONA_x000a_ES_x000a_DEPARTMENT STOREForeign Spend Amount: 1055.40 EURO Commission Amount:  Currency Exchange Rate: null"/>
    <s v="EL CORTE INGLES PLAZBARCELONA           ES"/>
    <s v="PZA DE CATALUNA 14_x000a_BARCELONA"/>
    <m/>
    <s v="08002"/>
    <s v="SPAIN"/>
    <s v="'320251890982479307'"/>
    <s v="Merchandise &amp; Supplies-Department Stores"/>
    <s v="DELTARESERVE"/>
    <x v="3"/>
  </r>
  <r>
    <d v="2025-07-08T00:00:00"/>
    <s v="EL CORTE INGLES PLAZBARCELONA           ES"/>
    <n v="400.9"/>
    <s v="00000957    DEPARTMENT STORE_x000a_EL CORTE INGLES PLAZA DE CATALUA 00067_x000a_BARCELONA_x000a_ES_x000a_DEPARTMENT STOREForeign Spend Amount: 340.90 EURO Commission Amount:  Currency Exchange Rate: null"/>
    <s v="EL CORTE INGLES PLAZBARCELONA           ES"/>
    <s v="PZA DE CATALUNA 14_x000a_BARCELONA"/>
    <m/>
    <s v="08002"/>
    <s v="SPAIN"/>
    <s v="'320251890982479538'"/>
    <s v="Merchandise &amp; Supplies-Department Stores"/>
    <s v="AMEXPLATINUM"/>
    <x v="3"/>
  </r>
  <r>
    <d v="2025-07-08T00:00:00"/>
    <s v="EL CORTE INGLES PLAZBARCELONA           ES"/>
    <n v="224.39"/>
    <s v="00009581    DEPARTMENT STORE_x000a_EL CORTE INGLES PLAZA DE CATALUA 00067_x000a_BARCELONA_x000a_ES_x000a_DEPARTMENT STOREForeign Spend Amount: 190.81 EURO Commission Amount:  Currency Exchange Rate: null"/>
    <s v="EL CORTE INGLES PLAZBARCELONA           ES"/>
    <s v="PZA DE CATALUNA 14_x000a_BARCELONA"/>
    <m/>
    <s v="08002"/>
    <s v="SPAIN"/>
    <s v="'320251890982480259'"/>
    <s v="Merchandise &amp; Supplies-Department Stores"/>
    <s v="DELTARESERVE"/>
    <x v="3"/>
  </r>
  <r>
    <d v="2025-07-08T00:00:00"/>
    <s v="RENEWAL MEMBERSHIP FEE"/>
    <n v="695"/>
    <s v="RENEWAL MEMBERSHIP FEE"/>
    <s v="RENEWAL MEMBERSHIP FEE"/>
    <m/>
    <m/>
    <m/>
    <m/>
    <s v="'320251893957388307'"/>
    <s v="Fees &amp; Adjustments-Fees &amp; Adjustments"/>
    <s v="AMEXPLATINUM"/>
    <x v="13"/>
  </r>
  <r>
    <d v="2025-07-08T00:00:00"/>
    <s v="ARLOTECHNOLOGIES INC408-638-3750        CA"/>
    <n v="21.39"/>
    <s v="219854066  219854066        12866_x000a_ARLOTECHNOLOGIES INC_x000a_408-638-3750_x000a_CA_x000a_219854066        12866"/>
    <s v="ARLOTECHNOLOGIES INC408-638-3750        CA"/>
    <s v="STE 200_x000a_480 N MCCARTHY BLVD"/>
    <s v="MILPITAS_x000a_CA"/>
    <n v="95035"/>
    <s v="UNITED STATES"/>
    <s v="'320251900987298378'"/>
    <s v="Merchandise &amp; Supplies-Wholesale Stores"/>
    <s v="DELTARESERVE"/>
    <x v="1"/>
  </r>
  <r>
    <d v="2025-07-09T00:00:00"/>
    <s v="RESTAURANTE ALMANSA SEVILLA             ES"/>
    <n v="500.06"/>
    <s v="4095        RESTAURANT_x000a_RESTAURANTE ALMANSA 362459208_x000a_SEVILLA_x000a_ES_x000a_RESTAURANTForeign Spend Amount: 425.00 EURO Commission Amount:  Currency Exchange Rate: null"/>
    <s v="RESTAURANTE ALMANSA SEVILLA             ES"/>
    <s v="C. ALBAREDA 0013_x000a_SEVILLA"/>
    <m/>
    <n v="41001"/>
    <s v="SPAIN"/>
    <s v="'320251900008506469'"/>
    <s v="Restaurant-Restaurant"/>
    <s v="AMEXPLATINUM"/>
    <x v="3"/>
  </r>
  <r>
    <d v="2025-07-09T00:00:00"/>
    <s v="VUELING INFLIGHT SALHARMONDSWORTH       GB"/>
    <n v="9.4"/>
    <s v="594294531   www.es.iairgroup.com_x000a_VUELING INFLIGHT SALES IAG Connect_x000a_HARMONDSWORTH_x000a_GB_x000a_www.es.iairgroup.comForeign Spend Amount: 7.99 EURO Commission Amount:  Currency Exchange Rate: null"/>
    <s v="VUELING INFLIGHT SALHARMONDSWORTH       GB"/>
    <s v="SUBMISSIONS EUR_x000a_IRELAND"/>
    <m/>
    <n v="0"/>
    <s v="IRELAND"/>
    <s v="'320251900011263824'"/>
    <s v="Travel-Other Travel"/>
    <s v="DELTARESERVE"/>
    <x v="3"/>
  </r>
  <r>
    <d v="2025-07-09T00:00:00"/>
    <s v="WORLD DUTY FREE GROUMADRID              ES"/>
    <n v="24.41"/>
    <s v="######bwqx2 FAST FOOD RESTAURANT_x000a_WORLD DUTY FREE GROUP SAU_x000a_MADRID_x000a_ES_x000a_FAST FOOD RESTAURANTForeign Spend Amount: 20.75 EURO Commission Amount:  Currency Exchange Rate: null"/>
    <s v="WORLD DUTY FREE GROUMADRID              ES"/>
    <s v="AEROPUERTO JOSEP TARRADELLES - EL PRAT_x000a_EL PRAT DE LLOBREGAT"/>
    <m/>
    <s v="08820"/>
    <s v="SPAIN"/>
    <s v="'320251900993422126'"/>
    <s v="Merchandise &amp; Supplies-General Retail"/>
    <s v="AMEXPLATINUM"/>
    <x v="3"/>
  </r>
  <r>
    <d v="2025-07-09T00:00:00"/>
    <s v="MICROSOFT           MSBILL.INFO"/>
    <n v="216"/>
    <s v="Z72Y7F10YT8Z72Y7F10YT8R     98052_x000a_MICROSOFT_x000a_MSBILL.INFO_x000a_Z72Y7F10YT8R     98052"/>
    <s v="MICROSOFT           MSBILL.INFO"/>
    <s v="1 MICROSOFT WAY"/>
    <s v="REDMOND_x000a_WA"/>
    <n v="98052"/>
    <s v="UNITED STATES"/>
    <s v="'320251900993729368'"/>
    <s v="Other-Miscellaneous"/>
    <s v="DELTARESERVE"/>
    <x v="1"/>
  </r>
  <r>
    <d v="2025-07-09T00:00:00"/>
    <s v="MICROSOFT           MSBILL.INFO"/>
    <n v="160.72"/>
    <s v="Z72Z7F0GYZVZ72Z7F0GYZVX     98052_x000a_MICROSOFT_x000a_MSBILL.INFO_x000a_Z72Z7F0GYZVX     98052"/>
    <s v="MICROSOFT           MSBILL.INFO"/>
    <s v="1 MICROSOFT WAY"/>
    <s v="REDMOND_x000a_WA"/>
    <n v="98052"/>
    <s v="UNITED STATES"/>
    <s v="'320251900993780349'"/>
    <s v="Other-Miscellaneous"/>
    <s v="DELTARESERVE"/>
    <x v="1"/>
  </r>
  <r>
    <d v="2025-07-09T00:00:00"/>
    <s v="WWW.PERPLEXITY.AI   SAN FRANCISCO       CA"/>
    <n v="21.4"/>
    <s v="CH_3RJD6RGZ +15102700840_x000a_WWW.PERPLEXITY.AI_x000a_SAN FRANCISCO_x000a_CA_x000a_+15102700840"/>
    <s v="WWW.PERPLEXITY.AI   SAN FRANCISCO       CA"/>
    <s v="115 SANSOME ST_x000a_SUITE 900"/>
    <s v="SAN FRANCISCO_x000a_CA"/>
    <n v="94104"/>
    <s v="UNITED STATES"/>
    <s v="'320251910032577508'"/>
    <s v="Business Services-Office Supplies"/>
    <s v="DELTARESERVE"/>
    <x v="1"/>
  </r>
  <r>
    <d v="2025-07-10T00:00:00"/>
    <s v="VIATOR              LONDON              GB"/>
    <n v="-64.819999999999993"/>
    <s v="1652526289  447776075114_x000a_VIATOR_x000a_LONDON_x000a_GB_x000a_447776075114"/>
    <s v="VIATOR              LONDON              GB"/>
    <s v="7 SOHO SQUARE"/>
    <s v="LONDON_x000a_ENG"/>
    <s v="W1D 3QB"/>
    <s v="UNITED KINGDOM OF GB AND NI"/>
    <s v="'320251910016436208'"/>
    <s v="Travel-Travel Agencies"/>
    <s v="AMEXPLATINUM"/>
    <x v="3"/>
  </r>
  <r>
    <d v="2025-07-10T00:00:00"/>
    <s v="UBER TRIP           SAN FRANCISCO       CA"/>
    <n v="19.14"/>
    <s v="3TXB480K    8005928996_x000a_UBER TRIP_x000a_SAN FRANCISCO_x000a_CA_x000a_8005928996"/>
    <s v="UBER TRIP           SAN FRANCISCO       CA"/>
    <s v="MR. TREUBLAAN 7_x000a_AMSTERDAM"/>
    <m/>
    <s v="1097 DP"/>
    <s v="NETHERLANDS"/>
    <s v="'320251910020203451'"/>
    <s v="Transportation-Taxis &amp; Coach"/>
    <s v="DELTARESERVE"/>
    <x v="2"/>
  </r>
  <r>
    <d v="2025-07-10T00:00:00"/>
    <s v="UBER TRIP           SAN FRANCISCO       CA"/>
    <n v="14.82"/>
    <s v="BG2ZPS34    8005928996_x000a_UBER TRIP_x000a_SAN FRANCISCO_x000a_CA_x000a_8005928996"/>
    <s v="UBER TRIP           SAN FRANCISCO       CA"/>
    <s v="MR. TREUBLAAN 7_x000a_AMSTERDAM"/>
    <m/>
    <s v="1097 DP"/>
    <s v="NETHERLANDS"/>
    <s v="'320251910020223554'"/>
    <s v="Transportation-Taxis &amp; Coach"/>
    <s v="DELTARESERVE"/>
    <x v="2"/>
  </r>
  <r>
    <d v="2025-07-10T00:00:00"/>
    <s v="VILLAGE POSTAL WORKSNEW YORK            NY"/>
    <n v="330"/>
    <s v="diqCVYBnirb squareup.com/receipts_x000a_VILLAGE POSTAL WORKS_x000a_NEW YORK_x000a_NY_x000a_squareup.com/receipts"/>
    <s v="VILLAGE POSTAL WORKSNEW YORK            NY"/>
    <s v="215 THOMPSON ST"/>
    <s v="NEW YORK_x000a_NY"/>
    <n v="10012"/>
    <s v="UNITED STATES"/>
    <s v="'320251910024160540'"/>
    <s v="Merchandise &amp; Supplies-General Retail"/>
    <s v="DELTARESERVE"/>
    <x v="19"/>
  </r>
  <r>
    <d v="2025-07-10T00:00:00"/>
    <s v="USPS PO BOXES ONLINE800-344-7779        DC"/>
    <n v="234"/>
    <s v="128976433438007826724_x000a_USPS PO BOXES ONLINE 660247000_x000a_800-344-7779_x000a_DC_x000a_8007826724"/>
    <s v="USPS PO BOXES ONLINE800-344-7779        DC"/>
    <s v="475 LENFANT PLZ SOUTH WEST RM 5540"/>
    <s v="WASHINGTON_x000a_DC"/>
    <n v="20260"/>
    <s v="UNITED STATES"/>
    <s v="'320251910038771883'"/>
    <s v="Business Services-Mailing &amp; Shipping"/>
    <s v="AMEXPLATINUM"/>
    <x v="19"/>
  </r>
  <r>
    <d v="2025-07-11T00:00:00"/>
    <s v="APPLE.COM/BILL      INTERNET CHARGE     CA"/>
    <n v="9.99"/>
    <s v="MTK7WZVL58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1920046021697'"/>
    <s v="Merchandise &amp; Supplies-Internet Purchase"/>
    <s v="AMEXPLATINUM"/>
    <x v="3"/>
  </r>
  <r>
    <d v="2025-07-11T00:00:00"/>
    <s v="SOBRETABLA          SEVILLA             ES"/>
    <n v="58.7"/>
    <s v="######Qvi0R DIGITAL GOODS: APPS_x000a_SOBRETABLA_x000a_SEVILLA_x000a_ES_x000a_DIGITAL GOODS: APPSForeign Spend Amount: 50.00 EURO Commission Amount:  Currency Exchange Rate: null"/>
    <s v="SOBRETABLA          SEVILLA             ES"/>
    <s v="CALLE COLOMBIA 7_x000a_SEVILLA"/>
    <m/>
    <n v="41013"/>
    <s v="SPAIN"/>
    <s v="'320251920047335044'"/>
    <s v="Merchandise &amp; Supplies-Internet Purchase"/>
    <s v="AMEXPLATINUM"/>
    <x v="3"/>
  </r>
  <r>
    <d v="2025-07-11T00:00:00"/>
    <s v="ADOBE SYSTEMS Adobe SAN JOSE            CA"/>
    <n v="21.39"/>
    <s v="594739176   www.adobe.com_x000a_ADOBE SYSTEMS Adobe Systems_x000a_SAN JOSE_x000a_CA_x000a_Description : 0 Price : 0.1999_x000a_www.adobe.com"/>
    <s v="ADOBE SYSTEMS Adobe SAN JOSE            CA"/>
    <s v="801 N 34TH ST"/>
    <s v="SEATTLE_x000a_WA"/>
    <n v="98103"/>
    <s v="UNITED STATES"/>
    <s v="'320251930085688296'"/>
    <s v="Merchandise &amp; Supplies-Mail Order"/>
    <s v="AMEXPLATINUM"/>
    <x v="1"/>
  </r>
  <r>
    <d v="2025-07-11T00:00:00"/>
    <s v="ILLUSTRATOR Adobe SySAN JOSE            CA"/>
    <n v="36.9"/>
    <s v="594739451   ADOBE.LY/ENUS_x000a_ILLUSTRATOR Adobe Systems_x000a_SAN JOSE_x000a_CA_x000a_Description : 0 Price : 0.3449_x000a_ADOBE.LY/ENUS"/>
    <s v="ILLUSTRATOR Adobe SySAN JOSE            CA"/>
    <s v="801 N 34TH ST"/>
    <s v="SEATTLE_x000a_WA"/>
    <n v="98103"/>
    <s v="UNITED STATES"/>
    <s v="'320251930086741412'"/>
    <s v="Merchandise &amp; Supplies-Mail Order"/>
    <s v="AMEXPLATINUM"/>
    <x v="1"/>
  </r>
  <r>
    <d v="2025-07-11T00:00:00"/>
    <s v="GETTHELEVERAGE.COM  BOSTON              MA"/>
    <n v="15"/>
    <s v="CH_3RJVUIG7 +15082931383_x000a_GETTHELEVERAGE.COM_x000a_BOSTON_x000a_MA_x000a_+15082931383"/>
    <s v="GETTHELEVERAGE.COM  BOSTON              MA"/>
    <s v="1693 BEACON ST_x000a_APT 3"/>
    <s v="BROOKLINE_x000a_MA"/>
    <s v="02445"/>
    <s v="UNITED STATES"/>
    <s v="'320251930095276991'"/>
    <s v="Business Services-Office Supplies"/>
    <s v="DELTARESERVE"/>
    <x v="1"/>
  </r>
  <r>
    <d v="2025-07-12T00:00:00"/>
    <s v="HERTZNYCFEE 96026872ALBANY              NY"/>
    <n v="8.3000000000000007"/>
    <s v="CH_3RK0R6GT 8779775771_x000a_HERTZNYCFEE 960268724_x000a_ALBANY_x000a_NY_x000a_8779775771"/>
    <s v="HERTZNYCFEE 96026872ALBANY              NY"/>
    <s v="1150 NORTH ALMA SCHOOL RD"/>
    <s v="MESA_x000a_AZ"/>
    <n v="85201"/>
    <s v="UNITED STATES"/>
    <s v="'320251930085429702'"/>
    <s v="Other-Miscellaneous"/>
    <s v="DELTARESERVE"/>
    <x v="9"/>
  </r>
  <r>
    <d v="2025-07-12T00:00:00"/>
    <s v="GOOGLE *ISHARINGSOFT G.CO/HELPPAY#      CA"/>
    <n v="16.04"/>
    <s v="A11GY5Z0    DIGITAL GOODS: APPS_x000a_GOOGLE *ISHARINGSOFT_x000a_G.CO/HELPPAY#_x000a_CA_x000a_DIGITAL GOODS: APPS"/>
    <s v="GOOGLE *ISHARINGSOFT G.CO/HELPPAY#      CA"/>
    <s v="1600 AMPHITHEATRE PKWY"/>
    <s v="MOUNTAIN VIEW_x000a_CA"/>
    <s v="94043-1351"/>
    <s v="UNITED STATES"/>
    <s v="'320251930089210150'"/>
    <s v="Business Services-Internet Services"/>
    <s v="DELTARESERVE"/>
    <x v="1"/>
  </r>
  <r>
    <d v="2025-07-12T00:00:00"/>
    <s v="FACEBK *META VERIFIEFB.ME/CC            CA"/>
    <n v="11.99"/>
    <s v="24066403183 DGTL CONTENT_x000a_FACEBK *META VERIFIED_x000a_FB.ME/CC_x000a_CA_x000a_DGTL CONTENT"/>
    <s v="FACEBK *META VERIFIEFB.ME/CC            CA"/>
    <s v="1 HACKER WAY"/>
    <s v="MENLO PARK_x000a_CA"/>
    <n v="94025"/>
    <s v="UNITED STATES"/>
    <s v="'320251940121793170'"/>
    <s v="Business Services-Office Supplies"/>
    <s v="AMEXPLATINUM"/>
    <x v="3"/>
  </r>
  <r>
    <d v="2025-07-13T00:00:00"/>
    <s v="LINKEDIN SN P7023466MOUNTAIN VIEW"/>
    <n v="106.99"/>
    <s v="P702346654  SUBSCRIPTIONS_x000a_LINKEDIN SN P702346654_x000a_MOUNTAIN VIEW_x000a_SUBSCRIPTIONS"/>
    <s v="LINKEDIN SN P7023466MOUNTAIN VIEW"/>
    <s v="2029 STIERLIN CT_x000a_STE 200"/>
    <s v="MOUNTAIN VIEW_x000a_CA"/>
    <s v="94043-4655"/>
    <s v="UNITED STATES"/>
    <s v="'320251940106995384'"/>
    <s v="Merchandise &amp; Supplies-Internet Purchase"/>
    <s v="AMEXPLATINUM"/>
    <x v="4"/>
  </r>
  <r>
    <d v="2025-07-13T00:00:00"/>
    <s v="VIATOR              LONDON              GB"/>
    <n v="71.42"/>
    <s v="1669470599  447776075114_x000a_VIATOR_x000a_LONDON_x000a_GB_x000a_447776075114"/>
    <s v="VIATOR              LONDON              GB"/>
    <s v="7 SOHO SQUARE"/>
    <s v="LONDON_x000a_ENG"/>
    <s v="W1D 3QB"/>
    <s v="UNITED KINGDOM OF GB AND NI"/>
    <s v="'320251940107540408'"/>
    <s v="Travel-Travel Agencies"/>
    <s v="AMEXPLATINUM"/>
    <x v="3"/>
  </r>
  <r>
    <d v="2025-07-13T00:00:00"/>
    <s v="CASA PALACIO M LUISAJEREZ DE LA F       ES"/>
    <n v="1131.18"/>
    <s v="690898      LODGING_x000a_CASA PALACIO M LUISA 355432121_x000a_JEREZ DE LA F_x000a_ES_x000a_LODGINGForeign Spend Amount: 965.50 EURO Commission Amount:  Currency Exchange Rate: null"/>
    <s v="CASA PALACIO M LUISAJEREZ DE LA F       ES"/>
    <s v="TORNERIA 22_x000a_JEREZ DE LA FRONTERA"/>
    <m/>
    <n v="11403"/>
    <s v="SPAIN"/>
    <s v="'320251940124426294'"/>
    <s v="Travel-Lodging"/>
    <s v="DELTARESERVE"/>
    <x v="3"/>
  </r>
  <r>
    <d v="2025-07-14T00:00:00"/>
    <s v="PATREON* MEMBERSHIP SAN FRANCISCO       CA"/>
    <n v="20.18"/>
    <s v="330T6A01503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1950131466794'"/>
    <s v="Business Services-Office Supplies"/>
    <s v="AMEXPLATINUM"/>
    <x v="3"/>
  </r>
  <r>
    <d v="2025-07-14T00:00:00"/>
    <s v="GETYOURGUIDE TICKETSBERLIN              DE"/>
    <n v="165.2"/>
    <s v="######TYAMB TOURIST ATTRACTION_x000a_GETYOURGUIDE TICKETS_x000a_BERLIN_x000a_DE_x000a_TOURIST ATTRACTIONForeign Spend Amount: 141.00 EURO Commission Amount:  Currency Exchange Rate: null"/>
    <s v="GETYOURGUIDE TICKETSBERLIN              DE"/>
    <s v="SONNENBURGER STRASSE 73_x000a_BERLIN"/>
    <m/>
    <n v="10437"/>
    <s v="GERMANY"/>
    <s v="'320251950131785601'"/>
    <s v="Travel-Travel Agencies"/>
    <s v="AMEXPLATINUM"/>
    <x v="3"/>
  </r>
  <r>
    <d v="2025-07-14T00:00:00"/>
    <s v="ESQUIMOSUR          SEVILLA             SE"/>
    <n v="82.01"/>
    <s v="CH_3RKLUDBY +34681948360_x000a_ESQUIMOSUR_x000a_SEVILLA_x000a_SE_x000a_+34681948360Foreign Spend Amount: 70.00 EURO Commission Amount:  Currency Exchange Rate: null"/>
    <s v="ESQUIMOSUR          SEVILLA             SE"/>
    <s v="CALLE CUNA 15_x000a_SEVILLA"/>
    <m/>
    <n v="41004"/>
    <s v="SPAIN"/>
    <s v="'320251950133922181'"/>
    <s v="Entertainment-Theatrical Events"/>
    <s v="AMEXPLATINUM"/>
    <x v="3"/>
  </r>
  <r>
    <d v="2025-07-14T00:00:00"/>
    <s v="SEVILLA SHOP FRANCOSSEVILLA             ES"/>
    <n v="9.31"/>
    <s v="18706       CARD &amp; SOUVENIR STORE_x000a_SEVILLA SHOP FRANCOS 39 362727356_x000a_SEVILLA_x000a_ES_x000a_CARD &amp; SOUVENIR STOREForeign Spend Amount: 7.95 EURO Commission Amount:  Currency Exchange Rate: null"/>
    <s v="SEVILLA SHOP FRANCOSSEVILLA             ES"/>
    <s v="C. FRANCOS 0039_x000a_SEVILLA"/>
    <m/>
    <n v="41001"/>
    <s v="SPAIN"/>
    <s v="'320251950150359643'"/>
    <s v="Merchandise &amp; Supplies-General Retail"/>
    <s v="AMEXPLATINUM"/>
    <x v="3"/>
  </r>
  <r>
    <d v="2025-07-14T00:00:00"/>
    <s v="L OCA GIULIVA OSTERISEVILLA             ES"/>
    <n v="11.6"/>
    <s v="12622       RESTAURANT_x000a_L OCA GIULIVA OSTERIA 025985888_x000a_SEVILLA_x000a_ES_x000a_RESTAURANTForeign Spend Amount: 9.90 EURO Commission Amount:  Currency Exchange Rate: null"/>
    <s v="L OCA GIULIVA OSTERISEVILLA             ES"/>
    <s v="MATEOS GAGO 9_x000a_SEVILLA"/>
    <m/>
    <n v="41004"/>
    <s v="SPAIN"/>
    <s v="'320251950150359974'"/>
    <s v="Restaurant-Restaurant"/>
    <s v="AMEXPLATINUM"/>
    <x v="3"/>
  </r>
  <r>
    <d v="2025-07-14T00:00:00"/>
    <s v="LEMONADE INSURANCE CNEW YORK            NY"/>
    <n v="50.67"/>
    <s v="######DzL6Q INSURANCE SALES_x000a_LEMONADE INSURANCE COMPANY_x000a_NEW YORK_x000a_NY_x000a_INSURANCE SALES"/>
    <s v="LEMONADE INSURANCE CNEW YORK            NY"/>
    <s v="5 CROSBY ST FL 3"/>
    <s v="NEW YORK_x000a_NY"/>
    <n v="10013"/>
    <s v="UNITED STATES"/>
    <s v="'320251950152623056'"/>
    <s v="Business Services-Insurance Services"/>
    <s v="AMEXPLATINUM"/>
    <x v="3"/>
  </r>
  <r>
    <d v="2025-07-14T00:00:00"/>
    <s v="AT&amp;T"/>
    <n v="234.9"/>
    <s v="49135230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1960171828859'"/>
    <s v="Communications-Mobile Telecom"/>
    <s v="DELTARESERVE"/>
    <x v="5"/>
  </r>
  <r>
    <d v="2025-07-15T00:00:00"/>
    <s v="APPLE.COM/BILL      INTERNET CHARGE     CA"/>
    <n v="7.48"/>
    <s v="MTK7X9XT3D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1960158884722'"/>
    <s v="Merchandise &amp; Supplies-Internet Purchase"/>
    <s v="AMEXPLATINUM"/>
    <x v="3"/>
  </r>
  <r>
    <d v="2025-07-15T00:00:00"/>
    <s v="SOBRETABLAS 35650678SEVILLA             ES"/>
    <n v="760.44"/>
    <s v="2474        RESTAURANT_x000a_SOBRETABLAS 356506782_x000a_SEVILLA_x000a_ES_x000a_RESTAURANTForeign Spend Amount: 650.00 EURO Commission Amount:  Currency Exchange Rate: null"/>
    <s v="SOBRETABLAS 35650678SEVILLA             ES"/>
    <s v="C. COLOMBIA 0007_x000a_SEVILLA"/>
    <m/>
    <n v="41013"/>
    <s v="SPAIN"/>
    <s v="'320251960179372450'"/>
    <s v="Restaurant-Restaurant"/>
    <s v="AMEXPLATINUM"/>
    <x v="3"/>
  </r>
  <r>
    <d v="2025-07-15T00:00:00"/>
    <s v="TABULAR EDITOR APS  COPENHAGEN V        DK"/>
    <n v="10"/>
    <s v="CH_3RLI7WAV +4553503099_x000a_TABULAR EDITOR APS_x000a_COPENHAGEN V_x000a_DK_x000a_+4553503099"/>
    <s v="TABULAR EDITOR APS  COPENHAGEN V        DK"/>
    <s v="SUNDKAJ 125_x000a_NORDHAVN"/>
    <m/>
    <n v="2150"/>
    <s v="DENMARK"/>
    <s v="'320251970196795006'"/>
    <s v="Merchandise &amp; Supplies-Computer Supplies"/>
    <s v="DELTARESERVE"/>
    <x v="1"/>
  </r>
  <r>
    <d v="2025-07-16T00:00:00"/>
    <s v="SPLICE.COM          NEW YORK            NY"/>
    <n v="27.99"/>
    <s v="CH_3RLYQ5CF 3235775423_x000a_SPLICE.COM_x000a_NEW YORK_x000a_NY_x000a_3235775423"/>
    <s v="SPLICE.COM          NEW YORK            NY"/>
    <s v="817 BROADWAY FLOOR 4"/>
    <s v="NEW YORK_x000a_NY"/>
    <n v="10003"/>
    <s v="UNITED STATES"/>
    <s v="'320251970188666049'"/>
    <s v="Merchandise &amp; Supplies-Computer Supplies"/>
    <s v="AMEXPLATINUM"/>
    <x v="3"/>
  </r>
  <r>
    <d v="2025-07-16T00:00:00"/>
    <s v="UBER TRIP           SAN FRANCISCO       CA"/>
    <n v="14.94"/>
    <s v="1RWSNNP3    8005928996_x000a_UBER TRIP_x000a_SAN FRANCISCO_x000a_CA_x000a_8005928996"/>
    <s v="UBER TRIP           SAN FRANCISCO       CA"/>
    <s v="MR. TREUBLAAN 7_x000a_AMSTERDAM"/>
    <m/>
    <s v="1097 DP"/>
    <s v="NETHERLANDS"/>
    <s v="'320251970190416849'"/>
    <s v="Transportation-Taxis &amp; Coach"/>
    <s v="DELTARESERVE"/>
    <x v="2"/>
  </r>
  <r>
    <d v="2025-07-16T00:00:00"/>
    <s v="MODELMANAGEMENT.COM BARCELONA           BA"/>
    <n v="115.78"/>
    <s v="CH_3RLWO226 +34933180467_x000a_MODELMANAGEMENT.COM_x000a_BARCELONA_x000a_BA_x000a_+34933180467Foreign Spend Amount: 99.00 EURO Commission Amount:  Currency Exchange Rate: null"/>
    <s v="MODELMANAGEMENT.COM BARCELONA           BA"/>
    <s v="&quot;TALENT GARDEN BARCELONA, CARRER DE RAMON&quot;_x000a_BARCELONA"/>
    <m/>
    <s v="08005"/>
    <s v="SPAIN"/>
    <s v="'320251970190488327'"/>
    <s v="Business Services-Other Services"/>
    <s v="AMEXPLATINUM"/>
    <x v="3"/>
  </r>
  <r>
    <d v="2025-07-16T00:00:00"/>
    <s v="EL CORTE INGLES-DEPAMADRID              ES"/>
    <n v="442.07"/>
    <s v="00008592    DEPARTMENT STORE_x000a_EL CORTE INGLES-DEPARTAM. 000678052_x000a_MADRID_x000a_ES_x000a_DEPARTMENT STOREForeign Spend Amount: 378.00 EURO Commission Amount:  Currency Exchange Rate: null"/>
    <s v="EL CORTE INGLES-DEPAMADRID              ES"/>
    <s v="PZA DUQUE DE LA VICTORIA 7_x000a_SEVILLA"/>
    <m/>
    <n v="41002"/>
    <s v="SPAIN"/>
    <s v="'320251970208035989'"/>
    <s v="Merchandise &amp; Supplies-Department Stores"/>
    <s v="AMEXPLATINUM"/>
    <x v="3"/>
  </r>
  <r>
    <d v="2025-07-16T00:00:00"/>
    <s v="EL CORTE INGLES-DEPAMADRID              ES"/>
    <n v="543.53"/>
    <s v="00009989    DEPARTMENT STORE_x000a_EL CORTE INGLES-DEPARTAM. 000678052_x000a_MADRID_x000a_ES_x000a_DEPARTMENT STOREForeign Spend Amount: 464.75 EURO Commission Amount:  Currency Exchange Rate: null"/>
    <s v="EL CORTE INGLES-DEPAMADRID              ES"/>
    <s v="PZA DUQUE DE LA VICTORIA 7_x000a_SEVILLA"/>
    <m/>
    <n v="41002"/>
    <s v="SPAIN"/>
    <s v="'320251970208036097'"/>
    <s v="Merchandise &amp; Supplies-Department Stores"/>
    <s v="DELTARESERVE"/>
    <x v="3"/>
  </r>
  <r>
    <d v="2025-07-16T00:00:00"/>
    <s v="EL CORTE INGLES-DEPAMADRID              ES"/>
    <n v="22.09"/>
    <s v="00008040    DEPARTMENT STORE_x000a_EL CORTE INGLES-DEPARTAM. 000678052_x000a_MADRID_x000a_ES_x000a_DEPARTMENT STOREForeign Spend Amount: 18.89 EURO Commission Amount:  Currency Exchange Rate: null"/>
    <s v="EL CORTE INGLES-DEPAMADRID              ES"/>
    <s v="PZA DUQUE DE LA VICTORIA 7_x000a_SEVILLA"/>
    <m/>
    <n v="41002"/>
    <s v="SPAIN"/>
    <s v="'320251970208036204'"/>
    <s v="Merchandise &amp; Supplies-Department Stores"/>
    <s v="AMEXPLATINUM"/>
    <x v="3"/>
  </r>
  <r>
    <d v="2025-07-16T00:00:00"/>
    <s v="3CPAYMENT*STARBUCKS MADRID              ES"/>
    <n v="11.06"/>
    <s v="00088507542 X_x000a_3CPAYMENT*STARBUCKS 40426 AV CONSTITUC_x000a_MADRID_x000a_ES_x000a_XForeign Spend Amount: 9.51 EURO Commission Amount:  Currency Exchange Rate: null"/>
    <s v="3CPAYMENT*STARBUCKS MADRID              ES"/>
    <s v="&quot;AV. CONSTITUCION, 11&quot;_x000a_SEVILLA"/>
    <m/>
    <n v="41004"/>
    <s v="SPAIN"/>
    <s v="'320251980226492429'"/>
    <s v="Restaurant-Bar &amp; CafÃ©"/>
    <s v="AMEXPLATINUM"/>
    <x v="3"/>
  </r>
  <r>
    <d v="2025-07-16T00:00:00"/>
    <s v="USPS PO BOXES ONLINE800-344-7779        DC"/>
    <n v="234"/>
    <s v="129020125698007826724_x000a_USPS PO BOXES ONLINE 660247000_x000a_800-344-7779_x000a_DC_x000a_8007826724"/>
    <s v="USPS PO BOXES ONLINE800-344-7779        DC"/>
    <s v="475 LENFANT PLZ SOUTH WEST RM 5540"/>
    <s v="WASHINGTON_x000a_DC"/>
    <n v="20260"/>
    <s v="UNITED STATES"/>
    <s v="'320251980229568298'"/>
    <s v="Business Services-Mailing &amp; Shipping"/>
    <s v="AMEXPLATINUM"/>
    <x v="19"/>
  </r>
  <r>
    <d v="2025-07-17T00:00:00"/>
    <s v="NOTTA               SINGAPORE           SG"/>
    <n v="199.99"/>
    <s v="CH_3RLAATA0 +8617722567769_x000a_NOTTA_x000a_SINGAPORE_x000a_SG"/>
    <s v="NOTTA               SINGAPORE           SG"/>
    <s v="&quot;#26-01 REPUBLIC PLAZA SINGAPORE, 9 RAFFL&quot;_x000a_SINGAPORE"/>
    <m/>
    <s v="048619"/>
    <s v="SINGAPORE"/>
    <s v="'320251970188841327'"/>
    <s v="Merchandise &amp; Supplies-Computer Supplies"/>
    <s v="DELTARESERVE"/>
    <x v="1"/>
  </r>
  <r>
    <d v="2025-07-17T00:00:00"/>
    <s v="EL CORTE INGLES-SUPESEVILLA             ES"/>
    <n v="63.27"/>
    <s v="00008515    GROCERY STORE_x000a_EL CORTE INGLES-SUPERMERC 063302202_x000a_SEVILLA_x000a_ES_x000a_GROCERY STOREForeign Spend Amount: 54.40 EURO Commission Amount:  Currency Exchange Rate: null"/>
    <s v="EL CORTE INGLES-SUPESEVILLA             ES"/>
    <s v="PZ DUQUE DE LA VICTORIA 7_x000a_SEVILLA"/>
    <m/>
    <n v="41002"/>
    <s v="SPAIN"/>
    <s v="'320251980236724741'"/>
    <s v="Merchandise &amp; Supplies-Groceries"/>
    <s v="AMEXPLATINUM"/>
    <x v="3"/>
  </r>
  <r>
    <d v="2025-07-17T00:00:00"/>
    <s v="EL CORTE INGLES-DEPAMADRID              ES"/>
    <n v="40.229999999999997"/>
    <s v="00004437    DEPARTMENT STORE_x000a_EL CORTE INGLES-DEPARTAM. 000678052_x000a_MADRID_x000a_ES_x000a_DEPARTMENT STOREForeign Spend Amount: 34.59 EURO Commission Amount:  Currency Exchange Rate: null"/>
    <s v="EL CORTE INGLES-DEPAMADRID              ES"/>
    <s v="PZA DUQUE DE LA VICTORIA 7_x000a_SEVILLA"/>
    <m/>
    <n v="41002"/>
    <s v="SPAIN"/>
    <s v="'320251980236725191'"/>
    <s v="Merchandise &amp; Supplies-Department Stores"/>
    <s v="AMEXPLATINUM"/>
    <x v="3"/>
  </r>
  <r>
    <d v="2025-07-17T00:00:00"/>
    <s v="EL CORTE INGLES-DEPAMADRID              ES"/>
    <n v="84.9"/>
    <s v="00003483    DEPARTMENT STORE_x000a_EL CORTE INGLES-DEPARTAM. 000678052_x000a_MADRID_x000a_ES_x000a_DEPARTMENT STOREForeign Spend Amount: 73.00 EURO Commission Amount:  Currency Exchange Rate: null"/>
    <s v="EL CORTE INGLES-DEPAMADRID              ES"/>
    <s v="PZA DUQUE DE LA VICTORIA 7_x000a_SEVILLA"/>
    <m/>
    <n v="41002"/>
    <s v="SPAIN"/>
    <s v="'320251980236725270'"/>
    <s v="Merchandise &amp; Supplies-Department Stores"/>
    <s v="AMEXPLATINUM"/>
    <x v="3"/>
  </r>
  <r>
    <d v="2025-07-17T00:00:00"/>
    <s v="SIMORRA SEVILLA 0308SEVILLA             ES"/>
    <n v="195.38"/>
    <s v="7460        FAMILY CLOTHING_x000a_SIMORRA SEVILLA 030897102_x000a_SEVILLA_x000a_ES_x000a_FAMILY CLOTHINGForeign Spend Amount: 168.00 EURO Commission Amount:  Currency Exchange Rate: null"/>
    <s v="SIMORRA SEVILLA 0308SEVILLA             ES"/>
    <s v="RIOJA 25_x000a_SEVILLA"/>
    <m/>
    <n v="41001"/>
    <s v="SPAIN"/>
    <s v="'320251980236727576'"/>
    <s v="Merchandise &amp; Supplies-Clothing Stores"/>
    <s v="AMEXPLATINUM"/>
    <x v="3"/>
  </r>
  <r>
    <d v="2025-07-17T00:00:00"/>
    <s v="COVERGIRL.MAXIM.COM SAN ANTONIO         TX"/>
    <n v="10"/>
    <s v="CH_3RLUU2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1980236945060'"/>
    <s v="Business Services-Office Supplies"/>
    <s v="AMEXPLATINUM"/>
    <x v="3"/>
  </r>
  <r>
    <d v="2025-07-17T00:00:00"/>
    <s v="ABANTAL RESTAURANTE SEVILLA             ES"/>
    <n v="316.14"/>
    <s v="269146      RESTAURANT_x000a_ABANTAL RESTAURANTE 351790357_x000a_SEVILLA_x000a_ES_x000a_RESTAURANTForeign Spend Amount: 271.83 EURO Commission Amount:  Currency Exchange Rate: null"/>
    <s v="ABANTAL RESTAURANTE SEVILLA             ES"/>
    <s v="&quot;ALCALDE JOSE DE LA BANDERA, 7&quot;_x000a_SEVILLA"/>
    <m/>
    <n v="41003"/>
    <s v="SPAIN"/>
    <s v="'320251980237084982'"/>
    <s v="Restaurant-Restaurant"/>
    <s v="AMEXPLATINUM"/>
    <x v="3"/>
  </r>
  <r>
    <d v="2025-07-19T00:00:00"/>
    <s v="COVERGIRL.MAXIM.COM SAN ANTONIO         TX"/>
    <n v="10.44"/>
    <s v="CH_3RMBY1AC +12102014187_x000a_COVERGIRL.MAXIM.COM_x000a_SAN ANTONIO_x000a_TX_x000a_+12102014187Foreign Spend Amount: 8.94 EURO Commission Amount:  Currency Exchange Rate: null"/>
    <s v="COVERGIRL.MAXIM.COM SAN ANTONIO         TX"/>
    <s v="19100 RIDGEWOOD PKWY_x000a_SUITE 1200"/>
    <s v="SAN ANTONIO_x000a_TX"/>
    <n v="78259"/>
    <s v="UNITED STATES"/>
    <s v="'320252000279290394'"/>
    <s v="Merchandise &amp; Supplies-Internet Purchase"/>
    <s v="AMEXPLATINUM"/>
    <x v="3"/>
  </r>
  <r>
    <d v="2025-07-19T00:00:00"/>
    <s v="ERACTOLL 8LGZN9     877-860-1258        NY"/>
    <n v="5.44"/>
    <s v="T202435605  877-860-1258_x000a_ERACTOLL 8LGZN9_x000a_877-860-1258_x000a_NY_x000a_Description : ERACTOLL 8LGZN9 Price : 0.00_x000a_877-860-1258"/>
    <s v="ERACTOLL 8LGZN9     877-860-1258        NY"/>
    <s v="-"/>
    <e v="#NAME?"/>
    <n v="11577"/>
    <s v="UNITED STATES"/>
    <s v="'320252010312700908'"/>
    <s v="Transportation-Tolls &amp; Fees"/>
    <s v="DELTARESERVE"/>
    <x v="9"/>
  </r>
  <r>
    <d v="2025-07-20T00:00:00"/>
    <s v="SPLICE.COM          NEW YORK            NY"/>
    <n v="13.9"/>
    <s v="CH_3RMYPXCF 3235775423_x000a_SPLICE.COM_x000a_NEW YORK_x000a_NY_x000a_3235775423"/>
    <s v="SPLICE.COM          NEW YORK            NY"/>
    <s v="817 BROADWAY FLOOR 4"/>
    <s v="NEW YORK_x000a_NY"/>
    <n v="10003"/>
    <s v="UNITED STATES"/>
    <s v="'320252010303888447'"/>
    <s v="Merchandise &amp; Supplies-Computer Supplies"/>
    <s v="AMEXPLATINUM"/>
    <x v="3"/>
  </r>
  <r>
    <d v="2025-07-20T00:00:00"/>
    <s v="UBER TRIP           SAN FRANCISCO       CA"/>
    <n v="16.89"/>
    <s v="G8TW4Y6D    8005928996_x000a_UBER TRIP_x000a_SAN FRANCISCO_x000a_CA_x000a_8005928996"/>
    <s v="UBER TRIP           SAN FRANCISCO       CA"/>
    <s v="MR. TREUBLAAN 7_x000a_AMSTERDAM"/>
    <m/>
    <s v="1097 DP"/>
    <s v="NETHERLANDS"/>
    <s v="'320252010307165107'"/>
    <s v="Transportation-Taxis &amp; Coach"/>
    <s v="DELTARESERVE"/>
    <x v="2"/>
  </r>
  <r>
    <d v="2025-07-21T00:00:00"/>
    <s v="COVERGIRL.MAXIM.COM SAN ANTONIO         TX"/>
    <n v="10.38"/>
    <s v="CH_3RNNN5AC +12102014187_x000a_COVERGIRL.MAXIM.COM_x000a_SAN ANTONIO_x000a_TX_x000a_+12102014187Foreign Spend Amount: 8.89 EURO Commission Amount:  Currency Exchange Rate: null"/>
    <s v="COVERGIRL.MAXIM.COM SAN ANTONIO         TX"/>
    <s v="19100 RIDGEWOOD PKWY_x000a_SUITE 1200"/>
    <s v="SAN ANTONIO_x000a_TX"/>
    <n v="78259"/>
    <s v="UNITED STATES"/>
    <s v="'320252020330757935'"/>
    <s v="Merchandise &amp; Supplies-Internet Purchase"/>
    <s v="AMEXPLATINUM"/>
    <x v="3"/>
  </r>
  <r>
    <d v="2025-07-21T00:00:00"/>
    <s v="CANVA* I04584-809472CAMDEN              DE"/>
    <n v="15"/>
    <s v="CH_2RNRIAK8 +17372853388_x000a_CANVA* I04584-80947289_x000a_CAMDEN_x000a_DE_x000a_+17372853388"/>
    <s v="CANVA* I04584-809472CAMDEN              DE"/>
    <s v="2140 SOUTH DUPONT HWY"/>
    <s v="CAMDEN_x000a_DE"/>
    <n v="19934"/>
    <s v="UNITED STATES"/>
    <s v="'320252020350017720'"/>
    <s v="Business Services-Professional Services"/>
    <s v="AMEXPLATINUM"/>
    <x v="1"/>
  </r>
  <r>
    <d v="2025-07-21T00:00:00"/>
    <s v="WIX.COM 1189569563  SAN FRANCISCO       CA"/>
    <n v="372.36"/>
    <s v="CH_3RNV3HAA +14154494724_x000a_WIX.COM 1189569563_x000a_SAN FRANCISCO_x000a_CA_x000a_+14154494724"/>
    <s v="WIX.COM 1189569563  SAN FRANCISCO       CA"/>
    <s v="BLVD FL 6_x000a_500 TERRY A FRANCOIS"/>
    <s v="SAN FRANCISCO_x000a_CA"/>
    <n v="94158"/>
    <s v="UNITED STATES"/>
    <s v="'320252030370160089'"/>
    <s v="Merchandise &amp; Supplies-Internet Purchase"/>
    <s v="AMEXPLATINUM"/>
    <x v="1"/>
  </r>
  <r>
    <d v="2025-07-22T00:00:00"/>
    <s v="GETYOURGUIDE TICKETSBERLIN              DE"/>
    <n v="37.44"/>
    <s v="######TpDAI TOURIST ATTRACTION_x000a_GETYOURGUIDE TICKETS_x000a_BERLIN_x000a_DE_x000a_TOURIST ATTRACTIONForeign Spend Amount: 32.00 EURO Commission Amount:  Currency Exchange Rate: null"/>
    <s v="GETYOURGUIDE TICKETSBERLIN              DE"/>
    <s v="SONNENBURGER STRASSE 73_x000a_BERLIN"/>
    <m/>
    <n v="10437"/>
    <s v="GERMANY"/>
    <s v="'320252030357311602'"/>
    <s v="Travel-Travel Agencies"/>
    <s v="AMEXPLATINUM"/>
    <x v="3"/>
  </r>
  <r>
    <d v="2025-07-22T00:00:00"/>
    <s v="GETYOURGUIDE TICKETSBERLIN              DE"/>
    <n v="37.44"/>
    <s v="######TpDvl TOURIST ATTRACTION_x000a_GETYOURGUIDE TICKETS_x000a_BERLIN_x000a_DE_x000a_TOURIST ATTRACTIONForeign Spend Amount: 32.00 EURO Commission Amount:  Currency Exchange Rate: null"/>
    <s v="GETYOURGUIDE TICKETSBERLIN              DE"/>
    <s v="SONNENBURGER STRASSE 73_x000a_BERLIN"/>
    <m/>
    <n v="10437"/>
    <s v="GERMANY"/>
    <s v="'320252030358414503'"/>
    <s v="Travel-Travel Agencies"/>
    <s v="AMEXPLATINUM"/>
    <x v="3"/>
  </r>
  <r>
    <d v="2025-07-22T00:00:00"/>
    <s v="GETYOURGUIDE TICKETSBERLIN              DE"/>
    <n v="-37.44"/>
    <s v="######TpExa TOURIST ATTRACTION_x000a_GETYOURGUIDE TICKETS_x000a_BERLIN_x000a_DE_x000a_TOURIST ATTRACTIONForeign Spend Amount: 32.00 EURO Commission Amount:  Currency Exchange Rate: null"/>
    <s v="GETYOURGUIDE TICKETSBERLIN              DE"/>
    <s v="SONNENBURGER STRASSE 73_x000a_BERLIN"/>
    <m/>
    <n v="10437"/>
    <s v="GERMANY"/>
    <s v="'320252030359272490'"/>
    <s v="Travel-Travel Agencies"/>
    <s v="AMEXPLATINUM"/>
    <x v="3"/>
  </r>
  <r>
    <d v="2025-07-22T00:00:00"/>
    <s v="OPENAI *CHATGPT SUBSSAN FRANCISCO       CA"/>
    <n v="21.4"/>
    <s v="CH_3RNHHHC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2030360579686'"/>
    <s v="Merchandise &amp; Supplies-Computer Supplies"/>
    <s v="DELTARESERVE"/>
    <x v="1"/>
  </r>
  <r>
    <d v="2025-07-22T00:00:00"/>
    <s v="ZUNZUN SEVILLA 33706SEVILLA             ES"/>
    <n v="58.39"/>
    <s v="034171      CARD &amp; SOUVENIR STORE_x000a_ZUNZUN SEVILLA 337067557_x000a_SEVILLA_x000a_ES_x000a_CARD &amp; SOUVENIR STOREForeign Spend Amount: 49.90 EURO Commission Amount:  Currency Exchange Rate: null"/>
    <s v="ZUNZUN SEVILLA 33706SEVILLA             ES"/>
    <s v="C XIMENEZ DE ENCISO 5 LOCAL 1_x000a_SEVILLA"/>
    <m/>
    <n v="41004"/>
    <s v="SPAIN"/>
    <s v="'320252040400243384'"/>
    <s v="Merchandise &amp; Supplies-General Retail"/>
    <s v="AMEXPLATINUM"/>
    <x v="3"/>
  </r>
  <r>
    <d v="2025-07-22T00:00:00"/>
    <s v="SOUVENIRS BONILLA 36SEVILLA             ES"/>
    <n v="44.46"/>
    <s v="004439      CARD &amp; SOUVENIR STORE_x000a_SOUVENIRS BONILLA 364749838_x000a_SEVILLA_x000a_ES_x000a_CARD &amp; SOUVENIR STOREForeign Spend Amount: 38.00 EURO Commission Amount:  Currency Exchange Rate: null"/>
    <s v="SOUVENIRS BONILLA 36SEVILLA             ES"/>
    <s v="PJE DE ANDREU 0006_x000a_SEVILLA"/>
    <m/>
    <n v="41004"/>
    <s v="SPAIN"/>
    <s v="'320252040400244396'"/>
    <s v="Merchandise &amp; Supplies-General Retail"/>
    <s v="AMEXPLATINUM"/>
    <x v="3"/>
  </r>
  <r>
    <d v="2025-07-22T00:00:00"/>
    <s v="LALOLA DE JAVI ABASCSEVILLA             ES"/>
    <n v="251.45"/>
    <s v="10309       RESTAURANT_x000a_LALOLA DE JAVI ABASCAL 097465918_x000a_SEVILLA_x000a_ES_x000a_RESTAURANTForeign Spend Amount: 214.90 EURO Commission Amount:  Currency Exchange Rate: null"/>
    <s v="LALOLA DE JAVI ABASCSEVILLA             ES"/>
    <s v="CL CONDE DE TORREJON 9 HOTEL ONE SHOT_x000a_SEVILLA"/>
    <m/>
    <n v="41003"/>
    <s v="SPAIN"/>
    <s v="'320252040400254054'"/>
    <s v="Restaurant-Restaurant"/>
    <s v="DELTARESERVE"/>
    <x v="3"/>
  </r>
  <r>
    <d v="2025-07-23T00:00:00"/>
    <s v="MOBILE PAYMENT - THANK YOU"/>
    <n v="-2500"/>
    <s v="MOBILE PAYMENT - THANK YOU"/>
    <s v="MOBILE PAYMENT - THANK YOU"/>
    <m/>
    <m/>
    <m/>
    <m/>
    <s v="'320252040380720573'"/>
    <m/>
    <s v="DELTARESERVE"/>
    <x v="0"/>
  </r>
  <r>
    <d v="2025-07-23T00:00:00"/>
    <s v="UBER TRIP           SAN FRANCISCO       CA"/>
    <n v="60.88"/>
    <s v="3YAECMB0    8005928996_x000a_UBER TRIP_x000a_SAN FRANCISCO_x000a_CA_x000a_8005928996"/>
    <s v="UBER TRIP           SAN FRANCISCO       CA"/>
    <s v="MR. TREUBLAAN 7_x000a_AMSTERDAM"/>
    <m/>
    <s v="1097 DP"/>
    <s v="NETHERLANDS"/>
    <s v="'320252040386706376'"/>
    <s v="Transportation-Taxis &amp; Coach"/>
    <s v="DELTARESERVE"/>
    <x v="2"/>
  </r>
  <r>
    <d v="2025-07-23T00:00:00"/>
    <s v="3CPAYMENT*SOFITEL BABARCELONA           ES"/>
    <n v="206.3"/>
    <s v="07360651761 0034 93 221 65 65_x000a_3CPAYMENT*SOFITEL BARCELONA SKIPPER 00_x000a_BARCELONA_x000a_ES_x000a_0034 93 221 65 65Foreign Spend Amount: 175.50 EURO Commission Amount:  Currency Exchange Rate: null"/>
    <s v="3CPAYMENT*SOFITEL BABARCELONA           ES"/>
    <s v="AVDA LITORAL 10_x000a_BARCELONA"/>
    <m/>
    <s v="08003"/>
    <s v="SPAIN"/>
    <s v="'320252050424237906'"/>
    <s v="Travel-Lodging"/>
    <s v="DELTARESERVE"/>
    <x v="3"/>
  </r>
  <r>
    <d v="2025-07-23T00:00:00"/>
    <s v="3CPAYMENT*SOFITEL BABARCELONA           ES"/>
    <n v="279.77"/>
    <s v="07360651763 0034 93 221 65 65_x000a_3CPAYMENT*SOFITEL BARCELONA SKIPPER 00_x000a_BARCELONA_x000a_ES_x000a_0034 93 221 65 65Foreign Spend Amount: 238.00 EURO Commission Amount:  Currency Exchange Rate: null"/>
    <s v="3CPAYMENT*SOFITEL BABARCELONA           ES"/>
    <s v="AVDA LITORAL 10_x000a_BARCELONA"/>
    <m/>
    <s v="08003"/>
    <s v="SPAIN"/>
    <s v="'320252050424376065'"/>
    <s v="Travel-Lodging"/>
    <s v="DELTARESERVE"/>
    <x v="3"/>
  </r>
  <r>
    <d v="2025-07-24T00:00:00"/>
    <s v="SPAIN SPAIN         -                   ES"/>
    <n v="7.64"/>
    <s v="72020500-20 SPAIN_x000a_SPAIN SPAIN_x000a_-_x000a_ES_x000a_SPAINForeign Spend Amount: 6.50 EURO Commission Amount:  Currency Exchange Rate: null"/>
    <s v="SPAIN SPAIN         -                   ES"/>
    <s v="CAMINO VIEJO LLUCMAJOR 106_x000a_PALMA DE MALLORCA"/>
    <m/>
    <s v="07007"/>
    <s v="SPAIN"/>
    <s v="'320252050408958573'"/>
    <s v="Restaurant-Restaurant"/>
    <s v="AMEXPLATINUM"/>
    <x v="3"/>
  </r>
  <r>
    <d v="2025-07-24T00:00:00"/>
    <s v="3CPAYMENT*SOFITEL BABARCELONA           ES"/>
    <n v="235.1"/>
    <s v="07360651764 0034 93 221 65 65_x000a_3CPAYMENT*SOFITEL BARCELONA SKIPPER 00_x000a_BARCELONA_x000a_ES_x000a_0034 93 221 65 65Foreign Spend Amount: 200.00 EURO Commission Amount:  Currency Exchange Rate: null"/>
    <s v="3CPAYMENT*SOFITEL BABARCELONA           ES"/>
    <s v="AVDA LITORAL 10_x000a_BARCELONA"/>
    <m/>
    <s v="08003"/>
    <s v="SPAIN"/>
    <s v="'320252050424422344'"/>
    <s v="Travel-Lodging"/>
    <s v="DELTARESERVE"/>
    <x v="3"/>
  </r>
  <r>
    <d v="2025-07-24T00:00:00"/>
    <s v="3CPAYMENT*SOFITEL BABARCELONA           ES"/>
    <n v="803.74"/>
    <s v="07360634133 0034 93 221 65 65_x000a_3CPAYMENT*SOFITEL BARCELONA SKIPPER 00_x000a_BARCELONA_x000a_ES_x000a_0034 93 221 65 65Foreign Spend Amount: 681.60 EURO Commission Amount:  Currency Exchange Rate: null"/>
    <s v="3CPAYMENT*SOFITEL BABARCELONA           ES"/>
    <s v="AVDA LITORAL 10_x000a_BARCELONA"/>
    <m/>
    <s v="08003"/>
    <s v="SPAIN"/>
    <s v="'320252060451495820'"/>
    <s v="Travel-Lodging"/>
    <s v="DELTARESERVE"/>
    <x v="3"/>
  </r>
  <r>
    <d v="2025-07-25T00:00:00"/>
    <s v="Interest Charge on Purchases"/>
    <n v="252.57"/>
    <s v="Interest Charge on Purchases"/>
    <s v="Interest Charge on Purchases"/>
    <m/>
    <m/>
    <m/>
    <m/>
    <s v="'150726060000069475'"/>
    <s v="Fees &amp; Adjustments-Fees &amp; Adjustments"/>
    <s v="DELTARESERVE"/>
    <x v="13"/>
  </r>
  <r>
    <d v="2025-07-25T00:00:00"/>
    <s v="UBER"/>
    <n v="216.73"/>
    <s v="65X299Z9   O6MFWRKQ         10012_x000a_Uber Trip_x000a_help.uber.com_x000a_CA_x000a_O6MFWRKQ         10012"/>
    <s v="Uber Trip           help.uber.com       CA"/>
    <s v="1455 MARKET ST_x000a_4TH FLOOR"/>
    <s v="SAN FRANCISCO_x000a_CA"/>
    <n v="94103"/>
    <s v="UNITED STATES"/>
    <s v="'320252060442119603'"/>
    <s v="Transportation-Taxis &amp; Coach"/>
    <s v="DELTARESERVE"/>
    <x v="2"/>
  </r>
  <r>
    <d v="2025-07-25T00:00:00"/>
    <s v="RENEWAL MEMBERSHIP FEE"/>
    <n v="650"/>
    <s v="RENEWAL MEMBERSHIP FEE"/>
    <s v="RENEWAL MEMBERSHIP FEE"/>
    <m/>
    <m/>
    <m/>
    <m/>
    <s v="'320252063436710423'"/>
    <s v="Fees &amp; Adjustments-Fees &amp; Adjustments"/>
    <s v="DELTARESERVE"/>
    <x v="13"/>
  </r>
  <r>
    <d v="2025-07-25T00:00:00"/>
    <s v="JUICE GENERATION 19 NEW YORK            NY"/>
    <n v="12.79"/>
    <s v="31099535206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070479439084'"/>
    <s v="Restaurant-Bar &amp; CafÃ©"/>
    <s v="AMEXPLATINUM"/>
    <x v="3"/>
  </r>
  <r>
    <d v="2025-07-25T00:00:00"/>
    <s v="D J*WSJ             800-568-7625        NJ"/>
    <n v="41.72"/>
    <s v="P-039436957 SUBSRIPTION_x000a_D J*WSJ_x000a_800-568-7625_x000a_NJ_x000a_SUBSRIPTION"/>
    <s v="D J*WSJ             800-568-7625        NJ"/>
    <s v="4300 RTE 1 NORTH"/>
    <s v="SOUTH BRUNSWICK_x000a_NJ"/>
    <s v="08852"/>
    <s v="UNITED STATES"/>
    <s v="'320252070482392582'"/>
    <s v="Merchandise &amp; Supplies-Mail Order"/>
    <s v="AMEXPLATINUM"/>
    <x v="8"/>
  </r>
  <r>
    <d v="2025-07-25T00:00:00"/>
    <s v="COVERGIRL.MAXIM.COM SAN ANTONIO         TX"/>
    <n v="20"/>
    <s v="CH_3ROW7D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070485815540'"/>
    <s v="Business Services-Office Supplies"/>
    <s v="AMEXPLATINUM"/>
    <x v="3"/>
  </r>
  <r>
    <d v="2025-07-26T00:00:00"/>
    <s v="% ARABICA NOLITA    New York            NY"/>
    <n v="15.81"/>
    <s v="L7zKnSAsi3M squareup.com/receipts_x000a_% ARABICA NOLITA_x000a_New York_x000a_NY_x000a_squareup.com/receipts"/>
    <s v="% ARABICA NOLITA    New York            NY"/>
    <s v="8 PRINCE ST"/>
    <s v="NEW YORK_x000a_NY"/>
    <n v="10012"/>
    <s v="UNITED STATES"/>
    <s v="'320252070470510685'"/>
    <s v="Restaurant-Bar &amp; CafÃ©"/>
    <s v="AMEXPLATINUM"/>
    <x v="3"/>
  </r>
  <r>
    <d v="2025-07-26T00:00:00"/>
    <s v="AMAZON PRIME*1I7MM70888-802-3080        WA"/>
    <n v="10.99"/>
    <s v="328ONP4XF5Q DIGITAL_x000a_AMAZON PRIME*1I7MM70V3_x000a_888-802-3080_x000a_WA_x000a_DIGITAL"/>
    <s v="AMAZON PRIME*1I7MM70888-802-3080        WA"/>
    <s v="1512 2ND AVE"/>
    <s v="SEATTLE_x000a_WA"/>
    <s v="98101-1508"/>
    <s v="UNITED STATES"/>
    <s v="'320252070470556310'"/>
    <s v="Merchandise &amp; Supplies-Internet Purchase"/>
    <s v="DELTARESERVE"/>
    <x v="3"/>
  </r>
  <r>
    <d v="2025-07-26T00:00:00"/>
    <s v="THE CLEANERS IO, LLCNEW YORK            NY"/>
    <n v="46.95"/>
    <s v="H9DH0XW1aFu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070470700101'"/>
    <s v="Business Services-Other Services"/>
    <s v="AMEXPLATINUM"/>
    <x v="8"/>
  </r>
  <r>
    <d v="2025-07-26T00:00:00"/>
    <s v="UBER EATS           help.uber.com       CA"/>
    <n v="113.13"/>
    <s v="GC143HGE   SNI4BVLE         94103_x000a_UBER EATS_x000a_help.uber.com_x000a_CA_x000a_SNI4BVLE         94103"/>
    <s v="UBER EATS           help.uber.com       CA"/>
    <s v="1455 MARKET ST_x000a_-"/>
    <s v="SAN FRANCISCO_x000a_CA"/>
    <n v="94103"/>
    <s v="UNITED STATES"/>
    <s v="'320252070472613189'"/>
    <s v="Restaurant-Restaurant"/>
    <s v="DELTARESERVE"/>
    <x v="3"/>
  </r>
  <r>
    <d v="2025-07-26T00:00:00"/>
    <s v="PIXLR PTE LTD       SINGAPORE           SG"/>
    <n v="17.88"/>
    <s v="######cMfp1 DIGITAL GOODS: MEDIA_x000a_PIXLR PTE LTD_x000a_SINGAPORE_x000a_SG_x000a_DIGITAL GOODS: MEDIA"/>
    <s v="PIXLR PTE LTD       SINGAPORE           SG"/>
    <s v="&quot;11 COLLYER QUAY, #17-00, THE ARCADE&quot;_x000a_SINGAPORE"/>
    <m/>
    <s v="049317"/>
    <s v="SINGAPORE"/>
    <s v="'320252070485143501'"/>
    <s v="Merchandise &amp; Supplies-Internet Purchase"/>
    <s v="AMEXPLATINUM"/>
    <x v="3"/>
  </r>
  <r>
    <d v="2025-07-26T00:00:00"/>
    <s v="JUICE GENERATION 19 NEW YORK            NY"/>
    <n v="12.79"/>
    <s v="31099535207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080502102951'"/>
    <s v="Restaurant-Bar &amp; CafÃ©"/>
    <s v="AMEXPLATINUM"/>
    <x v="3"/>
  </r>
  <r>
    <d v="2025-07-26T00:00:00"/>
    <s v="CALENDLY            AVONDALE ESTATES    GA"/>
    <n v="16.05"/>
    <s v="CH_3RPIKE4Y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2080505392311'"/>
    <s v="Merchandise &amp; Supplies-Computer Supplies"/>
    <s v="AMEXPLATINUM"/>
    <x v="1"/>
  </r>
  <r>
    <d v="2025-07-26T00:00:00"/>
    <s v="WEGMANS ASTOR PLACE NEW YORK            NY"/>
    <n v="105.97"/>
    <s v="W15640100035854293656_x000a_WEGMANS ASTOR PLACE 156 000000156_x000a_NEW YORK_x000a_NY_x000a_5854293656"/>
    <s v="WEGMANS ASTOR PLACE NEW YORK            NY"/>
    <s v="770 BROADWAY"/>
    <s v="NEW YORK_x000a_NY"/>
    <n v="10003"/>
    <s v="UNITED STATES"/>
    <s v="'320252080506591609'"/>
    <s v="Merchandise &amp; Supplies-Groceries"/>
    <s v="AMEXPLATINUM"/>
    <x v="3"/>
  </r>
  <r>
    <d v="2025-07-26T00:00:00"/>
    <s v="COVERGIRL.MAXIM.COM SAN ANTONIO         TX"/>
    <n v="10"/>
    <s v="CH_3RPKHZ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080508382382'"/>
    <s v="Business Services-Office Supplies"/>
    <s v="AMEXPLATINUM"/>
    <x v="3"/>
  </r>
  <r>
    <d v="2025-07-27T00:00:00"/>
    <s v="ONLINE PAYMENT - THANK YOU"/>
    <n v="-2500"/>
    <s v="ONLINE PAYMENT - THANK YOU"/>
    <s v="ONLINE PAYMENT - THANK YOU"/>
    <m/>
    <m/>
    <m/>
    <m/>
    <s v="'320252080491579084'"/>
    <m/>
    <s v="AMEXPLATINUM"/>
    <x v="0"/>
  </r>
  <r>
    <d v="2025-07-27T00:00:00"/>
    <s v="ONLINE PAYMENT - THANK YOU"/>
    <n v="-1000"/>
    <s v="ONLINE PAYMENT - THANK YOU"/>
    <s v="ONLINE PAYMENT - THANK YOU"/>
    <m/>
    <m/>
    <m/>
    <m/>
    <s v="'320252080491590318'"/>
    <m/>
    <s v="DELTARESERVE"/>
    <x v="0"/>
  </r>
  <r>
    <d v="2025-07-27T00:00:00"/>
    <s v="HERTZTOLL 960268724 ALBANY              NY"/>
    <n v="9.15"/>
    <s v="CH_3RPQG9GT 8774114300_x000a_HERTZTOLL 960268724_x000a_ALBANY_x000a_NY_x000a_8774114300"/>
    <s v="HERTZTOLL 960268724 ALBANY              NY"/>
    <s v="1150 NORTH ALMA SCHOOL RD"/>
    <s v="MESA_x000a_AZ"/>
    <n v="85201"/>
    <s v="UNITED STATES"/>
    <s v="'320252080501826229'"/>
    <s v="Other-Miscellaneous"/>
    <s v="DELTARESERVE"/>
    <x v="9"/>
  </r>
  <r>
    <d v="2025-07-27T00:00:00"/>
    <s v="TST* TORIEN 00053129NEW YORK            NY"/>
    <n v="1255.3900000000001"/>
    <s v="21105175209 RESTAURANT_x000a_TST* TORIEN 00053129_x000a_NEW YORK_x000a_NY_x000a_RESTAURANT"/>
    <s v="TST* TORIEN 00053129NEW YORK            NY"/>
    <s v="292 ELIZABETH ST"/>
    <s v="NEW YORK_x000a_NY"/>
    <n v="10012"/>
    <s v="UNITED STATES"/>
    <s v="'320252090529851970'"/>
    <s v="Restaurant-Restaurant"/>
    <s v="AMEXPLATINUM"/>
    <x v="11"/>
  </r>
  <r>
    <d v="2025-07-27T00:00:00"/>
    <s v="NYCT PAYGO          NEW YORK            NY"/>
    <n v="2.9"/>
    <s v="00837861339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2090532373090'"/>
    <s v="Transportation-Rail Services"/>
    <s v="AMEXPLATINUM"/>
    <x v="14"/>
  </r>
  <r>
    <d v="2025-07-27T00:00:00"/>
    <s v="NYCT PAYGO          NEW YORK            NY"/>
    <n v="2.9"/>
    <s v="00837878161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2090532468912'"/>
    <s v="Transportation-Rail Services"/>
    <s v="AMEXPLATINUM"/>
    <x v="14"/>
  </r>
  <r>
    <d v="2025-07-28T00:00:00"/>
    <s v="AMERICAN MUSEUM OF NNEW YORK            NY"/>
    <n v="108"/>
    <s v="######Devkt CHARITABLE ORG_x000a_AMERICAN MUSEUM OF NATURAL HISTORY_x000a_NEW YORK_x000a_NY_x000a_CHARITABLE ORG"/>
    <s v="AMERICAN MUSEUM OF NNEW YORK            NY"/>
    <s v="CENTRAL PARK 79TH ST"/>
    <s v="NEW YORK_x000a_NY"/>
    <n v="10024"/>
    <s v="UNITED STATES"/>
    <s v="'320252090545327945'"/>
    <s v="Other-Charities"/>
    <s v="AMEXPLATINUM"/>
    <x v="3"/>
  </r>
  <r>
    <d v="2025-07-28T00:00:00"/>
    <s v="NOTASBITTER.COM     NEW YORK            NY"/>
    <n v="10.47"/>
    <s v="CH_3RPWJSQ6 +16469393129_x000a_NOTASBITTER.COM_x000a_NEW YORK_x000a_NY_x000a_+16469393129"/>
    <s v="NOTASBITTER.COM     NEW YORK            NY"/>
    <s v="241 EAST 10TH ST"/>
    <s v="NEW YORK_x000a_NY"/>
    <n v="10003"/>
    <s v="UNITED STATES"/>
    <s v="'320252100552406326'"/>
    <s v="Restaurant-Restaurant"/>
    <s v="AMEXPLATINUM"/>
    <x v="3"/>
  </r>
  <r>
    <d v="2025-07-28T00:00:00"/>
    <s v="SUNOCO 0042337601 00SLOATSBURG          NY"/>
    <n v="81.59"/>
    <s v="00142584    845-753-5091_x000a_SUNOCO 0042337601 0042_x000a_SLOATSBURG_x000a_NY_x000a_Description : Unleaded (88 octane Price : 0.00_x000a_845-753-5091"/>
    <s v="SUNOCO 0042337601 00SLOATSBURG          NY"/>
    <s v="-"/>
    <e v="#NAME?"/>
    <n v="75231"/>
    <s v="UNITED STATES"/>
    <s v="'320252100555299981'"/>
    <s v="Transportation-Fuel"/>
    <s v="DELTARESERVE"/>
    <x v="7"/>
  </r>
  <r>
    <d v="2025-07-28T00:00:00"/>
    <s v="TST* SAGA 00037857  NEW YORK            NY"/>
    <n v="600"/>
    <s v="21105175210 RESTAURANT_x000a_TST* SAGA 00037857_x000a_NEW YORK_x000a_NY_x000a_RESTAURANT"/>
    <s v="TST* SAGA 00037857  NEW YORK            NY"/>
    <s v="70 PNE ST 10TH_x000a_FL"/>
    <s v="NEW YORK_x000a_NY"/>
    <n v="10005"/>
    <s v="UNITED STATES"/>
    <s v="'320252100560316007'"/>
    <s v="Restaurant-Restaurant"/>
    <s v="AMEXPLATINUM"/>
    <x v="11"/>
  </r>
  <r>
    <d v="2025-07-28T00:00:00"/>
    <s v="USPS PO 3574850866 0SARATOGA SPRI       NY"/>
    <n v="18.5"/>
    <s v="20915100317 8002758777_x000a_USPS PO 3574850866 001380805_x000a_SARATOGA SPRI_x000a_NY_x000a_Description : POST SVCS GO Price : 0.185_x000a_8002758777"/>
    <s v="USPS PO 3574850866 0SARATOGA SPRI       NY"/>
    <s v="245 WASHINGTON ST"/>
    <s v="SARATOGA SPRINGS_x000a_NY"/>
    <n v="12866"/>
    <s v="UNITED STATES"/>
    <s v="'320252100561630992'"/>
    <s v="Business Services-Mailing &amp; Shipping"/>
    <s v="DELTARESERVE"/>
    <x v="19"/>
  </r>
  <r>
    <d v="2025-07-28T00:00:00"/>
    <s v="BRAINSTATION        NEW YORK            NY"/>
    <n v="50"/>
    <s v="CH_3RQ4JBLF +18779001856_x000a_BRAINSTATION_x000a_NEW YORK_x000a_NY_x000a_+18779001856"/>
    <s v="BRAINSTATION        NEW YORK            NY"/>
    <s v="136 CROSBY ST_x000a_FLOOR 4"/>
    <s v="NEW YORK_x000a_NY"/>
    <n v="10012"/>
    <s v="UNITED STATES"/>
    <s v="'320252100565958161'"/>
    <s v="Business Services-Employment Agencies"/>
    <s v="DELTARESERVE"/>
    <x v="1"/>
  </r>
  <r>
    <d v="2025-07-29T00:00:00"/>
    <s v="COVERGIRL.MAXIM.COM SAN ANTONIO         TX"/>
    <n v="30"/>
    <s v="CH_3RQEYI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100550460986'"/>
    <s v="Business Services-Office Supplies"/>
    <s v="AMEXPLATINUM"/>
    <x v="3"/>
  </r>
  <r>
    <d v="2025-07-30T00:00:00"/>
    <s v="FOTOLAB STUDIO      New York            NY"/>
    <n v="135"/>
    <s v="Xpb2aNh6JeF squareup.com/receipts_x000a_FOTOLAB STUDIO_x000a_New York_x000a_NY_x000a_squareup.com/receipts"/>
    <s v="FOTOLAB STUDIO      New York            NY"/>
    <s v="227 WEST 29TH ST"/>
    <s v="NEW YORK_x000a_NY"/>
    <n v="10001"/>
    <s v="UNITED STATES"/>
    <s v="'320252110596940684'"/>
    <s v="Merchandise &amp; Supplies-Arts &amp; Jewelry"/>
    <s v="AMEXPLATINUM"/>
    <x v="3"/>
  </r>
  <r>
    <d v="2025-07-30T00:00:00"/>
    <s v="JUICE GENERATION 19 NEW YORK            NY"/>
    <n v="12.79"/>
    <s v="31099535211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120611381339'"/>
    <s v="Restaurant-Bar &amp; CafÃ©"/>
    <s v="AMEXPLATINUM"/>
    <x v="3"/>
  </r>
  <r>
    <d v="2025-07-30T00:00:00"/>
    <s v="ERACTOLL 8LGZN9     877-860-1258        NY"/>
    <n v="0.49"/>
    <s v="T203611405  877-860-1258_x000a_ERACTOLL 8LGZN9_x000a_877-860-1258_x000a_NY_x000a_Description : ERACTOLL 8LGZN9 Price : 0.00_x000a_877-860-1258"/>
    <s v="ERACTOLL 8LGZN9     877-860-1258        NY"/>
    <s v="-"/>
    <e v="#NAME?"/>
    <n v="11577"/>
    <s v="UNITED STATES"/>
    <s v="'320252120612197376'"/>
    <s v="Transportation-Tolls &amp; Fees"/>
    <s v="DELTARESERVE"/>
    <x v="9"/>
  </r>
  <r>
    <d v="2025-07-30T00:00:00"/>
    <s v="ENTERPRISE RENT-A-CANEW YORK            NY"/>
    <n v="761.98"/>
    <s v="020510357   212-5332900_x000a_ENTERPRISE RENT-A-CAR_x000a_NEW YORK_x000a_NY"/>
    <s v="ENTERPRISE RENT-A-CANEW YORK            NY"/>
    <s v="221 THOMPSON ST"/>
    <s v="NEW YORK_x000a_NY"/>
    <n v="10012"/>
    <s v="UNITED STATES"/>
    <s v="'320252120619219637'"/>
    <s v="Travel-Vehicle Rental"/>
    <s v="DELTARESERVE"/>
    <x v="9"/>
  </r>
  <r>
    <d v="2025-07-31T00:00:00"/>
    <s v="ONLINE PAYMENT - THANK YOU"/>
    <n v="-2500"/>
    <s v="ONLINE PAYMENT - THANK YOU"/>
    <s v="ONLINE PAYMENT - THANK YOU"/>
    <m/>
    <m/>
    <m/>
    <m/>
    <s v="'320252120600773643'"/>
    <m/>
    <s v="DELTARESERVE"/>
    <x v="0"/>
  </r>
  <r>
    <d v="2025-07-31T00:00:00"/>
    <s v="UBER"/>
    <n v="72.430000000000007"/>
    <s v="GCT56H8A   GH5FGUWR         10012_x000a_Uber Trip_x000a_help.uber.com_x000a_CA_x000a_GH5FGUWR         10012"/>
    <s v="Uber Trip           help.uber.com       CA"/>
    <s v="1455 MARKET ST_x000a_4TH FLOOR"/>
    <s v="SAN FRANCISCO_x000a_CA"/>
    <n v="94103"/>
    <s v="UNITED STATES"/>
    <s v="'320252120607348385'"/>
    <s v="Transportation-Taxis &amp; Coach"/>
    <s v="DELTARESERVE"/>
    <x v="2"/>
  </r>
  <r>
    <d v="2025-07-31T00:00:00"/>
    <s v="UBER"/>
    <n v="47.32"/>
    <s v="6D80XRY4   2MD77K4A         11230_x000a_Uber Trip_x000a_help.uber.com_x000a_CA_x000a_2MD77K4A         11230"/>
    <s v="Uber Trip           help.uber.com       CA"/>
    <s v="1455 MARKET ST_x000a_4TH FLOOR"/>
    <s v="SAN FRANCISCO_x000a_CA"/>
    <n v="94103"/>
    <s v="UNITED STATES"/>
    <s v="'320252120607554962'"/>
    <s v="Transportation-Taxis &amp; Coach"/>
    <s v="DELTARESERVE"/>
    <x v="2"/>
  </r>
  <r>
    <d v="2025-07-31T00:00:00"/>
    <s v="UBER"/>
    <n v="102.24"/>
    <s v="QEZQ1C0A   5YHL7IH5         11235_x000a_Uber Trip_x000a_help.uber.com_x000a_CA_x000a_5YHL7IH5         11235"/>
    <s v="Uber Trip           help.uber.com       CA"/>
    <s v="1455 MARKET ST_x000a_4TH FLOOR"/>
    <s v="SAN FRANCISCO_x000a_CA"/>
    <n v="94103"/>
    <s v="UNITED STATES"/>
    <s v="'320252120607807262'"/>
    <s v="Transportation-Taxis &amp; Coach"/>
    <s v="DELTARESERVE"/>
    <x v="2"/>
  </r>
  <r>
    <d v="2025-07-31T00:00:00"/>
    <s v="GROOVER.CO          MEZIDON VALLEE DAUGEEU"/>
    <n v="27.82"/>
    <s v="CH_3RQJMYIE +33607652260_x000a_GROOVER.CO_x000a_MEZIDON VALLEE DAUGE_x000a_EU_x000a_+33607652260Foreign Spend Amount: 24.00 EURO Commission Amount:  Currency Exchange Rate: null"/>
    <s v="GROOVER.CO          MEZIDON VALLEE DAUGEEU"/>
    <s v="LES COUDRETTES - LE MESNIL-MAUGER_x000a_MEZIDON VALLEE D'AUGE"/>
    <m/>
    <n v="14270"/>
    <s v="FRANCE"/>
    <s v="'320252120623340262'"/>
    <s v="Business Services-Other Services"/>
    <s v="AMEXPLATINUM"/>
    <x v="3"/>
  </r>
  <r>
    <d v="2025-07-31T00:00:00"/>
    <s v="ARISTON CAFE 0000   NEW YORK            NY"/>
    <n v="8.66"/>
    <s v="40500214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2130650979065'"/>
    <s v="Restaurant-Bar &amp; CafÃ©"/>
    <s v="AMEXPLATINUM"/>
    <x v="3"/>
  </r>
  <r>
    <d v="2025-08-01T00:00:00"/>
    <s v="Amazon Web Services AWS.Amazon.com      WA"/>
    <n v="1576.93"/>
    <s v="1YGVZPUN5W1 WEB SERVICES_x000a_Amazon Web Services_x000a_AWS.Amazon.com_x000a_WA_x000a_WEB SERVICES"/>
    <s v="Amazon Web Services AWS.Amazon.com      WA"/>
    <s v="1512 2ND AVE"/>
    <s v="SEATTLE_x000a_WA"/>
    <n v="98101"/>
    <s v="UNITED STATES"/>
    <s v="'320252130632722010'"/>
    <s v="Merchandise &amp; Supplies-Internet Purchase"/>
    <s v="AMEXPLATINUM"/>
    <x v="12"/>
  </r>
  <r>
    <d v="2025-08-01T00:00:00"/>
    <s v="THE CLEANERS IO, LLCNEW YORK            NY"/>
    <n v="48.43"/>
    <s v="PZhG14JeRa5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130633922608'"/>
    <s v="Business Services-Other Services"/>
    <s v="AMEXPLATINUM"/>
    <x v="8"/>
  </r>
  <r>
    <d v="2025-08-01T00:00:00"/>
    <s v="VERIZON WRLS RCCRNG PMTS"/>
    <n v="403.07"/>
    <s v="N0000004020VZWRLSS*APOCC_x000a_VZW APO_x000a_800-922-0204_x000a_FL_x000a_VZWRLSS*APOCC"/>
    <s v="VZW APO             800-922-0204        FL"/>
    <s v="600 COOLIDGE DR"/>
    <s v="FOLSOM_x000a_CA"/>
    <s v="95630-3155"/>
    <s v="UNITED STATES"/>
    <s v="'320252130646472709'"/>
    <s v="Communications-Mobile Telecom"/>
    <s v="DELTARESERVE"/>
    <x v="5"/>
  </r>
  <r>
    <d v="2025-08-01T00:00:00"/>
    <s v="PREM CAR RENTAL PROTECTION 800-228-6855"/>
    <n v="24.95"/>
    <s v="CRA020510357 07/30/2025 NEW YORK_x000a_PREM CAR RENTAL PROTECTION 800-228-6855"/>
    <s v="PREM CAR RENTAL PROTECTION 800-228-6855"/>
    <s v="200 VESEY STREET_x000a_43RD FLOOR"/>
    <s v="NEW YORK_x000a_NY"/>
    <n v="10285"/>
    <s v="UNITED STATES"/>
    <s v="'320252130656134194'"/>
    <s v="Business Services-Insurance Services"/>
    <s v="DELTARESERVE"/>
    <x v="9"/>
  </r>
  <r>
    <d v="2025-08-01T00:00:00"/>
    <s v="JUICE GENERATION 19 NEW YORK            NY"/>
    <n v="12.79"/>
    <s v="31099535213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140671973498'"/>
    <s v="Restaurant-Bar &amp; CafÃ©"/>
    <s v="AMEXPLATINUM"/>
    <x v="3"/>
  </r>
  <r>
    <d v="2025-08-01T00:00:00"/>
    <s v="SIREN47906          NEW YORK            NY"/>
    <n v="74.58"/>
    <s v="9CFFBEC22A5 FAST FOOD RESTAURANT_x000a_SIREN47906_x000a_NEW YORK_x000a_NY_x000a_FAST FOOD RESTAURANT"/>
    <s v="SIREN47906          NEW YORK            NY"/>
    <s v="61 9TH AVE"/>
    <s v="NEW YORK_x000a_NY"/>
    <n v="10011"/>
    <s v="UNITED STATES"/>
    <s v="'320252140672180148'"/>
    <s v="Restaurant-Bar &amp; CafÃ©"/>
    <s v="DELTARESERVE"/>
    <x v="3"/>
  </r>
  <r>
    <d v="2025-08-01T00:00:00"/>
    <s v="WEGMANS ASTOR PLACE NEW YORK            NY"/>
    <n v="23.46"/>
    <s v="W15608400785854293656_x000a_WEGMANS ASTOR PLACE 156 000000156_x000a_NEW YORK_x000a_NY_x000a_5854293656"/>
    <s v="WEGMANS ASTOR PLACE NEW YORK            NY"/>
    <s v="770 BROADWAY"/>
    <s v="NEW YORK_x000a_NY"/>
    <n v="10003"/>
    <s v="UNITED STATES"/>
    <s v="'320252140676862883'"/>
    <s v="Merchandise &amp; Supplies-Groceries"/>
    <s v="AMEXPLATINUM"/>
    <x v="3"/>
  </r>
  <r>
    <d v="2025-08-01T00:00:00"/>
    <s v="COVERGIRL.MAXIM.COM SAN ANTONIO         TX"/>
    <n v="50"/>
    <s v="CH_3RRRBS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140687393532'"/>
    <s v="Business Services-Office Supplies"/>
    <s v="AMEXPLATINUM"/>
    <x v="3"/>
  </r>
  <r>
    <d v="2025-08-01T00:00:00"/>
    <s v="COVERGIRL.MAXIM.COM SAN ANTONIO         TX"/>
    <n v="20"/>
    <s v="CH_3RRREH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140687402028'"/>
    <s v="Business Services-Office Supplies"/>
    <s v="AMEXPLATINUM"/>
    <x v="3"/>
  </r>
  <r>
    <d v="2025-08-02T00:00:00"/>
    <s v="HUBSPOT INC.        CAMBRIDGE, MASSACHUSMA"/>
    <n v="21.4"/>
    <s v="33551999    COMPUTER PROGRAMMING_x000a_HUBSPOT INC._x000a_CAMBRIDGE, MASSACHUSE_x000a_MA_x000a_COMPUTER PROGRAMMING"/>
    <s v="HUBSPOT INC.        CAMBRIDGE, MASSACHUSMA"/>
    <s v="25 FIRST STREET_x000a_-"/>
    <s v="CAMBRIDGE_x000a_MA"/>
    <s v="02141"/>
    <s v="UNITED STATES"/>
    <s v="'320252140687552220'"/>
    <s v="Business Services-Employment Agencies"/>
    <s v="DELTARESERVE"/>
    <x v="1"/>
  </r>
  <r>
    <d v="2025-08-02T00:00:00"/>
    <s v="APPLE.COM/BILL      INTERNET CHARGE     CA"/>
    <n v="40.44"/>
    <s v="MTK7YG14HW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150693728772'"/>
    <s v="Merchandise &amp; Supplies-Internet Purchase"/>
    <s v="AMEXPLATINUM"/>
    <x v="3"/>
  </r>
  <r>
    <d v="2025-08-02T00:00:00"/>
    <s v="PIRATE.COM          WILMINGTON          DE"/>
    <n v="104.7"/>
    <s v="CH_3RRSSYDR +12122222222_x000a_PIRATE.COM_x000a_WILMINGTON_x000a_DE_x000a_+12122222222"/>
    <s v="PIRATE.COM          WILMINGTON          DE"/>
    <s v="1013 CTR RD_x000a_SUITE 403 B"/>
    <s v="WILMINGTON_x000a_DE"/>
    <n v="19805"/>
    <s v="UNITED STATES"/>
    <s v="'320252150707514084'"/>
    <s v="Entertainment-Theatrical Events"/>
    <s v="AMEXPLATINUM"/>
    <x v="3"/>
  </r>
  <r>
    <d v="2025-08-02T00:00:00"/>
    <s v="TOPTAL.COM          SAN FRANCISCO       CA"/>
    <n v="79"/>
    <s v="CH_2RRUMDVY +18886043188_x000a_TOPTAL.COM_x000a_SAN FRANCISCO_x000a_CA_x000a_+18886043188"/>
    <s v="TOPTAL.COM          SAN FRANCISCO       CA"/>
    <s v="548 MARKET ST 36879"/>
    <s v="SAN FRANCISCO_x000a_CA"/>
    <n v="94104"/>
    <s v="UNITED STATES"/>
    <s v="'320252150709337270'"/>
    <s v="Merchandise &amp; Supplies-Computer Supplies"/>
    <s v="DELTARESERVE"/>
    <x v="6"/>
  </r>
  <r>
    <d v="2025-08-03T00:00:00"/>
    <s v="MICROSOFT           MSBILL.INFO"/>
    <n v="25.84"/>
    <s v="Z72Z8QZK98NZ72Z8QZK98NF     98052_x000a_MICROSOFT_x000a_MSBILL.INFO_x000a_Z72Z8QZK98NF     98052"/>
    <s v="MICROSOFT           MSBILL.INFO"/>
    <s v="1 MICROSOFT WAY"/>
    <s v="REDMOND_x000a_WA"/>
    <n v="98052"/>
    <s v="UNITED STATES"/>
    <s v="'320252150708997290'"/>
    <s v="Other-Miscellaneous"/>
    <s v="DELTARESERVE"/>
    <x v="1"/>
  </r>
  <r>
    <d v="2025-08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2160726605026'"/>
    <s v="Business Services-Other Services"/>
    <s v="AMEXPLATINUM"/>
    <x v="8"/>
  </r>
  <r>
    <d v="2025-08-03T00:00:00"/>
    <s v="JUICE GENERATION 19 NEW YORK            NY"/>
    <n v="12.79"/>
    <s v="31099535215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160726923006'"/>
    <s v="Restaurant-Bar &amp; CafÃ©"/>
    <s v="AMEXPLATINUM"/>
    <x v="3"/>
  </r>
  <r>
    <d v="2025-08-03T00:00:00"/>
    <s v="SEPHORA             NEW YORK            NY"/>
    <n v="294.01"/>
    <s v="03980005017 COSMETIC STORE_x000a_SEPHORA_x000a_NEW YORK_x000a_NY_x000a_COSMETIC STORE"/>
    <s v="SEPHORA             NEW YORK            NY"/>
    <s v="45 EAST 17TH ST"/>
    <s v="NEW YORK_x000a_NY"/>
    <s v="10003-2004"/>
    <s v="UNITED STATES"/>
    <s v="'320252160727160074'"/>
    <s v="Merchandise &amp; Supplies-Department Stores"/>
    <s v="AMEXPLATINUM"/>
    <x v="3"/>
  </r>
  <r>
    <d v="2025-08-03T00:00:00"/>
    <s v="PETCO 3741 0374     NEW YORK            NY"/>
    <n v="92.59"/>
    <s v="35000099    858-453-7845_x000a_PETCO 3741 0374_x000a_NEW YORK_x000a_NY_x000a_Description : PETS/SUPPLIES/ACC Price : 0.00_x000a_858-453-7845"/>
    <s v="PETCO 3741 0374     NEW YORK            NY"/>
    <s v="44 UN SQ EAST"/>
    <s v="NEW YORK_x000a_NY"/>
    <n v="10003"/>
    <s v="UNITED STATES"/>
    <s v="'320252160731444452'"/>
    <s v="Merchandise &amp; Supplies-General Retail"/>
    <s v="AMEXPLATINUM"/>
    <x v="3"/>
  </r>
  <r>
    <d v="2025-08-04T00:00:00"/>
    <s v="PEACOCK             NEW YORK CITY       NY"/>
    <n v="7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2160722423115'"/>
    <s v="Communications-Cable &amp; Internet Comm"/>
    <s v="DELTARESERVE"/>
    <x v="3"/>
  </r>
  <r>
    <d v="2025-08-04T00:00:00"/>
    <s v="BT*CLV*VECTORMAGIC  EXCELSIOR           CA"/>
    <n v="9.9499999999999993"/>
    <s v="88V3BVWK    4152302377_x000a_BT*CLV*VECTORMAGIC_x000a_EXCELSIOR_x000a_CA_x000a_4152302377"/>
    <s v="BT*CLV*VECTORMAGIC  EXCELSIOR           CA"/>
    <s v="2500 SHADYWOOD RD_x000a_STE 510"/>
    <s v="EXCELSIOR_x000a_CA"/>
    <n v="55331"/>
    <s v="UNITED STATES"/>
    <s v="'320252160725587605'"/>
    <s v="Merchandise &amp; Supplies-Computer Supplies"/>
    <s v="AMEXPLATINUM"/>
    <x v="3"/>
  </r>
  <r>
    <d v="2025-08-04T00:00:00"/>
    <s v="AAA MSHIP AUTORENEW"/>
    <n v="114"/>
    <s v="3302429M080 MEMBERSHIP_x000a_AAA MEMBERSHIP DUES_x000a_401-868-2000_x000a_RI_x000a_MEMBERSHIP"/>
    <s v="AAA MEMBERSHIP DUES 401-868-2000        RI"/>
    <s v="1415 KELLUM PL_x000a_UNIT A"/>
    <s v="GARDEN CITY_x000a_NY"/>
    <s v="11530-1696"/>
    <s v="UNITED STATES"/>
    <s v="'320252160728641858'"/>
    <s v="Entertainment-Associations"/>
    <s v="DELTARESERVE"/>
    <x v="8"/>
  </r>
  <r>
    <d v="2025-08-04T00:00:00"/>
    <s v="MICROSOFT           MSBILL.INFO"/>
    <n v="25.84"/>
    <s v="Z72F90JPAAFZ72F90JPAAFD     98052_x000a_MICROSOFT_x000a_MSBILL.INFO_x000a_Z72F90JPAAFD     98052"/>
    <s v="MICROSOFT           MSBILL.INFO"/>
    <s v="1 MICROSOFT WAY"/>
    <s v="REDMOND_x000a_WA"/>
    <n v="98052"/>
    <s v="UNITED STATES"/>
    <s v="'320252160735297581'"/>
    <s v="Other-Miscellaneous"/>
    <s v="DELTARESERVE"/>
    <x v="1"/>
  </r>
  <r>
    <d v="2025-08-04T00:00:00"/>
    <s v="A1010BUSD01         MSBILL.INFO"/>
    <n v="42.8"/>
    <s v="Z7328YJEV65Z7328YJEV651     98052_x000a_A1010BUSD01_x000a_MSBILL.INFO_x000a_Z7328YJEV651     98052"/>
    <s v="A1010BUSD01         MSBILL.INFO"/>
    <s v="8TH FLOOR_x000a_91 MAIN ST"/>
    <s v="DALLAS_x000a_TX"/>
    <n v="75202"/>
    <s v="UNITED STATES"/>
    <s v="'320252160739489244'"/>
    <s v="Other-Miscellaneous"/>
    <s v="AMEXPLATINUM"/>
    <x v="1"/>
  </r>
  <r>
    <d v="2025-08-04T00:00:00"/>
    <s v="A1010BUSD01         MSBILL.INFO"/>
    <n v="25.68"/>
    <s v="Z72F8ZU69XRZ72F8ZU69XR2     98052_x000a_A1010BUSD01_x000a_MSBILL.INFO_x000a_Z72F8ZU69XR2     98052"/>
    <s v="A1010BUSD01         MSBILL.INFO"/>
    <s v="8TH FLOOR_x000a_91 MAIN ST"/>
    <s v="DALLAS_x000a_TX"/>
    <n v="75202"/>
    <s v="UNITED STATES"/>
    <s v="'320252160739491960'"/>
    <s v="Other-Miscellaneous"/>
    <s v="AMEXPLATINUM"/>
    <x v="1"/>
  </r>
  <r>
    <d v="2025-08-04T00:00:00"/>
    <s v="A1010BUSD01         MSBILL.INFO"/>
    <n v="32.07"/>
    <s v="Z72Z90082P4Z72Z90082P4R     98052_x000a_A1010BUSD01_x000a_MSBILL.INFO_x000a_Z72Z90082P4R     98052"/>
    <s v="A1010BUSD01         MSBILL.INFO"/>
    <s v="8TH FLOOR_x000a_91 MAIN ST"/>
    <s v="DALLAS_x000a_TX"/>
    <n v="75202"/>
    <s v="UNITED STATES"/>
    <s v="'320252160739493348'"/>
    <s v="Other-Miscellaneous"/>
    <s v="AMEXPLATINUM"/>
    <x v="1"/>
  </r>
  <r>
    <d v="2025-08-04T00:00:00"/>
    <s v="A1010BUSD01         MSBILL.INFO"/>
    <n v="68.48"/>
    <s v="Z73B902CM10Z73B902CM10M     98052_x000a_A1010BUSD01_x000a_MSBILL.INFO_x000a_Z73B902CM10M     98052"/>
    <s v="A1010BUSD01         MSBILL.INFO"/>
    <s v="8TH FLOOR_x000a_91 MAIN ST"/>
    <s v="DALLAS_x000a_TX"/>
    <n v="75202"/>
    <s v="UNITED STATES"/>
    <s v="'320252160739505582'"/>
    <s v="Other-Miscellaneous"/>
    <s v="AMEXPLATINUM"/>
    <x v="1"/>
  </r>
  <r>
    <d v="2025-08-04T00:00:00"/>
    <s v="A1010BUSD01         REDMOND"/>
    <n v="21.4"/>
    <s v="Z72X8ZMCQC1Z72X8ZMCQC1T     98052_x000a_A1010BUSD01_x000a_REDMOND_x000a_Z72X8ZMCQC1T     98052"/>
    <s v="A1010BUSD01         REDMOND"/>
    <s v="8TH FLOOR_x000a_91 MAIN ST"/>
    <s v="DALLAS_x000a_TX"/>
    <n v="75202"/>
    <s v="UNITED STATES"/>
    <s v="'320252160739511434'"/>
    <s v="Other-Miscellaneous"/>
    <s v="AMEXPLATINUM"/>
    <x v="1"/>
  </r>
  <r>
    <d v="2025-08-04T00:00:00"/>
    <s v="A1010BUSD01         MSBILL.INFO"/>
    <n v="289.06"/>
    <s v="Z737902WNSDZ737902WNSDK     98052_x000a_A1010BUSD01_x000a_MSBILL.INFO_x000a_Z737902WNSDK     98052"/>
    <s v="A1010BUSD01         MSBILL.INFO"/>
    <s v="8TH FLOOR_x000a_91 MAIN ST"/>
    <s v="DALLAS_x000a_TX"/>
    <n v="75202"/>
    <s v="UNITED STATES"/>
    <s v="'320252160739518975'"/>
    <s v="Other-Miscellaneous"/>
    <s v="AMEXPLATINUM"/>
    <x v="1"/>
  </r>
  <r>
    <d v="2025-08-04T00:00:00"/>
    <s v="BS* BREAKINGSOUNDNYCWOODLAND HILLS      CA"/>
    <n v="118.57"/>
    <s v="CH_3RSSN2E3 +13237459427_x000a_BS* BREAKINGSOUNDNYC B_x000a_WOODLAND HILLS_x000a_CA_x000a_+13237459427"/>
    <s v="BS* BREAKINGSOUNDNYCWOODLAND HILLS      CA"/>
    <s v="16255 VENTURA BLVD_x000a_SUITE 1240"/>
    <s v="ENCINO_x000a_CA"/>
    <n v="91436"/>
    <s v="UNITED STATES"/>
    <s v="'320252160743221701'"/>
    <s v="Entertainment-General Events"/>
    <s v="AMEXPLATINUM"/>
    <x v="3"/>
  </r>
  <r>
    <d v="2025-08-04T00:00:00"/>
    <s v="JUICE GENERATION 19 NEW YORK            NY"/>
    <n v="12.79"/>
    <s v="31099535216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170755016808'"/>
    <s v="Restaurant-Bar &amp; CafÃ©"/>
    <s v="AMEXPLATINUM"/>
    <x v="3"/>
  </r>
  <r>
    <d v="2025-08-04T00:00:00"/>
    <s v="WEGMANS ASTOR PLACE NEW YORK            NY"/>
    <n v="10.78"/>
    <s v="W15608700185854293656_x000a_WEGMANS ASTOR PLACE 156 000000156_x000a_NEW YORK_x000a_NY_x000a_5854293656"/>
    <s v="WEGMANS ASTOR PLACE NEW YORK            NY"/>
    <s v="770 BROADWAY"/>
    <s v="NEW YORK_x000a_NY"/>
    <n v="10003"/>
    <s v="UNITED STATES"/>
    <s v="'320252170756211085'"/>
    <s v="Merchandise &amp; Supplies-Groceries"/>
    <s v="AMEXPLATINUM"/>
    <x v="3"/>
  </r>
  <r>
    <d v="2025-08-04T00:00:00"/>
    <s v="FOUNDER INSTITUTE   PALO ALTO           CA"/>
    <n v="199"/>
    <s v="CH_3RSBE9K6 +17077266310_x000a_FOUNDER INSTITUTE_x000a_PALO ALTO_x000a_CA_x000a_+17077266310"/>
    <s v="FOUNDER INSTITUTE   PALO ALTO           CA"/>
    <s v="265 CAMBRIDGE AVE"/>
    <s v="PALO ALTO_x000a_CA"/>
    <n v="94306"/>
    <s v="UNITED STATES"/>
    <s v="'320252170760370780'"/>
    <s v="Other-Miscellaneous"/>
    <s v="DELTARESERVE"/>
    <x v="1"/>
  </r>
  <r>
    <d v="2025-08-04T00:00:00"/>
    <s v="KALL8 00089590000642SEATTLE             WA"/>
    <n v="16.96"/>
    <s v="73011005216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2170763332463'"/>
    <s v="Other-Miscellaneous"/>
    <s v="AMEXPLATINUM"/>
    <x v="5"/>
  </r>
  <r>
    <d v="2025-08-04T00:00:00"/>
    <s v="FACEBK *K6WNQ25SF2  MENLO PARK"/>
    <n v="43"/>
    <s v="24679094321 ADVERTISING SERVICE_x000a_FACEBK *K6WNQ25SF2_x000a_MENLO PARK_x000a_ADVERTISING SERVICE"/>
    <s v="FACEBK *K6WNQ25SF2  MENLO PARK"/>
    <s v="1 HACKER WAY"/>
    <s v="MENLO PARK_x000a_CA"/>
    <n v="94025"/>
    <s v="UNITED STATES"/>
    <s v="'320252170766337347'"/>
    <s v="Business Services-Advertising Services"/>
    <s v="AMEXPLATINUM"/>
    <x v="3"/>
  </r>
  <r>
    <d v="2025-08-05T00:00:00"/>
    <s v="DRIP DROP CAFE      New York            NY"/>
    <n v="9.98"/>
    <s v="h6NUgkFnKlg squareup.com/receipts_x000a_DRIP DROP CAFE_x000a_New York_x000a_NY_x000a_squareup.com/receipts"/>
    <s v="DRIP DROP CAFE      New York            NY"/>
    <s v="98 THOMPSON ST"/>
    <s v="NEW YORK_x000a_NY"/>
    <s v="10012-3745"/>
    <s v="UNITED STATES"/>
    <s v="'320252170746516638'"/>
    <s v="Restaurant-Bar &amp; CafÃ©"/>
    <s v="AMEXPLATINUM"/>
    <x v="3"/>
  </r>
  <r>
    <d v="2025-08-05T00:00:00"/>
    <s v="THE CLEANERS IO, LLCNEW YORK            NY"/>
    <n v="85"/>
    <s v="5cCrJSGBUYS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170746532032'"/>
    <s v="Business Services-Other Services"/>
    <s v="AMEXPLATINUM"/>
    <x v="8"/>
  </r>
  <r>
    <d v="2025-08-05T00:00:00"/>
    <s v="GITHUB, INC.        SAN FRANCISCO       CA"/>
    <n v="4"/>
    <s v="CH_3RSQ3KJF +18774484820_x000a_GITHUB, INC._x000a_SAN FRANCISCO_x000a_CA_x000a_+18774484820"/>
    <s v="GITHUB, INC.        SAN FRANCISCO       CA"/>
    <s v="275 BRANNAN ST"/>
    <s v="SAN FRANCISCO_x000a_CA"/>
    <n v="94107"/>
    <s v="UNITED STATES"/>
    <s v="'320252170747022219'"/>
    <s v="Other-Miscellaneous"/>
    <s v="DELTARESERVE"/>
    <x v="1"/>
  </r>
  <r>
    <d v="2025-08-05T00:00:00"/>
    <s v="TST* LE CROCODILE 00BROOKLYN            NY"/>
    <n v="550"/>
    <s v="21105175218 RESTAURANT_x000a_TST* LE CROCODILE 00004192_x000a_BROOKLYN_x000a_NY_x000a_RESTAURANT"/>
    <s v="TST* LE CROCODILE 00BROOKLYN            NY"/>
    <s v="80 WYTHE AVE"/>
    <s v="BROOKLYN_x000a_NY"/>
    <n v="11249"/>
    <s v="UNITED STATES"/>
    <s v="'320252180783936734'"/>
    <s v="Restaurant-Restaurant"/>
    <s v="DELTARESERVE"/>
    <x v="11"/>
  </r>
  <r>
    <d v="2025-08-05T00:00:00"/>
    <s v="ERACTOLL 93CF1J     877-860-1258        NY"/>
    <n v="27.33"/>
    <s v="T204183054  877-860-1258_x000a_ERACTOLL 93CF1J_x000a_877-860-1258_x000a_NY_x000a_Description : ERACTOLL 93CF1J Price : 0.00_x000a_877-860-1258"/>
    <s v="ERACTOLL 93CF1J     877-860-1258        NY"/>
    <s v="-"/>
    <e v="#NAME?"/>
    <n v="11577"/>
    <s v="UNITED STATES"/>
    <s v="'320252180787299601'"/>
    <s v="Transportation-Tolls &amp; Fees"/>
    <s v="DELTARESERVE"/>
    <x v="9"/>
  </r>
  <r>
    <d v="2025-08-05T00:00:00"/>
    <s v="GRUBHUB*PRANAKHON   NEW YORK            NY"/>
    <n v="133.97999999999999"/>
    <s v="JA46SGY4    8775851085_x000a_GRUBHUB*PRANAKHON_x000a_NEW YORK_x000a_NY_x000a_8775851085"/>
    <s v="GRUBHUB*PRANAKHON   NEW YORK            NY"/>
    <s v="SUITE 2100_x000a_111 W WASHINGTON"/>
    <s v="CHICAGO_x000a_IL"/>
    <n v="60602"/>
    <s v="UNITED STATES"/>
    <s v="'320252180788755245'"/>
    <s v="Restaurant-Restaurant"/>
    <s v="AMEXPLATINUM"/>
    <x v="3"/>
  </r>
  <r>
    <d v="2025-08-06T00:00:00"/>
    <s v="FACEBK *WEUTUWURF2  MENLO PARK"/>
    <n v="5.26"/>
    <s v="24246223148 ADVERTISING SERVICE_x000a_FACEBK *WEUTUWURF2_x000a_MENLO PARK_x000a_ADVERTISING SERVICE"/>
    <s v="FACEBK *WEUTUWURF2  MENLO PARK"/>
    <s v="1 HACKER WAY"/>
    <s v="MENLO PARK_x000a_CA"/>
    <n v="94025"/>
    <s v="UNITED STATES"/>
    <s v="'320252180777612530'"/>
    <s v="Business Services-Advertising Services"/>
    <s v="AMEXPLATINUM"/>
    <x v="3"/>
  </r>
  <r>
    <d v="2025-08-06T00:00:00"/>
    <s v="NOTION LABS, INC.   SAN FRANCISCO       CA"/>
    <n v="25.68"/>
    <s v="CH_3RTALOCC +14154004291_x000a_NOTION LABS, INC._x000a_SAN FRANCISCO_x000a_CA_x000a_+14154004291"/>
    <s v="NOTION LABS, INC.   SAN FRANCISCO       CA"/>
    <s v="685 MARKET ST_x000a_SUITE 300"/>
    <s v="SAN FRANCISCO_x000a_CA"/>
    <n v="94105"/>
    <s v="UNITED STATES"/>
    <s v="'320252180778725336'"/>
    <s v="Business Services-Employment Agencies"/>
    <s v="DELTARESERVE"/>
    <x v="1"/>
  </r>
  <r>
    <d v="2025-08-06T00:00:00"/>
    <s v="UBER ONE            help.uber.com       CA"/>
    <n v="96"/>
    <s v="127ZCMA0    8005928996_x000a_UBER ONE_x000a_help.uber.com_x000a_CA_x000a_8005928996"/>
    <s v="UBER ONE            help.uber.com       CA"/>
    <s v="1455 MARKET ST"/>
    <s v="SAN FRANCISCO_x000a_CA"/>
    <n v="94103"/>
    <s v="UNITED STATES"/>
    <s v="'320252180780852173'"/>
    <s v="Transportation-Taxis &amp; Coach"/>
    <s v="AMEXPLATINUM"/>
    <x v="3"/>
  </r>
  <r>
    <d v="2025-08-06T00:00:00"/>
    <s v="UBER"/>
    <n v="51.27"/>
    <s v="E4RM0NXK   DBZ7QNPI         10012_x000a_Uber Trip_x000a_help.uber.com_x000a_CA_x000a_DBZ7QNPI         10012"/>
    <s v="Uber Trip           help.uber.com       CA"/>
    <s v="1455 MARKET ST_x000a_4TH FLOOR"/>
    <s v="SAN FRANCISCO_x000a_CA"/>
    <n v="94103"/>
    <s v="UNITED STATES"/>
    <s v="'320252180780997409'"/>
    <s v="Transportation-Taxis &amp; Coach"/>
    <s v="DELTARESERVE"/>
    <x v="2"/>
  </r>
  <r>
    <d v="2025-08-06T00:00:00"/>
    <s v="UBER"/>
    <n v="69.88"/>
    <s v="1MC3R5SR   3EOAY52Y         11249_x000a_Uber Trip_x000a_help.uber.com_x000a_CA_x000a_3EOAY52Y         11249"/>
    <s v="Uber Trip           help.uber.com       CA"/>
    <s v="1455 MARKET ST_x000a_4TH FLOOR"/>
    <s v="SAN FRANCISCO_x000a_CA"/>
    <n v="94103"/>
    <s v="UNITED STATES"/>
    <s v="'320252180781107569'"/>
    <s v="Transportation-Taxis &amp; Coach"/>
    <s v="DELTARESERVE"/>
    <x v="2"/>
  </r>
  <r>
    <d v="2025-08-06T00:00:00"/>
    <s v="UBER"/>
    <n v="44.23"/>
    <s v="P19QFCNB   TMAE5USD         10012_x000a_Uber Trip_x000a_help.uber.com_x000a_CA_x000a_TMAE5USD         10012"/>
    <s v="Uber Trip           help.uber.com       CA"/>
    <s v="1455 MARKET ST_x000a_4TH FLOOR"/>
    <s v="SAN FRANCISCO_x000a_CA"/>
    <n v="94103"/>
    <s v="UNITED STATES"/>
    <s v="'320252180782216232'"/>
    <s v="Transportation-Taxis &amp; Coach"/>
    <s v="DELTARESERVE"/>
    <x v="2"/>
  </r>
  <r>
    <d v="2025-08-06T00:00:00"/>
    <s v="SPECTRUM            855-707-7328        MO"/>
    <n v="115"/>
    <s v="RC117749186CABLE SVC_x000a_SPECTRUM_x000a_855-707-7328_x000a_MO_x000a_CABLE SVC"/>
    <s v="SPECTRUM            855-707-7328        MO"/>
    <s v="12405 POWERSCOURT DR"/>
    <s v="SAINT LOUIS_x000a_MO"/>
    <n v="63131"/>
    <s v="UNITED STATES"/>
    <s v="'320252180782297720'"/>
    <s v="Communications-Cable &amp; Internet Comm"/>
    <s v="AMEXPLATINUM"/>
    <x v="5"/>
  </r>
  <r>
    <d v="2025-08-06T00:00:00"/>
    <s v="FACEBK *ZP9UTXYRF2  MENLO PARK"/>
    <n v="2.83"/>
    <s v="24354621334 ADVERTISING SERVICE_x000a_FACEBK *ZP9UTXYRF2_x000a_MENLO PARK_x000a_ADVERTISING SERVICE"/>
    <s v="FACEBK *ZP9UTXYRF2  MENLO PARK"/>
    <s v="1 HACKER WAY"/>
    <s v="MENLO PARK_x000a_CA"/>
    <n v="94025"/>
    <s v="UNITED STATES"/>
    <s v="'320252180782616458'"/>
    <s v="Business Services-Advertising Services"/>
    <s v="AMEXPLATINUM"/>
    <x v="3"/>
  </r>
  <r>
    <d v="2025-08-06T00:00:00"/>
    <s v="LEMONADE INSURANCE  NEW YORK CITY       NY"/>
    <n v="9.42"/>
    <s v="CH_3RT37EAB +18447338666_x000a_LEMONADE INSURANCE_x000a_NEW YORK CITY_x000a_NY_x000a_+18447338666"/>
    <s v="LEMONADE INSURANCE  NEW YORK CITY       NY"/>
    <s v="5 CROSBY ST FL 3"/>
    <s v="NEW YORK_x000a_NY"/>
    <n v="10013"/>
    <s v="UNITED STATES"/>
    <s v="'320252180784139052'"/>
    <s v="Business Services-Insurance Services"/>
    <s v="AMEXPLATINUM"/>
    <x v="3"/>
  </r>
  <r>
    <d v="2025-08-06T00:00:00"/>
    <s v="NYU HOSP CTR-MYCHARTNEW YORK            NY"/>
    <n v="100"/>
    <s v="036-0266114 HEALTHCARE P_x000a_NYU HOSP CTR-MYCHART_x000a_NEW YORK_x000a_NY_x000a_HEALTHCARE P"/>
    <s v="NYU HOSP CTR-MYCHARTNEW YORK            NY"/>
    <s v="550 1ST AVE"/>
    <s v="NEW YORK_x000a_NY"/>
    <s v="10016-6402"/>
    <s v="UNITED STATES"/>
    <s v="'320252190803802872'"/>
    <s v="Business Services-Health Care Services"/>
    <s v="AMEXPLATINUM"/>
    <x v="3"/>
  </r>
  <r>
    <d v="2025-08-06T00:00:00"/>
    <s v="JUICE GENERATION 19 NEW YORK            NY"/>
    <n v="12.79"/>
    <s v="31099535218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190805451440'"/>
    <s v="Restaurant-Bar &amp; CafÃ©"/>
    <s v="AMEXPLATINUM"/>
    <x v="3"/>
  </r>
  <r>
    <d v="2025-08-06T00:00:00"/>
    <s v="COVERGIRL.MAXIM.COM SAN ANTONIO         TX"/>
    <n v="10"/>
    <s v="CH_3RTD9U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190816852290'"/>
    <s v="Business Services-Office Supplies"/>
    <s v="AMEXPLATINUM"/>
    <x v="3"/>
  </r>
  <r>
    <d v="2025-08-06T00:00:00"/>
    <s v="COVERGIRL.MAXIM.COM SAN ANTONIO         TX"/>
    <n v="20"/>
    <s v="CH_3RTD9Z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190816855590'"/>
    <s v="Business Services-Office Supplies"/>
    <s v="AMEXPLATINUM"/>
    <x v="3"/>
  </r>
  <r>
    <d v="2025-08-07T00:00:00"/>
    <s v="A1010BUSD01         MSBILL.INFO"/>
    <n v="21.38"/>
    <s v="Z72T96HB37PZ72T96HB37PL     98052_x000a_A1010BUSD01_x000a_MSBILL.INFO_x000a_Z72T96HB37PL     98052"/>
    <s v="A1010BUSD01         MSBILL.INFO"/>
    <s v="8TH FLOOR_x000a_91 MAIN ST"/>
    <s v="DALLAS_x000a_TX"/>
    <n v="75202"/>
    <s v="UNITED STATES"/>
    <s v="'320252190815713111'"/>
    <s v="Other-Miscellaneous"/>
    <s v="DELTARESERVE"/>
    <x v="1"/>
  </r>
  <r>
    <d v="2025-08-07T00:00:00"/>
    <s v="THIRD RAIL COFFEE   New York            NY"/>
    <n v="7.08"/>
    <s v="Db3PdaSAk2G squareup.com/receipts_x000a_THIRD RAIL COFFEE_x000a_New York_x000a_NY_x000a_squareup.com/receipts"/>
    <s v="THIRD RAIL COFFEE   New York            NY"/>
    <s v="240 SULLIVAN ST"/>
    <s v="NEW YORK_x000a_NY"/>
    <n v="10012"/>
    <s v="UNITED STATES"/>
    <s v="'320252190820377283'"/>
    <s v="Restaurant-Bar &amp; CafÃ©"/>
    <s v="AMEXPLATINUM"/>
    <x v="3"/>
  </r>
  <r>
    <d v="2025-08-07T00:00:00"/>
    <s v="IONOS               www.ionos.com       PA"/>
    <n v="44.86"/>
    <s v="00635168700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2200845323429'"/>
    <s v="Merchandise &amp; Supplies-Computer Supplies"/>
    <s v="AMEXPLATINUM"/>
    <x v="1"/>
  </r>
  <r>
    <d v="2025-08-07T00:00:00"/>
    <s v="COVERGIRL.MAXIM.COM SAN ANTONIO         TX"/>
    <n v="20"/>
    <s v="CH_3RTBSD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200851532899'"/>
    <s v="Business Services-Office Supplies"/>
    <s v="AMEXPLATINUM"/>
    <x v="3"/>
  </r>
  <r>
    <d v="2025-08-07T00:00:00"/>
    <s v="COVERGIRL.MAXIM.COM SAN ANTONIO         TX"/>
    <n v="40"/>
    <s v="CH_3RTBSF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200851533618'"/>
    <s v="Business Services-Office Supplies"/>
    <s v="AMEXPLATINUM"/>
    <x v="3"/>
  </r>
  <r>
    <d v="2025-08-08T00:00:00"/>
    <s v="Interest Charge on Pay Over Time Purchases"/>
    <n v="646.30999999999995"/>
    <s v="Interest Charge on Pay Over Time Purchases"/>
    <s v="Interest Charge on Pay Over Time Purchases"/>
    <m/>
    <m/>
    <m/>
    <m/>
    <s v="'150809060001147391'"/>
    <s v="Fees &amp; Adjustments-Fees &amp; Adjustments"/>
    <s v="AMEXPLATINUM"/>
    <x v="13"/>
  </r>
  <r>
    <d v="2025-08-08T00:00:00"/>
    <s v="DRIP DROP CAFE      Brooklyn            NY"/>
    <n v="8.89"/>
    <s v="hGX6UphhF4X squareup.com/receipts_x000a_DRIP DROP CAFE_x000a_Brooklyn_x000a_NY_x000a_squareup.com/receipts"/>
    <s v="DRIP DROP CAFE      Brooklyn            NY"/>
    <s v="98 THOMPSON ST"/>
    <s v="NEW YORK_x000a_NY"/>
    <s v="10012-3745"/>
    <s v="UNITED STATES"/>
    <s v="'320252200830181513'"/>
    <s v="Restaurant-Bar &amp; CafÃ©"/>
    <s v="AMEXPLATINUM"/>
    <x v="3"/>
  </r>
  <r>
    <d v="2025-08-08T00:00:00"/>
    <s v="UBER"/>
    <n v="33.01"/>
    <s v="K64AECC6   7N34A6YG         10011_x000a_Uber Trip_x000a_help.uber.com_x000a_CA_x000a_7N34A6YG         10011"/>
    <s v="Uber Trip           help.uber.com       CA"/>
    <s v="1455 MARKET ST_x000a_4TH FLOOR"/>
    <s v="SAN FRANCISCO_x000a_CA"/>
    <n v="94103"/>
    <s v="UNITED STATES"/>
    <s v="'320252200832695296'"/>
    <s v="Transportation-Taxis &amp; Coach"/>
    <s v="DELTARESERVE"/>
    <x v="2"/>
  </r>
  <r>
    <d v="2025-08-08T00:00:00"/>
    <s v="UBER"/>
    <n v="37.840000000000003"/>
    <s v="CX65XT2P   WMX5YLAY         10012_x000a_Uber Trip_x000a_help.uber.com_x000a_CA_x000a_WMX5YLAY         10012"/>
    <s v="Uber Trip           help.uber.com       CA"/>
    <s v="1455 MARKET ST_x000a_4TH FLOOR"/>
    <s v="SAN FRANCISCO_x000a_CA"/>
    <n v="94103"/>
    <s v="UNITED STATES"/>
    <s v="'320252200833151636'"/>
    <s v="Transportation-Taxis &amp; Coach"/>
    <s v="DELTARESERVE"/>
    <x v="2"/>
  </r>
  <r>
    <d v="2025-08-08T00:00:00"/>
    <s v="COVERGIRL.MAXIM.COM SAN ANTONIO         TX"/>
    <n v="10"/>
    <s v="CH_3RTXCZ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200854408614'"/>
    <s v="Business Services-Office Supplies"/>
    <s v="AMEXPLATINUM"/>
    <x v="3"/>
  </r>
  <r>
    <d v="2025-08-08T00:00:00"/>
    <s v="ARLOTECHNOLOGIES INC408-638-3750        CA"/>
    <n v="21.39"/>
    <s v="221398329  221398329        12866_x000a_ARLOTECHNOLOGIES INC_x000a_408-638-3750_x000a_CA_x000a_221398329        12866"/>
    <s v="ARLOTECHNOLOGIES INC408-638-3750        CA"/>
    <s v="STE 200_x000a_480 N MCCARTHY BLVD"/>
    <s v="MILPITAS_x000a_CA"/>
    <n v="95035"/>
    <s v="UNITED STATES"/>
    <s v="'320252210863192003'"/>
    <s v="Merchandise &amp; Supplies-Wholesale Stores"/>
    <s v="DELTARESERVE"/>
    <x v="1"/>
  </r>
  <r>
    <d v="2025-08-08T00:00:00"/>
    <s v="PWPOSITIONING WORKSHOAKVILLE"/>
    <n v="24"/>
    <s v="CH_3RU13SB0 +17406796254_x000a_PWPOSITIONING WORKSHOP_x000a_OAKVILLE_x000a_+17406796254"/>
    <s v="PWPOSITIONING WORKSHOAKVILLE"/>
    <s v="295 ROBINSON ST"/>
    <s v="OAKVILLE_x000a_ON"/>
    <s v="L6J 1G7"/>
    <s v="CANADA"/>
    <s v="'320252210878842200'"/>
    <s v="Business Services-Conferences &amp; Training"/>
    <s v="DELTARESERVE"/>
    <x v="8"/>
  </r>
  <r>
    <d v="2025-08-08T00:00:00"/>
    <s v="KEEPERSECURITY.COM  CHICAGO             IL"/>
    <n v="42.79"/>
    <s v="CH_3RU1NJGS +13129715702_x000a_KEEPERSECURITY.COM_x000a_CHICAGO_x000a_IL_x000a_+13129715702"/>
    <s v="KEEPERSECURITY.COM  CHICAGO             IL"/>
    <s v="&quot;311 W MONROE ST, SUITE 406&quot;"/>
    <s v="CHICAGO_x000a_IL"/>
    <n v="60606"/>
    <s v="UNITED STATES"/>
    <s v="'320252210878880676'"/>
    <s v="Merchandise &amp; Supplies-Computer Supplies"/>
    <s v="DELTARESERVE"/>
    <x v="1"/>
  </r>
  <r>
    <d v="2025-08-08T00:00:00"/>
    <s v="BS* BREAKINGSOUNDNYCWOODLAND HILLS      CA"/>
    <n v="49.8"/>
    <s v="CH_3RTXZIE3 +13237459427_x000a_BS* BREAKINGSOUNDNYC B_x000a_WOODLAND HILLS_x000a_CA_x000a_+13237459427"/>
    <s v="BS* BREAKINGSOUNDNYCWOODLAND HILLS      CA"/>
    <s v="16255 VENTURA BLVD_x000a_SUITE 1240"/>
    <s v="ENCINO_x000a_CA"/>
    <n v="91436"/>
    <s v="UNITED STATES"/>
    <s v="'320252210882794903'"/>
    <s v="Entertainment-General Events"/>
    <s v="AMEXPLATINUM"/>
    <x v="3"/>
  </r>
  <r>
    <d v="2025-08-09T00:00:00"/>
    <s v="ONLINE PAYMENT - THANK YOU"/>
    <n v="-1000"/>
    <s v="ONLINE PAYMENT - THANK YOU"/>
    <s v="ONLINE PAYMENT - THANK YOU"/>
    <m/>
    <m/>
    <m/>
    <m/>
    <s v="'320252210857269199'"/>
    <m/>
    <s v="DELTARESERVE"/>
    <x v="0"/>
  </r>
  <r>
    <d v="2025-08-09T00:00:00"/>
    <s v="THE CLEANERS IO, LLCNEW YORK            NY"/>
    <n v="69.67"/>
    <s v="544B8pV9xug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210862100131'"/>
    <s v="Business Services-Other Services"/>
    <s v="AMEXPLATINUM"/>
    <x v="8"/>
  </r>
  <r>
    <d v="2025-08-09T00:00:00"/>
    <s v="UBER"/>
    <n v="33.75"/>
    <s v="PTSBDJRQ   VXSBREWM         10013_x000a_Uber Trip_x000a_help.uber.com_x000a_CA_x000a_VXSBREWM         10013"/>
    <s v="Uber Trip           help.uber.com       CA"/>
    <s v="1455 MARKET ST_x000a_4TH FLOOR"/>
    <s v="SAN FRANCISCO_x000a_CA"/>
    <n v="94103"/>
    <s v="UNITED STATES"/>
    <s v="'320252210866279769'"/>
    <s v="Transportation-Taxis &amp; Coach"/>
    <s v="DELTARESERVE"/>
    <x v="2"/>
  </r>
  <r>
    <d v="2025-08-09T00:00:00"/>
    <s v="UBER"/>
    <n v="60.45"/>
    <s v="BKXX5N1Y   UYWE7REU         10004_x000a_Uber Trip_x000a_help.uber.com_x000a_CA_x000a_UYWE7REU         10004"/>
    <s v="Uber Trip           help.uber.com       CA"/>
    <s v="1455 MARKET ST_x000a_4TH FLOOR"/>
    <s v="SAN FRANCISCO_x000a_CA"/>
    <n v="94103"/>
    <s v="UNITED STATES"/>
    <s v="'320252210868090227'"/>
    <s v="Transportation-Taxis &amp; Coach"/>
    <s v="AMEXPLATINUM"/>
    <x v="2"/>
  </r>
  <r>
    <d v="2025-08-09T00:00:00"/>
    <s v="UBER"/>
    <n v="28.82"/>
    <s v="Q28ABSMF   SOCFUDNF         10012_x000a_Uber Trip_x000a_help.uber.com_x000a_CA_x000a_SOCFUDNF         10012"/>
    <s v="Uber Trip           help.uber.com       CA"/>
    <s v="1455 MARKET ST_x000a_4TH FLOOR"/>
    <s v="SAN FRANCISCO_x000a_CA"/>
    <n v="94103"/>
    <s v="UNITED STATES"/>
    <s v="'320252210868169803'"/>
    <s v="Transportation-Taxis &amp; Coach"/>
    <s v="AMEXPLATINUM"/>
    <x v="2"/>
  </r>
  <r>
    <d v="2025-08-09T00:00:00"/>
    <s v="MICROSOFT           MSBILL.INFO"/>
    <n v="165.41"/>
    <s v="Z72F9C4HC7XZ72F9C4HC7XG     98052_x000a_MICROSOFT_x000a_MSBILL.INFO_x000a_Z72F9C4HC7XG     98052"/>
    <s v="MICROSOFT           MSBILL.INFO"/>
    <s v="1 MICROSOFT WAY"/>
    <s v="REDMOND_x000a_WA"/>
    <n v="98052"/>
    <s v="UNITED STATES"/>
    <s v="'320252210868325328'"/>
    <s v="Other-Miscellaneous"/>
    <s v="DELTARESERVE"/>
    <x v="1"/>
  </r>
  <r>
    <d v="2025-08-09T00:00:00"/>
    <s v="MICROSOFT           MSBILL.INFO"/>
    <n v="223.2"/>
    <s v="Z7389BPCLMWZ7389BPCLMWD     98052_x000a_MICROSOFT_x000a_MSBILL.INFO_x000a_Z7389BPCLMWD     98052"/>
    <s v="MICROSOFT           MSBILL.INFO"/>
    <s v="1 MICROSOFT WAY"/>
    <s v="REDMOND_x000a_WA"/>
    <n v="98052"/>
    <s v="UNITED STATES"/>
    <s v="'320252210868327698'"/>
    <s v="Other-Miscellaneous"/>
    <s v="DELTARESERVE"/>
    <x v="1"/>
  </r>
  <r>
    <d v="2025-08-09T00:00:00"/>
    <s v="TST* HARRYS - HANOVENEW YORK            NY"/>
    <n v="428.5"/>
    <s v="00111126027 RESTAURANT_x000a_TST* HARRYS - HANOVER SQ 00111126_x000a_NEW YORK_x000a_NY_x000a_RESTAURANT"/>
    <s v="TST* HARRYS - HANOVENEW YORK            NY"/>
    <s v="1 HANOVER SQ FRNT 1"/>
    <s v="NEW YORK_x000a_NY"/>
    <n v="10004"/>
    <s v="UNITED STATES"/>
    <s v="'320252210874373615'"/>
    <s v="Restaurant-Restaurant"/>
    <s v="AMEXPLATINUM"/>
    <x v="11"/>
  </r>
  <r>
    <d v="2025-08-09T00:00:00"/>
    <s v="TST* LEONS 00203871 NEW YORK            NY"/>
    <n v="460"/>
    <s v="21105175222 RESTAURANT_x000a_TST* LEONS 00203871_x000a_NEW YORK_x000a_NY_x000a_RESTAURANT"/>
    <s v="TST* LEONS 00203871 NEW YORK            NY"/>
    <s v="510 EAST 14TH ST_x000a_APT 408"/>
    <s v="NEW YORK_x000a_NY"/>
    <n v="10009"/>
    <s v="UNITED STATES"/>
    <s v="'320252220899471867'"/>
    <s v="Restaurant-Restaurant"/>
    <s v="AMEXPLATINUM"/>
    <x v="11"/>
  </r>
  <r>
    <d v="2025-08-09T00:00:00"/>
    <s v="WWW.PERPLEXITY.AI   SAN FRANCISCO       CA"/>
    <n v="21.4"/>
    <s v="CH_3RURSVGZ +15102700840_x000a_WWW.PERPLEXITY.AI_x000a_SAN FRANCISCO_x000a_CA_x000a_+15102700840"/>
    <s v="WWW.PERPLEXITY.AI   SAN FRANCISCO       CA"/>
    <s v="115 SANSOME ST_x000a_SUITE 900"/>
    <s v="SAN FRANCISCO_x000a_CA"/>
    <n v="94104"/>
    <s v="UNITED STATES"/>
    <s v="'320252220905693186'"/>
    <s v="Business Services-Office Supplies"/>
    <s v="DELTARESERVE"/>
    <x v="1"/>
  </r>
  <r>
    <d v="2025-08-10T00:00:00"/>
    <s v="UBER"/>
    <n v="29.03"/>
    <s v="EJW0V6AW   H7S7I7XG         10003_x000a_Uber Trip_x000a_help.uber.com_x000a_CA_x000a_H7S7I7XG         10003"/>
    <s v="Uber Trip           help.uber.com       CA"/>
    <s v="1455 MARKET ST_x000a_4TH FLOOR"/>
    <s v="SAN FRANCISCO_x000a_CA"/>
    <n v="94103"/>
    <s v="UNITED STATES"/>
    <s v="'320252220892770902'"/>
    <s v="Transportation-Taxis &amp; Coach"/>
    <s v="AMEXPLATINUM"/>
    <x v="2"/>
  </r>
  <r>
    <d v="2025-08-10T00:00:00"/>
    <s v="UBER"/>
    <n v="23.29"/>
    <s v="7H6K6S12   FWN2DCNB         10013_x000a_Uber Trip_x000a_help.uber.com_x000a_CA_x000a_FWN2DCNB         10013"/>
    <s v="Uber Trip           help.uber.com       CA"/>
    <s v="1455 MARKET ST_x000a_4TH FLOOR"/>
    <s v="SAN FRANCISCO_x000a_CA"/>
    <n v="94103"/>
    <s v="UNITED STATES"/>
    <s v="'320252220892970459'"/>
    <s v="Transportation-Taxis &amp; Coach"/>
    <s v="AMEXPLATINUM"/>
    <x v="2"/>
  </r>
  <r>
    <d v="2025-08-10T00:00:00"/>
    <s v="UBER"/>
    <n v="36.770000000000003"/>
    <s v="3XYSK3EP   DQUK23BR         10003_x000a_Uber Trip_x000a_help.uber.com_x000a_CA_x000a_DQUK23BR         10003"/>
    <s v="Uber Trip           help.uber.com       CA"/>
    <s v="1455 MARKET ST_x000a_4TH FLOOR"/>
    <s v="SAN FRANCISCO_x000a_CA"/>
    <n v="94103"/>
    <s v="UNITED STATES"/>
    <s v="'320252220893306613'"/>
    <s v="Transportation-Taxis &amp; Coach"/>
    <s v="AMEXPLATINUM"/>
    <x v="2"/>
  </r>
  <r>
    <d v="2025-08-10T00:00:00"/>
    <s v="ERACTOLL 93CF1J     877-860-1258        NY"/>
    <n v="2.25"/>
    <s v="T204725008  877-860-1258_x000a_ERACTOLL 93CF1J_x000a_877-860-1258_x000a_NY_x000a_Description : ERACTOLL 93CF1J Price : 0.00_x000a_877-860-1258"/>
    <s v="ERACTOLL 93CF1J     877-860-1258        NY"/>
    <s v="-"/>
    <e v="#NAME?"/>
    <n v="11577"/>
    <s v="UNITED STATES"/>
    <s v="'320252230923724144'"/>
    <s v="Transportation-Tolls &amp; Fees"/>
    <s v="DELTARESERVE"/>
    <x v="9"/>
  </r>
  <r>
    <d v="2025-08-11T00:00:00"/>
    <s v="APPLE.COM/BILL      INTERNET CHARGE     CA"/>
    <n v="9.99"/>
    <s v="MTK7ZNNHTZ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230915028928'"/>
    <s v="Merchandise &amp; Supplies-Internet Purchase"/>
    <s v="AMEXPLATINUM"/>
    <x v="3"/>
  </r>
  <r>
    <d v="2025-08-11T00:00:00"/>
    <s v="GETTHELEVERAGE.COM  BOSTON              MA"/>
    <n v="499.75"/>
    <s v="CH_3RUXUHG7 +15082931383_x000a_GETTHELEVERAGE.COM_x000a_BOSTON_x000a_MA_x000a_+15082931383"/>
    <s v="GETTHELEVERAGE.COM  BOSTON              MA"/>
    <s v="1693 BEACON ST_x000a_APT 3"/>
    <s v="BROOKLINE_x000a_MA"/>
    <s v="02445"/>
    <s v="UNITED STATES"/>
    <s v="'320252230935849431'"/>
    <s v="Business Services-Office Supplies"/>
    <s v="DELTARESERVE"/>
    <x v="1"/>
  </r>
  <r>
    <d v="2025-08-11T00:00:00"/>
    <s v="ADOBE SYSTEMS Adobe SAN JOSE            CA"/>
    <n v="21.39"/>
    <s v="511011962   www.adobe.com_x000a_ADOBE SYSTEMS Adobe Systems_x000a_SAN JOSE_x000a_CA_x000a_Description : 0 Price : 0.1999_x000a_www.adobe.com"/>
    <s v="ADOBE SYSTEMS Adobe SAN JOSE            CA"/>
    <s v="801 N 34TH ST"/>
    <s v="SEATTLE_x000a_WA"/>
    <n v="98103"/>
    <s v="UNITED STATES"/>
    <s v="'320252240951471966'"/>
    <s v="Merchandise &amp; Supplies-Mail Order"/>
    <s v="AMEXPLATINUM"/>
    <x v="1"/>
  </r>
  <r>
    <d v="2025-08-11T00:00:00"/>
    <s v="ILLUSTRATOR Adobe SySAN JOSE            CA"/>
    <n v="36.9"/>
    <s v="511012224   ADOBE.LY/ENUS_x000a_ILLUSTRATOR Adobe Systems_x000a_SAN JOSE_x000a_CA_x000a_Description : 0 Price : 0.3449_x000a_ADOBE.LY/ENUS"/>
    <s v="ILLUSTRATOR Adobe SySAN JOSE            CA"/>
    <s v="801 N 34TH ST"/>
    <s v="SEATTLE_x000a_WA"/>
    <n v="98103"/>
    <s v="UNITED STATES"/>
    <s v="'320252240951471997'"/>
    <s v="Merchandise &amp; Supplies-Mail Order"/>
    <s v="AMEXPLATINUM"/>
    <x v="1"/>
  </r>
  <r>
    <d v="2025-08-11T00:00:00"/>
    <s v="CVS PHARMACY        NEW YORK            NY"/>
    <n v="10.78"/>
    <s v="10181883    8007467287_x000a_CVS PHARMACY_x000a_NEW YORK_x000a_NY_x000a_Description : PHARMACIES Price : 0.1078_x000a_8007467287"/>
    <s v="CVS PHARMACY        NEW YORK            NY"/>
    <s v="158 BLEECKER ST"/>
    <s v="NEW YORK_x000a_NY"/>
    <n v="10012"/>
    <s v="UNITED STATES"/>
    <s v="'320252240954105901'"/>
    <s v="Merchandise &amp; Supplies-Pharmacies"/>
    <s v="AMEXPLATINUM"/>
    <x v="3"/>
  </r>
  <r>
    <d v="2025-08-11T00:00:00"/>
    <s v="TST* RUSS &amp; DAUGHTERNEW YORK            NY"/>
    <n v="200.81"/>
    <s v="00033995027 RESTAURANT_x000a_TST* RUSS &amp; DAUGHTERS CAF 00033995_x000a_NEW YORK_x000a_NY_x000a_RESTAURANT"/>
    <s v="TST* RUSS &amp; DAUGHTERNEW YORK            NY"/>
    <s v="127 ORCH ST"/>
    <s v="NEW YORK_x000a_NY"/>
    <n v="10002"/>
    <s v="UNITED STATES"/>
    <s v="'320252240958208689'"/>
    <s v="Restaurant-Restaurant"/>
    <s v="DELTARESERVE"/>
    <x v="11"/>
  </r>
  <r>
    <d v="2025-08-11T00:00:00"/>
    <s v="COVERGIRL.MAXIM.COM SAN ANTONIO         TX"/>
    <n v="10"/>
    <s v="CH_3RV3BI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240963588473'"/>
    <s v="Business Services-Office Supplies"/>
    <s v="AMEXPLATINUM"/>
    <x v="3"/>
  </r>
  <r>
    <d v="2025-08-12T00:00:00"/>
    <s v="THE CLEANERS IO, LLCNEW YORK            NY"/>
    <n v="63.68"/>
    <s v="HBjULjM7TLP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240944190370'"/>
    <s v="Business Services-Other Services"/>
    <s v="AMEXPLATINUM"/>
    <x v="8"/>
  </r>
  <r>
    <d v="2025-08-12T00:00:00"/>
    <s v="GOOGLE *ISHARINGSOFT G.CO/HELPPAY#      CA"/>
    <n v="16.04"/>
    <s v="A11YXNCQ    LARGE DIGITAL GOODS M_x000a_LARGE DIGITAL GOODS MERCH_x000a_GOOGLE *ISHARINGSOFT_x000a_G.CO/HELPPAY#_x000a_CA_x000a_LARGE DIGITAL GOODS MERCH"/>
    <s v="GOOGLE *ISHARINGSOFT G.CO/HELPPAY#      CA"/>
    <s v="1600 AMPHITHEATRE PKWY"/>
    <s v="MOUNTAIN VIEW_x000a_CA"/>
    <s v="94043-1351"/>
    <s v="UNITED STATES"/>
    <s v="'320252240957186669'"/>
    <s v="Business Services-Internet Services"/>
    <s v="DELTARESERVE"/>
    <x v="1"/>
  </r>
  <r>
    <d v="2025-08-12T00:00:00"/>
    <s v="COVERGIRL.MAXIM.COM SAN ANTONIO         TX"/>
    <n v="10"/>
    <s v="CH_3RVO6I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250987175351'"/>
    <s v="Business Services-Office Supplies"/>
    <s v="AMEXPLATINUM"/>
    <x v="3"/>
  </r>
  <r>
    <d v="2025-08-12T00:00:00"/>
    <s v="FACEBK *META VERIFIEFB.ME/CC            CA"/>
    <n v="11.99"/>
    <s v="24378950358 DGTL CONTENT_x000a_FACEBK *META VERIFIED_x000a_FB.ME/CC_x000a_CA_x000a_DGTL CONTENT"/>
    <s v="FACEBK *META VERIFIEFB.ME/CC            CA"/>
    <s v="1 HACKER WAY"/>
    <s v="MENLO PARK_x000a_CA"/>
    <n v="94025"/>
    <s v="UNITED STATES"/>
    <s v="'320252250990166303'"/>
    <s v="Business Services-Office Supplies"/>
    <s v="AMEXPLATINUM"/>
    <x v="3"/>
  </r>
  <r>
    <d v="2025-08-13T00:00:00"/>
    <s v="FACEBK *F84CKY4RF2  MENLO PARK"/>
    <n v="43"/>
    <s v="24436741052 ADVERTISING SERVICE_x000a_FACEBK *F84CKY4RF2_x000a_MENLO PARK_x000a_ADVERTISING SERVICE"/>
    <s v="FACEBK *F84CKY4RF2  MENLO PARK"/>
    <s v="1 HACKER WAY"/>
    <s v="MENLO PARK_x000a_CA"/>
    <n v="94025"/>
    <s v="UNITED STATES"/>
    <s v="'320252250972315723'"/>
    <s v="Business Services-Advertising Services"/>
    <s v="AMEXPLATINUM"/>
    <x v="3"/>
  </r>
  <r>
    <d v="2025-08-13T00:00:00"/>
    <s v="LINKEDIN SN P7560954MOUNTAIN VIEW"/>
    <n v="106.99"/>
    <s v="P756095474  SUBSCRIPTIONS_x000a_LINKEDIN SN P756095474_x000a_MOUNTAIN VIEW_x000a_SUBSCRIPTIONS"/>
    <s v="LINKEDIN SN P7560954MOUNTAIN VIEW"/>
    <s v="2029 STIERLIN CT_x000a_STE 200"/>
    <s v="MOUNTAIN VIEW_x000a_CA"/>
    <s v="94043-4655"/>
    <s v="UNITED STATES"/>
    <s v="'320252250972409063'"/>
    <s v="Merchandise &amp; Supplies-Internet Purchase"/>
    <s v="AMEXPLATINUM"/>
    <x v="4"/>
  </r>
  <r>
    <d v="2025-08-13T00:00:00"/>
    <s v="JUICE GENERATION 19 NEW YORK            NY"/>
    <n v="12.79"/>
    <s v="31099535225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260005902760'"/>
    <s v="Restaurant-Bar &amp; CafÃ©"/>
    <s v="AMEXPLATINUM"/>
    <x v="3"/>
  </r>
  <r>
    <d v="2025-08-13T00:00:00"/>
    <s v="WEGMANS ASTOR PLACE NEW YORK            NY"/>
    <n v="24.41"/>
    <s v="W15639201045854293656_x000a_WEGMANS ASTOR PLACE 156 000000156_x000a_NEW YORK_x000a_NY_x000a_5854293656"/>
    <s v="WEGMANS ASTOR PLACE NEW YORK            NY"/>
    <s v="770 BROADWAY"/>
    <s v="NEW YORK_x000a_NY"/>
    <n v="10003"/>
    <s v="UNITED STATES"/>
    <s v="'320252260007587474'"/>
    <s v="Merchandise &amp; Supplies-Groceries"/>
    <s v="AMEXPLATINUM"/>
    <x v="3"/>
  </r>
  <r>
    <d v="2025-08-13T00:00:00"/>
    <s v="KIMBERLY MEEHAN, NP NEW YORK            NY"/>
    <n v="200"/>
    <s v="73011005225DDC1F4EA497C4284910017_x000a_KIMBERLY MEEHAN, NP IN PS 316107142119_x000a_NEW YORK_x000a_NY_x000a_DDC1F4EA497C4284910017"/>
    <s v="KIMBERLY MEEHAN, NP NEW YORK            NY"/>
    <s v="18 EAST 41ST ST_x000a_14TH FLOOR"/>
    <s v="NEW YORK_x000a_NY"/>
    <n v="10017"/>
    <s v="UNITED STATES"/>
    <s v="'320252260016195992'"/>
    <s v="Business Services-Health Care Services"/>
    <s v="AMEXPLATINUM"/>
    <x v="3"/>
  </r>
  <r>
    <d v="2025-08-14T00:00:00"/>
    <s v="REFAIR.COM* REN FAIRLOUISVILLE          CO"/>
    <n v="241.31"/>
    <s v="CH_3RW30IG1 +18887184253_x000a_REFAIR.COM* REN FAIR N_x000a_LOUISVILLE_x000a_CO_x000a_+18887184253"/>
    <s v="REFAIR.COM* REN FAIRLOUISVILLE          CO"/>
    <s v="357 MCCASLIN BLVD_x000a_SUITE 200"/>
    <s v="LOUISVILLE_x000a_CO"/>
    <n v="80027"/>
    <s v="UNITED STATES"/>
    <s v="'320252260002434955'"/>
    <s v="Entertainment-General Events"/>
    <s v="DELTARESERVE"/>
    <x v="12"/>
  </r>
  <r>
    <d v="2025-08-14T00:00:00"/>
    <s v="LEMONADE INSURANCE  NEW YORK CITY       NY"/>
    <n v="50.67"/>
    <s v="CH_3RVXPVAB +18447338666_x000a_LEMONADE INSURANCE_x000a_NEW YORK CITY_x000a_NY_x000a_+18447338666"/>
    <s v="LEMONADE INSURANCE  NEW YORK CITY       NY"/>
    <s v="5 CROSBY ST FL 3"/>
    <s v="NEW YORK_x000a_NY"/>
    <n v="10013"/>
    <s v="UNITED STATES"/>
    <s v="'320252260006841143'"/>
    <s v="Business Services-Insurance Services"/>
    <s v="AMEXPLATINUM"/>
    <x v="3"/>
  </r>
  <r>
    <d v="2025-08-14T00:00:00"/>
    <s v="ONLINE PAYMENT - THANK YOU"/>
    <n v="-2500"/>
    <s v="ONLINE PAYMENT - THANK YOU"/>
    <s v="ONLINE PAYMENT - THANK YOU"/>
    <m/>
    <m/>
    <m/>
    <m/>
    <s v="'320252260995806406'"/>
    <m/>
    <s v="AMEXPLATINUM"/>
    <x v="0"/>
  </r>
  <r>
    <d v="2025-08-14T00:00:00"/>
    <s v="ONLINE PAYMENT - THANK YOU"/>
    <n v="-2500"/>
    <s v="ONLINE PAYMENT - THANK YOU"/>
    <s v="ONLINE PAYMENT - THANK YOU"/>
    <m/>
    <m/>
    <m/>
    <m/>
    <s v="'320252260995806616'"/>
    <m/>
    <s v="DELTARESERVE"/>
    <x v="0"/>
  </r>
  <r>
    <d v="2025-08-14T00:00:00"/>
    <s v="MOBILE PAYMENT - THANK YOU"/>
    <n v="-5000"/>
    <s v="MOBILE PAYMENT - THANK YOU"/>
    <s v="MOBILE PAYMENT - THANK YOU"/>
    <m/>
    <m/>
    <m/>
    <m/>
    <s v="'320252260996027165'"/>
    <m/>
    <s v="DELTARESERVE"/>
    <x v="0"/>
  </r>
  <r>
    <d v="2025-08-14T00:00:00"/>
    <s v="PATREON* MEMBERSHIP SAN FRANCISCO       CA"/>
    <n v="20.18"/>
    <s v="7H2D5700079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2260998244587'"/>
    <s v="Business Services-Office Supplies"/>
    <s v="AMEXPLATINUM"/>
    <x v="3"/>
  </r>
  <r>
    <d v="2025-08-14T00:00:00"/>
    <s v="JUICE GENERATION 19 NEW YORK            NY"/>
    <n v="12.79"/>
    <s v="31099535226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270033391116'"/>
    <s v="Restaurant-Bar &amp; CafÃ©"/>
    <s v="AMEXPLATINUM"/>
    <x v="3"/>
  </r>
  <r>
    <d v="2025-08-14T00:00:00"/>
    <s v="ERACTOLL 8LGZN9     877-860-1258        NY"/>
    <n v="18.3"/>
    <s v="T205130779  877-860-1258_x000a_ERACTOLL 8LGZN9_x000a_877-860-1258_x000a_NY_x000a_Description : ERACTOLL 8LGZN9 Price : 0.00_x000a_877-860-1258"/>
    <s v="ERACTOLL 8LGZN9     877-860-1258        NY"/>
    <s v="-"/>
    <e v="#NAME?"/>
    <n v="11577"/>
    <s v="UNITED STATES"/>
    <s v="'320252270036073724'"/>
    <s v="Transportation-Tolls &amp; Fees"/>
    <s v="DELTARESERVE"/>
    <x v="9"/>
  </r>
  <r>
    <d v="2025-08-14T00:00:00"/>
    <s v="CVS PHARMACY        NEW YORK            NY"/>
    <n v="35.19"/>
    <s v="10085516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2270037316397'"/>
    <s v="Merchandise &amp; Supplies-Pharmacies"/>
    <s v="AMEXPLATINUM"/>
    <x v="3"/>
  </r>
  <r>
    <d v="2025-08-14T00:00:00"/>
    <s v="AT&amp;T"/>
    <n v="234.9"/>
    <s v="49086636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2270039324275'"/>
    <s v="Communications-Mobile Telecom"/>
    <s v="DELTARESERVE"/>
    <x v="5"/>
  </r>
  <r>
    <d v="2025-08-14T00:00:00"/>
    <s v="ARISTON CAFE 0000   NEW YORK            NY"/>
    <n v="13.48"/>
    <s v="40300148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2270039746636'"/>
    <s v="Restaurant-Bar &amp; CafÃ©"/>
    <s v="AMEXPLATINUM"/>
    <x v="3"/>
  </r>
  <r>
    <d v="2025-08-15T00:00:00"/>
    <s v="ANTHROPOLOGIE  01464NEW YORK            NY"/>
    <n v="310"/>
    <s v="CH_3RWTD1JY +18002822200_x000a_ANTHROPOLOGIE  01464_x000a_NEW YORK_x000a_NY_x000a_+18002822200"/>
    <s v="ANTHROPOLOGIE  01464NEW YORK            NY"/>
    <s v="BLDG 3M_x000a_420 W BROADWAY"/>
    <s v="NEW YORK_x000a_NY"/>
    <n v="10012"/>
    <s v="UNITED STATES"/>
    <s v="'320252270025856010'"/>
    <s v="Merchandise &amp; Supplies-Clothing Stores"/>
    <s v="AMEXPLATINUM"/>
    <x v="3"/>
  </r>
  <r>
    <d v="2025-08-15T00:00:00"/>
    <s v="DRIP DROP CAFE      New York            NY"/>
    <n v="9.17"/>
    <s v="79KhE7oMoc0 squareup.com/receipts_x000a_DRIP DROP CAFE_x000a_New York_x000a_NY_x000a_squareup.com/receipts"/>
    <s v="DRIP DROP CAFE      New York            NY"/>
    <s v="98 THOMPSON ST"/>
    <s v="NEW YORK_x000a_NY"/>
    <s v="10012-3745"/>
    <s v="UNITED STATES"/>
    <s v="'320252270028017428'"/>
    <s v="Restaurant-Bar &amp; CafÃ©"/>
    <s v="AMEXPLATINUM"/>
    <x v="3"/>
  </r>
  <r>
    <d v="2025-08-15T00:00:00"/>
    <s v="APPLE.COM/BILL      INTERNET CHARGE     CA"/>
    <n v="7.48"/>
    <s v="MTK8023XQ2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270028601699'"/>
    <s v="Merchandise &amp; Supplies-Internet Purchase"/>
    <s v="AMEXPLATINUM"/>
    <x v="3"/>
  </r>
  <r>
    <d v="2025-08-15T00:00:00"/>
    <s v="UBER"/>
    <n v="49.05"/>
    <s v="1ZNJ9KMC   WEMV5GL5         10001_x000a_Uber Trip_x000a_help.uber.com_x000a_CA_x000a_WEMV5GL5         10001"/>
    <s v="Uber Trip           help.uber.com       CA"/>
    <s v="1455 MARKET ST_x000a_4TH FLOOR"/>
    <s v="SAN FRANCISCO_x000a_CA"/>
    <n v="94103"/>
    <s v="UNITED STATES"/>
    <s v="'320252270029116050'"/>
    <s v="Transportation-Taxis &amp; Coach"/>
    <s v="AMEXPLATINUM"/>
    <x v="2"/>
  </r>
  <r>
    <d v="2025-08-15T00:00:00"/>
    <s v="MERCURY BAR 0000    NEW YORK            NY"/>
    <n v="139.80000000000001"/>
    <s v="90825164    212-262-7755_x000a_MERCURY BAR 0000_x000a_NEW YORK_x000a_NY_x000a_Description : FOOD/BEVERAGE Price : 0.00_x000a_212-262-7755"/>
    <s v="MERCURY BAR 0000    NEW YORK            NY"/>
    <s v="659 9TH AVE FRNT 5"/>
    <s v="NEW YORK_x000a_NY"/>
    <n v="10036"/>
    <s v="UNITED STATES"/>
    <s v="'320252270029310569'"/>
    <s v="Restaurant-Restaurant"/>
    <s v="AMEXPLATINUM"/>
    <x v="11"/>
  </r>
  <r>
    <d v="2025-08-15T00:00:00"/>
    <s v="UBER"/>
    <n v="49.7"/>
    <s v="FZD78351   3JFUL5IC         10012_x000a_Uber Trip_x000a_help.uber.com_x000a_CA_x000a_3JFUL5IC         10012"/>
    <s v="Uber Trip           help.uber.com       CA"/>
    <s v="1455 MARKET ST_x000a_4TH FLOOR"/>
    <s v="SAN FRANCISCO_x000a_CA"/>
    <n v="94103"/>
    <s v="UNITED STATES"/>
    <s v="'320252270029436995'"/>
    <s v="Transportation-Taxis &amp; Coach"/>
    <s v="AMEXPLATINUM"/>
    <x v="2"/>
  </r>
  <r>
    <d v="2025-08-15T00:00:00"/>
    <s v="UBER"/>
    <n v="44.42"/>
    <s v="KRES1E8T   FMV5VMC4         10013_x000a_Uber Trip_x000a_help.uber.com_x000a_CA_x000a_FMV5VMC4         10013"/>
    <s v="Uber Trip           help.uber.com       CA"/>
    <s v="1455 MARKET ST_x000a_4TH FLOOR"/>
    <s v="SAN FRANCISCO_x000a_CA"/>
    <n v="94103"/>
    <s v="UNITED STATES"/>
    <s v="'320252270029553085'"/>
    <s v="Transportation-Taxis &amp; Coach"/>
    <s v="AMEXPLATINUM"/>
    <x v="2"/>
  </r>
  <r>
    <d v="2025-08-15T00:00:00"/>
    <s v="UBER"/>
    <n v="115.41"/>
    <s v="1G1A8SBW   JFHKMIJR         10036_x000a_Uber Trip_x000a_help.uber.com_x000a_CA_x000a_JFHKMIJR         10036"/>
    <s v="Uber Trip           help.uber.com       CA"/>
    <s v="1455 MARKET ST_x000a_4TH FLOOR"/>
    <s v="SAN FRANCISCO_x000a_CA"/>
    <n v="94103"/>
    <s v="UNITED STATES"/>
    <s v="'320252270029584991'"/>
    <s v="Transportation-Taxis &amp; Coach"/>
    <s v="AMEXPLATINUM"/>
    <x v="2"/>
  </r>
  <r>
    <d v="2025-08-15T00:00:00"/>
    <s v="UBER"/>
    <n v="30.52"/>
    <s v="C0XE6SA4   ZLT7WH4P         10013_x000a_Uber Trip_x000a_help.uber.com_x000a_CA_x000a_ZLT7WH4P         10013"/>
    <s v="Uber Trip           help.uber.com       CA"/>
    <s v="1455 MARKET ST_x000a_4TH FLOOR"/>
    <s v="SAN FRANCISCO_x000a_CA"/>
    <n v="94103"/>
    <s v="UNITED STATES"/>
    <s v="'320252270030233980'"/>
    <s v="Transportation-Taxis &amp; Coach"/>
    <s v="AMEXPLATINUM"/>
    <x v="2"/>
  </r>
  <r>
    <d v="2025-08-15T00:00:00"/>
    <s v="UBER"/>
    <n v="71.2"/>
    <s v="B5MF9VM7   56TXWP66         10012_x000a_Uber Trip_x000a_help.uber.com_x000a_CA_x000a_56TXWP66         10012"/>
    <s v="Uber Trip           help.uber.com       CA"/>
    <s v="1455 MARKET ST_x000a_4TH FLOOR"/>
    <s v="SAN FRANCISCO_x000a_CA"/>
    <n v="94103"/>
    <s v="UNITED STATES"/>
    <s v="'320252270030338266'"/>
    <s v="Transportation-Taxis &amp; Coach"/>
    <s v="AMEXPLATINUM"/>
    <x v="2"/>
  </r>
  <r>
    <d v="2025-08-15T00:00:00"/>
    <s v="RCA INC             WEST HOLLYWOOD      CA"/>
    <n v="119.35"/>
    <s v="######EsndY WOMEN'S CLOTHING_x000a_RCA INC_x000a_WEST HOLLYWOOD_x000a_CA_x000a_WOMEN'S CLOTHING"/>
    <s v="RCA INC             WEST HOLLYWOOD      CA"/>
    <s v="8788 SHOREHAM DRIVE #11"/>
    <s v="LOS ANGELES_x000a_CA"/>
    <n v="90048"/>
    <s v="UNITED STATES"/>
    <s v="'320252270050867814'"/>
    <s v="Merchandise &amp; Supplies-Clothing Stores"/>
    <s v="AMEXPLATINUM"/>
    <x v="3"/>
  </r>
  <r>
    <d v="2025-08-15T00:00:00"/>
    <s v="TST* ASKA 00226859  BROOKLYN            NY"/>
    <n v="1268.77"/>
    <s v="21105175228 RESTAURANT_x000a_TST* ASKA 00226859_x000a_BROOKLYN_x000a_NY_x000a_RESTAURANT"/>
    <s v="TST* ASKA 00226859  BROOKLYN            NY"/>
    <s v="47 SOUTH 5TH ST"/>
    <s v="BROOKLYN_x000a_NY"/>
    <s v="11249-5106"/>
    <s v="UNITED STATES"/>
    <s v="'320252280066619514'"/>
    <s v="Restaurant-Restaurant"/>
    <s v="DELTARESERVE"/>
    <x v="11"/>
  </r>
  <r>
    <d v="2025-08-15T00:00:00"/>
    <s v="COTTON ON MEGA 512 BNEW YORK            NY"/>
    <n v="95.42"/>
    <s v="21746       626-856-3679_x000a_COTTON ON MEGA 512 BROAD 1344_x000a_NEW YORK_x000a_NY_x000a_Description : APPAREL/ACCESSORIES Price : 0.00_x000a_626-856-3679"/>
    <s v="COTTON ON MEGA 512 BNEW YORK            NY"/>
    <s v="512 BROADWAY"/>
    <s v="NEW YORK_x000a_NY"/>
    <n v="10012"/>
    <s v="UNITED STATES"/>
    <s v="'320252280071081600'"/>
    <s v="Merchandise &amp; Supplies-Clothing Stores"/>
    <s v="AMEXPLATINUM"/>
    <x v="3"/>
  </r>
  <r>
    <d v="2025-08-15T00:00:00"/>
    <s v="TABULAR EDITOR APS  COPENHAGEN V        DK"/>
    <n v="10"/>
    <s v="CH_3RWWTWAV +4553503099_x000a_TABULAR EDITOR APS_x000a_COPENHAGEN V_x000a_DK_x000a_+4553503099"/>
    <s v="TABULAR EDITOR APS  COPENHAGEN V        DK"/>
    <s v="SUNDKAJ 125_x000a_NORDHAVN"/>
    <m/>
    <n v="2150"/>
    <s v="DENMARK"/>
    <s v="'320252280073613161'"/>
    <s v="Merchandise &amp; Supplies-Computer Supplies"/>
    <s v="DELTARESERVE"/>
    <x v="1"/>
  </r>
  <r>
    <d v="2025-08-15T00:00:00"/>
    <s v="COVERGIRL.MAXIM.COM SAN ANTONIO         TX"/>
    <n v="20"/>
    <s v="CH_3RWXU8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280078091043'"/>
    <s v="Business Services-Office Supplies"/>
    <s v="AMEXPLATINUM"/>
    <x v="3"/>
  </r>
  <r>
    <d v="2025-08-16T00:00:00"/>
    <s v="UBER"/>
    <n v="62.37"/>
    <s v="2BWZ15BS   34UREG63         10012_x000a_Uber Trip_x000a_help.uber.com_x000a_CA_x000a_34UREG63         10012"/>
    <s v="Uber Trip           help.uber.com       CA"/>
    <s v="1455 MARKET ST_x000a_4TH FLOOR"/>
    <s v="SAN FRANCISCO_x000a_CA"/>
    <n v="94103"/>
    <s v="UNITED STATES"/>
    <s v="'320252280057869284'"/>
    <s v="Transportation-Taxis &amp; Coach"/>
    <s v="AMEXPLATINUM"/>
    <x v="2"/>
  </r>
  <r>
    <d v="2025-08-16T00:00:00"/>
    <s v="UBER"/>
    <n v="28.22"/>
    <s v="BFNF2C70   QTA5LGMK         10021_x000a_Uber Trip_x000a_help.uber.com_x000a_CA_x000a_QTA5LGMK         10021"/>
    <s v="Uber Trip           help.uber.com       CA"/>
    <s v="1455 MARKET ST_x000a_4TH FLOOR"/>
    <s v="SAN FRANCISCO_x000a_CA"/>
    <n v="94103"/>
    <s v="UNITED STATES"/>
    <s v="'320252280058029843'"/>
    <s v="Transportation-Taxis &amp; Coach"/>
    <s v="AMEXPLATINUM"/>
    <x v="2"/>
  </r>
  <r>
    <d v="2025-08-16T00:00:00"/>
    <s v="UBER"/>
    <n v="42.04"/>
    <s v="QKH04TZB   KBI3B3FO         10013_x000a_Uber Trip_x000a_help.uber.com_x000a_CA_x000a_KBI3B3FO         10013"/>
    <s v="Uber Trip           help.uber.com       CA"/>
    <s v="1455 MARKET ST_x000a_4TH FLOOR"/>
    <s v="SAN FRANCISCO_x000a_CA"/>
    <n v="94103"/>
    <s v="UNITED STATES"/>
    <s v="'320252280058668178'"/>
    <s v="Transportation-Taxis &amp; Coach"/>
    <s v="AMEXPLATINUM"/>
    <x v="2"/>
  </r>
  <r>
    <d v="2025-08-16T00:00:00"/>
    <s v="NY PARASOLS         Ballston Spa        NY"/>
    <n v="73.53"/>
    <s v="D9wHHE5vZMv squareup.com/receipts_x000a_NY PARASOLS_x000a_Ballston Spa_x000a_NY_x000a_squareup.com/receipts"/>
    <s v="NY PARASOLS         Ballston Spa        NY"/>
    <s v="226 HALCYON WAY NORTH EAST"/>
    <s v="FLOYD_x000a_VA"/>
    <s v="24091-2394"/>
    <s v="UNITED STATES"/>
    <s v="'320252280060639774'"/>
    <s v="Merchandise &amp; Supplies-Clothing Stores"/>
    <s v="AMEXPLATINUM"/>
    <x v="3"/>
  </r>
  <r>
    <d v="2025-08-16T00:00:00"/>
    <s v="SPLICE.COM          NEW YORK            NY"/>
    <n v="27.99"/>
    <s v="CH_3RWNC5CF 3235775423_x000a_SPLICE.COM_x000a_NEW YORK_x000a_NY_x000a_3235775423"/>
    <s v="SPLICE.COM          NEW YORK            NY"/>
    <s v="817 BROADWAY FLOOR 4"/>
    <s v="NEW YORK_x000a_NY"/>
    <n v="10003"/>
    <s v="UNITED STATES"/>
    <s v="'320252280062111243'"/>
    <s v="Merchandise &amp; Supplies-Computer Supplies"/>
    <s v="AMEXPLATINUM"/>
    <x v="3"/>
  </r>
  <r>
    <d v="2025-08-16T00:00:00"/>
    <s v="UBER"/>
    <n v="83.2"/>
    <s v="FTCXHJHB   CPP2B5OY         10019_x000a_Uber Trip_x000a_help.uber.com_x000a_CA_x000a_CPP2B5OY         10019"/>
    <s v="Uber Trip           help.uber.com       CA"/>
    <s v="1455 MARKET ST_x000a_4TH FLOOR"/>
    <s v="SAN FRANCISCO_x000a_CA"/>
    <n v="94103"/>
    <s v="UNITED STATES"/>
    <s v="'320252280062567077'"/>
    <s v="Transportation-Taxis &amp; Coach"/>
    <s v="AMEXPLATINUM"/>
    <x v="2"/>
  </r>
  <r>
    <d v="2025-08-16T00:00:00"/>
    <s v="UBER"/>
    <n v="41.24"/>
    <s v="KPGE0660   53YDUSFA         10002_x000a_Uber Trip_x000a_help.uber.com_x000a_CA_x000a_53YDUSFA         10002"/>
    <s v="Uber Trip           help.uber.com       CA"/>
    <s v="1455 MARKET ST_x000a_4TH FLOOR"/>
    <s v="SAN FRANCISCO_x000a_CA"/>
    <n v="94103"/>
    <s v="UNITED STATES"/>
    <s v="'320252280062792779'"/>
    <s v="Transportation-Taxis &amp; Coach"/>
    <s v="AMEXPLATINUM"/>
    <x v="2"/>
  </r>
  <r>
    <d v="2025-08-16T00:00:00"/>
    <s v="SAN MARCOS          Monroe              NY"/>
    <n v="81.19"/>
    <s v="jt0xPkVqoBx squareup.com/receipts_x000a_SAN MARCOS_x000a_Monroe_x000a_NY_x000a_squareup.com/receipts"/>
    <s v="SAN MARCOS          Monroe              NY"/>
    <s v="1790 LA COSTA MDWS DR_x000a_STE 104"/>
    <s v="SAN MARCOS_x000a_CA"/>
    <s v="92078-5177"/>
    <s v="UNITED STATES"/>
    <s v="'320252280063165238'"/>
    <s v="Merchandise &amp; Supplies-Arts &amp; Jewelry"/>
    <s v="AMEXPLATINUM"/>
    <x v="3"/>
  </r>
  <r>
    <d v="2025-08-16T00:00:00"/>
    <s v="UBER"/>
    <n v="54.98"/>
    <s v="4VWG461E   DV2GEGA2         11249_x000a_Uber Trip_x000a_help.uber.com_x000a_CA_x000a_DV2GEGA2         11249"/>
    <s v="Uber Trip           help.uber.com       CA"/>
    <s v="1455 MARKET ST_x000a_4TH FLOOR"/>
    <s v="SAN FRANCISCO_x000a_CA"/>
    <n v="94103"/>
    <s v="UNITED STATES"/>
    <s v="'320252280063355944'"/>
    <s v="Transportation-Taxis &amp; Coach"/>
    <s v="AMEXPLATINUM"/>
    <x v="2"/>
  </r>
  <r>
    <d v="2025-08-17T00:00:00"/>
    <s v="ONLINE PAYMENT - THANK YOU"/>
    <n v="-5000"/>
    <s v="ONLINE PAYMENT - THANK YOU"/>
    <s v="ONLINE PAYMENT - THANK YOU"/>
    <m/>
    <m/>
    <m/>
    <m/>
    <s v="'320252290082157210'"/>
    <m/>
    <s v="DELTARESERVE"/>
    <x v="0"/>
  </r>
  <r>
    <d v="2025-08-17T00:00:00"/>
    <s v="UBER"/>
    <n v="26.89"/>
    <s v="1KPM7YT6   IELULBKR         10012_x000a_Uber Trip_x000a_help.uber.com_x000a_CA_x000a_IELULBKR         10012"/>
    <s v="Uber Trip           help.uber.com       CA"/>
    <s v="1455 MARKET ST_x000a_4TH FLOOR"/>
    <s v="SAN FRANCISCO_x000a_CA"/>
    <n v="94103"/>
    <s v="UNITED STATES"/>
    <s v="'320252290085309466'"/>
    <s v="Transportation-Taxis &amp; Coach"/>
    <s v="AMEXPLATINUM"/>
    <x v="2"/>
  </r>
  <r>
    <d v="2025-08-17T00:00:00"/>
    <s v="TST* JOE COFFEE - LANEW YORK            NY"/>
    <n v="17.25"/>
    <s v="WMEOsAWhx00 2129247400_x000a_TST* JOE COFFEE - LAGUARD 300633109_x000a_NEW YORK_x000a_NY_x000a_Description : RESTAURANTS Price : 0.1725_x000a_2129247400"/>
    <s v="TST* JOE COFFEE - LANEW YORK            NY"/>
    <s v="550 LAGUARDIA PLACE"/>
    <s v="NEW YORK_x000a_NY"/>
    <n v="10012"/>
    <s v="UNITED STATES"/>
    <s v="'320252290090168626'"/>
    <s v="Merchandise &amp; Supplies-Groceries"/>
    <s v="AMEXPLATINUM"/>
    <x v="3"/>
  </r>
  <r>
    <d v="2025-08-17T00:00:00"/>
    <s v="JUICE GENERATION 19 NEW YORK            NY"/>
    <n v="12.79"/>
    <s v="31099535229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300119296527'"/>
    <s v="Restaurant-Bar &amp; CafÃ©"/>
    <s v="AMEXPLATINUM"/>
    <x v="3"/>
  </r>
  <r>
    <d v="2025-08-17T00:00:00"/>
    <s v="WEGMANS ASTOR PLACE NEW YORK            NY"/>
    <n v="36.29"/>
    <s v="W15640600445854293656_x000a_WEGMANS ASTOR PLACE 156 000000156_x000a_NEW YORK_x000a_NY_x000a_5854293656"/>
    <s v="WEGMANS ASTOR PLACE NEW YORK            NY"/>
    <s v="770 BROADWAY"/>
    <s v="NEW YORK_x000a_NY"/>
    <n v="10003"/>
    <s v="UNITED STATES"/>
    <s v="'320252300124835234'"/>
    <s v="Merchandise &amp; Supplies-Groceries"/>
    <s v="AMEXPLATINUM"/>
    <x v="3"/>
  </r>
  <r>
    <d v="2025-08-17T00:00:00"/>
    <s v="ACTBLUE* JOSH.WALLENBOSTON              MA"/>
    <n v="1000"/>
    <s v="CH_3RXLMGDG +16175177600_x000a_ACTBLUE* JOSH.WALLENST_x000a_BOSTON_x000a_MA_x000a_+16175177600"/>
    <s v="ACTBLUE* JOSH.WALLENBOSTON              MA"/>
    <s v="366 SUMMER ST"/>
    <s v="SOMERVILLE_x000a_MA"/>
    <s v="02144"/>
    <s v="UNITED STATES"/>
    <s v="'320252300126386159'"/>
    <s v="Other-Charities"/>
    <s v="DELTARESERVE"/>
    <x v="10"/>
  </r>
  <r>
    <d v="2025-08-17T00:00:00"/>
    <s v="ACTBLUE* JOSH.WALLENBOSTON              MA"/>
    <n v="100"/>
    <s v="CH_3RXLMFEF +16175177600_x000a_ACTBLUE* JOSH.WALLENST_x000a_BOSTON_x000a_MA_x000a_+16175177600"/>
    <s v="ACTBLUE* JOSH.WALLENBOSTON              MA"/>
    <s v="366 SUMMER ST"/>
    <s v="SOMERVILLE_x000a_MA"/>
    <s v="02144"/>
    <s v="UNITED STATES"/>
    <s v="'320252300126388144'"/>
    <s v="Other-Charities"/>
    <s v="DELTARESERVE"/>
    <x v="10"/>
  </r>
  <r>
    <d v="2025-08-18T00:00:00"/>
    <s v="GRUBHUB*JACKSWIFEFRENEW YORK            NY"/>
    <n v="219.06"/>
    <s v="QDNDH3WT    8775851085_x000a_GRUBHUB*JACKSWIFEFREDA_x000a_NEW YORK_x000a_NY_x000a_8775851085"/>
    <s v="GRUBHUB*JACKSWIFEFRENEW YORK            NY"/>
    <s v="SUITE 2100_x000a_111 W WASHINGTON"/>
    <s v="CHICAGO_x000a_IL"/>
    <n v="60602"/>
    <s v="UNITED STATES"/>
    <s v="'320252300110456457'"/>
    <s v="Restaurant-Restaurant"/>
    <s v="AMEXPLATINUM"/>
    <x v="3"/>
  </r>
  <r>
    <d v="2025-08-18T00:00:00"/>
    <s v="THE CLEANERS IO, LLCNEW YORK            NY"/>
    <n v="36.770000000000003"/>
    <s v="JyLEVqNHdRx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300111365355'"/>
    <s v="Business Services-Other Services"/>
    <s v="AMEXPLATINUM"/>
    <x v="8"/>
  </r>
  <r>
    <d v="2025-08-18T00:00:00"/>
    <s v="ROXY HOTEL ROXY HOTENEW YORK            NY"/>
    <n v="2826.66"/>
    <s v="45179156    212-519-6600_x000a_LODGING_x000a_ROXY HOTEL ROXY HOTEL_x000a_NEW YORK_x000a_NY"/>
    <s v="ROXY HOTEL ROXY HOTENEW YORK            NY"/>
    <s v="2 AVE OF THE AMERICAS"/>
    <s v="NEW YORK_x000a_NY"/>
    <s v="10013-2401"/>
    <s v="UNITED STATES"/>
    <s v="'320252300118040968'"/>
    <s v="Travel-Lodging"/>
    <s v="DELTARESERVE"/>
    <x v="3"/>
  </r>
  <r>
    <d v="2025-08-18T00:00:00"/>
    <s v="COVERGIRL.MAXIM.COM SAN ANTONIO         TX"/>
    <n v="10"/>
    <s v="CH_3RXX21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300132113727'"/>
    <s v="Business Services-Office Supplies"/>
    <s v="AMEXPLATINUM"/>
    <x v="3"/>
  </r>
  <r>
    <d v="2025-08-18T00:00:00"/>
    <s v="ENTERPRISE RENT-A-CANEW YORK            NY"/>
    <n v="885.96"/>
    <s v="024090613   212-5332900_x000a_ENTERPRISE RENT-A-CAR_x000a_NEW YORK_x000a_NY"/>
    <s v="ENTERPRISE RENT-A-CANEW YORK            NY"/>
    <s v="221 THOMPSON ST"/>
    <s v="NEW YORK_x000a_NY"/>
    <n v="10012"/>
    <s v="UNITED STATES"/>
    <s v="'320252310155006735'"/>
    <s v="Travel-Vehicle Rental"/>
    <s v="DELTARESERVE"/>
    <x v="9"/>
  </r>
  <r>
    <d v="2025-08-19T00:00:00"/>
    <s v="DISTROKID: DISTROVIDNEW YORK            NY"/>
    <n v="105.93"/>
    <s v="CH_2RXWSRJS +14153666101_x000a_DISTROKID: DISTROVID_x000a_NEW YORK_x000a_NY_x000a_+14153666101"/>
    <s v="DISTROKID: DISTROVIDNEW YORK            NY"/>
    <s v="228 PARK AVE SOUTH"/>
    <s v="NEW YORK_x000a_NY"/>
    <n v="10003"/>
    <s v="UNITED STATES"/>
    <s v="'320252310138125319'"/>
    <s v="Other-Miscellaneous"/>
    <s v="AMEXPLATINUM"/>
    <x v="3"/>
  </r>
  <r>
    <d v="2025-08-19T00:00:00"/>
    <s v="JUICE GENERATION 19 NEW YORK            NY"/>
    <n v="12.79"/>
    <s v="31099535231 FAST FOOD RESTAURANT_x000a_JUICE GENERATION 19 00-08044345810_x000a_NEW YORK_x000a_NY_x000a_FAST FOOD RESTAURANT"/>
    <s v="JUICE GENERATION 19 NEW YORK            NY"/>
    <s v="4 ASTOR PLACE"/>
    <s v="NEW YORK_x000a_NY"/>
    <n v="10003"/>
    <s v="UNITED STATES"/>
    <s v="'320252320175378331'"/>
    <s v="Restaurant-Bar &amp; CafÃ©"/>
    <s v="AMEXPLATINUM"/>
    <x v="3"/>
  </r>
  <r>
    <d v="2025-08-19T00:00:00"/>
    <s v="DISTROKID EXTRAS    NEW YORK            NY"/>
    <n v="1.06"/>
    <s v="CH_2RY1D9JS +14153666101_x000a_DISTROKID EXTRAS_x000a_NEW YORK_x000a_NY_x000a_+14153666101"/>
    <s v="DISTROKID EXTRAS    NEW YORK            NY"/>
    <s v="228 PARK AVE SOUTH"/>
    <s v="NEW YORK_x000a_NY"/>
    <n v="10003"/>
    <s v="UNITED STATES"/>
    <s v="'320252320179925217'"/>
    <s v="Other-Miscellaneous"/>
    <s v="AMEXPLATINUM"/>
    <x v="3"/>
  </r>
  <r>
    <d v="2025-08-19T00:00:00"/>
    <s v="GRUBHUB*BLUERIBBONSUNEW YORK            NY"/>
    <n v="206.75"/>
    <s v="K6P783YJ    8775851085_x000a_GRUBHUB*BLUERIBBONSUSH_x000a_NEW YORK_x000a_NY_x000a_8775851085"/>
    <s v="GRUBHUB*BLUERIBBONSUNEW YORK            NY"/>
    <s v="SUITE 2100_x000a_111 W WASHINGTON"/>
    <s v="CHICAGO_x000a_IL"/>
    <n v="60602"/>
    <s v="UNITED STATES"/>
    <s v="'320252320180453826'"/>
    <s v="Restaurant-Restaurant"/>
    <s v="AMEXPLATINUM"/>
    <x v="3"/>
  </r>
  <r>
    <d v="2025-08-19T00:00:00"/>
    <s v="WHOLEFDS USQ 10162 0NEW YORK            NY"/>
    <n v="111.02"/>
    <s v="0M9113LITFF 2126735388_x000a_WHOLEFDS USQ 10162 000010162_x000a_NEW YORK_x000a_NY_x000a_Description : GROCERY STORES Price : 1.1102_x000a_2126735388"/>
    <s v="WHOLEFDS USQ 10162 0NEW YORK            NY"/>
    <s v="250 7TH AVE STE 511"/>
    <s v="NEW YORK_x000a_NY"/>
    <n v="10001"/>
    <s v="UNITED STATES"/>
    <s v="'320252320181771423'"/>
    <s v="Merchandise &amp; Supplies-Groceries"/>
    <s v="AMEXPLATINUM"/>
    <x v="3"/>
  </r>
  <r>
    <d v="2025-08-19T00:00:00"/>
    <s v="DISTROKID.COM       NEW YORK            NY"/>
    <n v="11.22"/>
    <s v="CH_2RY1DEJS +14153666101_x000a_DISTROKID.COM_x000a_NEW YORK_x000a_NY_x000a_+14153666101"/>
    <s v="DISTROKID.COM       NEW YORK            NY"/>
    <s v="228 PARK AVE SOUTH"/>
    <s v="NEW YORK_x000a_NY"/>
    <n v="10003"/>
    <s v="UNITED STATES"/>
    <s v="'320252320182739987'"/>
    <s v="Other-Miscellaneous"/>
    <s v="AMEXPLATINUM"/>
    <x v="3"/>
  </r>
  <r>
    <d v="2025-08-20T00:00:00"/>
    <s v="NESPRESSO USA, INC. NEW YORK CITY       NY"/>
    <n v="32.25"/>
    <s v="CH_3RYGVGJI +18005621465_x000a_NESPRESSO USA, INC._x000a_NEW YORK CITY_x000a_NY_x000a_+18005621465"/>
    <s v="NESPRESSO USA, INC. NEW YORK CITY       NY"/>
    <s v="111 WEST 33RD ST_x000a_5TH FLOOR"/>
    <s v="NEW YORK CITY_x000a_NY"/>
    <n v="10120"/>
    <s v="UNITED STATES"/>
    <s v="'320252320167425298'"/>
    <s v="Merchandise &amp; Supplies-Groceries"/>
    <s v="AMEXPLATINUM"/>
    <x v="3"/>
  </r>
  <r>
    <d v="2025-08-20T00:00:00"/>
    <s v="FACEBK *CAD89Y8RF2  MENLO PARK"/>
    <n v="48"/>
    <s v="24401382539 ADVERTISING SERVICE_x000a_FACEBK *CAD89Y8RF2_x000a_MENLO PARK_x000a_ADVERTISING SERVICE"/>
    <s v="FACEBK *CAD89Y8RF2  MENLO PARK"/>
    <s v="1 HACKER WAY"/>
    <s v="MENLO PARK_x000a_CA"/>
    <n v="94025"/>
    <s v="UNITED STATES"/>
    <s v="'320252320168425226'"/>
    <s v="Business Services-Advertising Services"/>
    <s v="AMEXPLATINUM"/>
    <x v="3"/>
  </r>
  <r>
    <d v="2025-08-20T00:00:00"/>
    <s v="SPLICE.COM          NEW YORK            NY"/>
    <n v="13.9"/>
    <s v="CH_3RYDBVCF 3235775423_x000a_SPLICE.COM_x000a_NEW YORK_x000a_NY_x000a_3235775423"/>
    <s v="SPLICE.COM          NEW YORK            NY"/>
    <s v="817 BROADWAY FLOOR 4"/>
    <s v="NEW YORK_x000a_NY"/>
    <n v="10003"/>
    <s v="UNITED STATES"/>
    <s v="'320252320169432534'"/>
    <s v="Merchandise &amp; Supplies-Computer Supplies"/>
    <s v="AMEXPLATINUM"/>
    <x v="3"/>
  </r>
  <r>
    <d v="2025-08-20T00:00:00"/>
    <s v="THE CLEANERS IO, LLCNEW YORK            NY"/>
    <n v="95.13"/>
    <s v="NER31JVOYWJ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320169527429'"/>
    <s v="Business Services-Other Services"/>
    <s v="AMEXPLATINUM"/>
    <x v="8"/>
  </r>
  <r>
    <d v="2025-08-20T00:00:00"/>
    <s v="PREM CAR RENTAL PROTECTION 800-228-6855"/>
    <n v="24.95"/>
    <s v="CRA024090613 08/18/2025 NEW YORK_x000a_PREM CAR RENTAL PROTECTION 800-228-6855"/>
    <s v="PREM CAR RENTAL PROTECTION 800-228-6855"/>
    <s v="200 VESEY STREET_x000a_43RD FLOOR"/>
    <s v="NEW YORK_x000a_NY"/>
    <n v="10285"/>
    <s v="UNITED STATES"/>
    <s v="'320252320187312321'"/>
    <s v="Business Services-Insurance Services"/>
    <s v="DELTARESERVE"/>
    <x v="9"/>
  </r>
  <r>
    <d v="2025-08-20T00:00:00"/>
    <s v="CVS PHARMACY        NEW YORK            NY"/>
    <n v="6.29"/>
    <s v="10172324    8007467287_x000a_CVS PHARMACY_x000a_NEW YORK_x000a_NY_x000a_Description : PHARMACIES Price : 0.0629_x000a_8007467287"/>
    <s v="CVS PHARMACY        NEW YORK            NY"/>
    <s v="158 BLEECKER ST"/>
    <s v="NEW YORK_x000a_NY"/>
    <n v="10012"/>
    <s v="UNITED STATES"/>
    <s v="'320252330203814060'"/>
    <s v="Merchandise &amp; Supplies-Pharmacies"/>
    <s v="AMEXPLATINUM"/>
    <x v="3"/>
  </r>
  <r>
    <d v="2025-08-21T00:00:00"/>
    <s v="UBER EATS           help.uber.com       CA"/>
    <n v="167.56"/>
    <s v="RM362AAS   SK3DKVOV         94103_x000a_UBER EATS_x000a_help.uber.com_x000a_CA_x000a_SK3DKVOV         94103"/>
    <s v="UBER EATS           help.uber.com       CA"/>
    <s v="1455 MARKET ST_x000a_-"/>
    <s v="SAN FRANCISCO_x000a_CA"/>
    <n v="94103"/>
    <s v="UNITED STATES"/>
    <s v="'320252330199572640'"/>
    <s v="Restaurant-Restaurant"/>
    <s v="AMEXPLATINUM"/>
    <x v="3"/>
  </r>
  <r>
    <d v="2025-08-21T00:00:00"/>
    <s v="CANVA* I04615-724725CAMDEN              DE"/>
    <n v="15"/>
    <s v="CH_2RYG4KK8 +17372853388_x000a_CANVA* I04615-72472531_x000a_CAMDEN_x000a_DE_x000a_+17372853388"/>
    <s v="CANVA* I04615-724725CAMDEN              DE"/>
    <s v="2140 SOUTH DUPONT HWY"/>
    <s v="CAMDEN_x000a_DE"/>
    <n v="19934"/>
    <s v="UNITED STATES"/>
    <s v="'320252330216489733'"/>
    <s v="Business Services-Professional Services"/>
    <s v="AMEXPLATINUM"/>
    <x v="1"/>
  </r>
  <r>
    <d v="2025-08-21T00:00:00"/>
    <s v="PETCO 3741 3741     NEW YORK            NY"/>
    <n v="58.59"/>
    <s v="32800013    858-453-7845_x000a_PETCO 3741 3741_x000a_NEW YORK_x000a_NY_x000a_Description : PETS/SUPPLIES/ACC Price : 0.00_x000a_858-453-7845"/>
    <s v="PETCO 3741 3741     NEW YORK            NY"/>
    <s v="44 UN SQ EAST"/>
    <s v="NEW YORK_x000a_NY"/>
    <n v="10003"/>
    <s v="UNITED STATES"/>
    <s v="'320252340232750976'"/>
    <s v="Merchandise &amp; Supplies-General Retail"/>
    <s v="AMEXPLATINUM"/>
    <x v="3"/>
  </r>
  <r>
    <d v="2025-08-21T00:00:00"/>
    <s v="ARISTON CAFE 0000   NEW YORK            NY"/>
    <n v="10.34"/>
    <s v="40700181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2340236210252'"/>
    <s v="Restaurant-Bar &amp; CafÃ©"/>
    <s v="AMEXPLATINUM"/>
    <x v="3"/>
  </r>
  <r>
    <d v="2025-08-21T00:00:00"/>
    <s v="COVERGIRL.MAXIM.COM SAN ANTONIO         TX"/>
    <n v="20"/>
    <s v="CH_3RYGQE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340241197273'"/>
    <s v="Business Services-Office Supplies"/>
    <s v="AMEXPLATINUM"/>
    <x v="3"/>
  </r>
  <r>
    <d v="2025-08-21T00:00:00"/>
    <s v="COVERGIRL.MAXIM.COM SAN ANTONIO         TX"/>
    <n v="20"/>
    <s v="CH_3RYGR4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340242667809'"/>
    <s v="Business Services-Office Supplies"/>
    <s v="AMEXPLATINUM"/>
    <x v="3"/>
  </r>
  <r>
    <d v="2025-08-22T00:00:00"/>
    <s v="GITHUB              SAN FRANCISCO       CA"/>
    <n v="135.47999999999999"/>
    <s v="CH_3RYZWXEQ +18774484820_x000a_GITHUB_x000a_SAN FRANCISCO_x000a_CA_x000a_+18774484820"/>
    <s v="GITHUB              SAN FRANCISCO       CA"/>
    <s v="275 BRANNAN ST"/>
    <s v="SAN FRANCISCO_x000a_CA"/>
    <n v="94107"/>
    <s v="UNITED STATES"/>
    <s v="'320252340222060254'"/>
    <s v="Other-Miscellaneous"/>
    <s v="AMEXPLATINUM"/>
    <x v="1"/>
  </r>
  <r>
    <d v="2025-08-22T00:00:00"/>
    <s v="OPENAI *CHATGPT SUBSSAN FRANCISCO       CA"/>
    <n v="21.4"/>
    <s v="CH_3RYW3YC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2340226207750'"/>
    <s v="Merchandise &amp; Supplies-Computer Supplies"/>
    <s v="DELTARESERVE"/>
    <x v="1"/>
  </r>
  <r>
    <d v="2025-08-22T00:00:00"/>
    <s v="UBER EATS           help.uber.com       CA"/>
    <n v="206.26"/>
    <s v="MVZ8Y2MR   OTZWDNI7         94103_x000a_UBER EATS_x000a_help.uber.com_x000a_CA_x000a_OTZWDNI7         94103"/>
    <s v="UBER EATS           help.uber.com       CA"/>
    <s v="1455 MARKET ST_x000a_-"/>
    <s v="SAN FRANCISCO_x000a_CA"/>
    <n v="94103"/>
    <s v="UNITED STATES"/>
    <s v="'320252340228463939'"/>
    <s v="Restaurant-Restaurant"/>
    <s v="AMEXPLATINUM"/>
    <x v="3"/>
  </r>
  <r>
    <d v="2025-08-22T00:00:00"/>
    <s v="ART OF SALES ACADEMYBROOKLYN            NY"/>
    <n v="3750"/>
    <s v="CH_3RYUBVCG +19179396282_x000a_ART OF SALES ACADEMY_x000a_BROOKLYN_x000a_NY_x000a_+19179396282"/>
    <s v="ART OF SALES ACADEMYBROOKLYN            NY"/>
    <s v="10 MAUJER ST_x000a_APT 1"/>
    <s v="BROOKLYN_x000a_NY"/>
    <n v="11206"/>
    <s v="UNITED STATES"/>
    <s v="'320252340245266658'"/>
    <s v="Business Services-Conferences &amp; Training"/>
    <s v="AMEXPLATINUM"/>
    <x v="4"/>
  </r>
  <r>
    <d v="2025-08-22T00:00:00"/>
    <s v="CVS PHARMACY        NEW YORK            NY"/>
    <n v="64.5"/>
    <s v="10172783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2350264634872'"/>
    <s v="Merchandise &amp; Supplies-Pharmacies"/>
    <s v="AMEXPLATINUM"/>
    <x v="3"/>
  </r>
  <r>
    <d v="2025-08-22T00:00:00"/>
    <s v="D J*WSJ             800-568-7625        NJ"/>
    <n v="41.72"/>
    <s v="P-040591098 SUBSRIPTION_x000a_D J*WSJ_x000a_800-568-7625_x000a_NJ_x000a_SUBSRIPTION"/>
    <s v="D J*WSJ             800-568-7625        NJ"/>
    <s v="4300 RTE 1 NORTH"/>
    <s v="SOUTH BRUNSWICK_x000a_NJ"/>
    <s v="08852"/>
    <s v="UNITED STATES"/>
    <s v="'320252350268074774'"/>
    <s v="Merchandise &amp; Supplies-Mail Order"/>
    <s v="AMEXPLATINUM"/>
    <x v="8"/>
  </r>
  <r>
    <d v="2025-08-23T00:00:00"/>
    <s v="UBER EATS           help.uber.com       CA"/>
    <n v="52.68"/>
    <s v="BS4J45G0   6AW7GAHI         94103_x000a_UBER EATS_x000a_help.uber.com_x000a_CA_x000a_6AW7GAHI         94103"/>
    <s v="UBER EATS           help.uber.com       CA"/>
    <s v="1455 MARKET ST_x000a_-"/>
    <s v="SAN FRANCISCO_x000a_CA"/>
    <n v="94103"/>
    <s v="UNITED STATES"/>
    <s v="'320252350259432898'"/>
    <s v="Restaurant-Restaurant"/>
    <s v="AMEXPLATINUM"/>
    <x v="3"/>
  </r>
  <r>
    <d v="2025-08-23T00:00:00"/>
    <s v="UBER EATS           help.uber.com       CA"/>
    <n v="157.1"/>
    <s v="HC5E59NH   CB4NI3XS         94103_x000a_UBER EATS_x000a_help.uber.com_x000a_CA_x000a_CB4NI3XS         94103"/>
    <s v="UBER EATS           help.uber.com       CA"/>
    <s v="1455 MARKET ST_x000a_-"/>
    <s v="SAN FRANCISCO_x000a_CA"/>
    <n v="94103"/>
    <s v="UNITED STATES"/>
    <s v="'320252350259447656'"/>
    <s v="Restaurant-Restaurant"/>
    <s v="AMEXPLATINUM"/>
    <x v="3"/>
  </r>
  <r>
    <d v="2025-08-23T00:00:00"/>
    <s v="AMAZON.COM          AMZN.COM/BILL       WA"/>
    <n v="28.58"/>
    <s v="163UKAC11KF MERCHANDISE_x000a_AMAZON.COM_x000a_AMZN.COM/BILL_x000a_WA_x000a_MERCHANDISE"/>
    <s v="AMAZON.COM          AMZN.COM/BILL       WA"/>
    <s v="410 TERRY AVE N"/>
    <s v="SEATTLE_x000a_WA"/>
    <n v="98109"/>
    <s v="UNITED STATES"/>
    <s v="'320252360293771222'"/>
    <s v="Merchandise &amp; Supplies-Internet Purchase"/>
    <s v="AMEXPLATINUM"/>
    <x v="3"/>
  </r>
  <r>
    <d v="2025-08-24T00:00:00"/>
    <s v="IC* INSTACART       SAN FRANCISCO       CA"/>
    <n v="45.55"/>
    <s v="PZ8HV7XE    8882467822_x000a_IC* INSTACART_x000a_SAN FRANCISCO_x000a_CA_x000a_8882467822"/>
    <s v="IC* INSTACART       SAN FRANCISCO       CA"/>
    <s v="50 BEALE ST_x000a_6TH FLOOR"/>
    <s v="SAN FRANCISCO_x000a_CA"/>
    <n v="94105"/>
    <s v="UNITED STATES"/>
    <s v="'320252370311493992'"/>
    <s v="Merchandise &amp; Supplies-Groceries"/>
    <s v="AMEXPLATINUM"/>
    <x v="3"/>
  </r>
  <r>
    <d v="2025-08-24T00:00:00"/>
    <s v="IC* INSTACART       SAN FRANCISCO       CA"/>
    <n v="0.6"/>
    <s v="HF0247SQ    8882467822_x000a_IC* INSTACART_x000a_SAN FRANCISCO_x000a_CA_x000a_8882467822"/>
    <s v="IC* INSTACART       SAN FRANCISCO       CA"/>
    <s v="50 BEALE ST_x000a_6TH FLOOR"/>
    <s v="SAN FRANCISCO_x000a_CA"/>
    <n v="94105"/>
    <s v="UNITED STATES"/>
    <s v="'320252370311594430'"/>
    <s v="Merchandise &amp; Supplies-Groceries"/>
    <s v="AMEXPLATINUM"/>
    <x v="3"/>
  </r>
  <r>
    <d v="2025-08-24T00:00:00"/>
    <s v="SIREN47906          NEW YORK            NY"/>
    <n v="21.67"/>
    <s v="9FD2C25253B FAST FOOD RESTAURANT_x000a_SIREN47906_x000a_NEW YORK_x000a_NY_x000a_FAST FOOD RESTAURANT"/>
    <s v="SIREN47906          NEW YORK            NY"/>
    <s v="61 9TH AVE"/>
    <s v="NEW YORK_x000a_NY"/>
    <n v="10011"/>
    <s v="UNITED STATES"/>
    <s v="'320252370313169569'"/>
    <s v="Restaurant-Bar &amp; CafÃ©"/>
    <s v="AMEXPLATINUM"/>
    <x v="3"/>
  </r>
  <r>
    <d v="2025-08-24T00:00:00"/>
    <s v="NYCT PAYGO          NEW YORK            NY"/>
    <n v="2.9"/>
    <s v="00844871806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2370315239672'"/>
    <s v="Transportation-Rail Services"/>
    <s v="AMEXPLATINUM"/>
    <x v="14"/>
  </r>
  <r>
    <d v="2025-08-24T00:00:00"/>
    <s v="HAMPTON INN AND SUITSARATOGA SPRINGS    NY"/>
    <n v="1461.46"/>
    <s v="80578871    518-584-2100_x000a_LODGING_x000a_HAMPTON INN AND SUITES SARATOG HAMPTON_x000a_SARATOGA SPRINGS_x000a_NY"/>
    <s v="HAMPTON INN AND SUITSARATOGA SPRINGS    NY"/>
    <s v="25 LK AVE"/>
    <s v="SARATOGA SPRINGS_x000a_NY"/>
    <s v="12866-2313"/>
    <s v="UNITED STATES"/>
    <s v="'320252370316827194'"/>
    <s v="Travel-Lodging"/>
    <s v="AMEXPLATINUM"/>
    <x v="17"/>
  </r>
  <r>
    <d v="2025-08-24T00:00:00"/>
    <s v="EXXONMOBIL 9999     CENTRAL VALLE       NY"/>
    <n v="43.29"/>
    <s v="00009830    845-928-9710_x000a_EXXONMOBIL 9999_x000a_CENTRAL VALLE_x000a_NY_x000a_Description : 001 Price : 0.00_x000a_845-928-9710"/>
    <s v="EXXONMOBIL 9999     CENTRAL VALLE       NY"/>
    <s v="-"/>
    <s v="(800) 243-9966_x000a_TX"/>
    <n v="77389"/>
    <s v="UNITED STATES"/>
    <s v="'320252380345700556'"/>
    <s v="Transportation-Fuel"/>
    <s v="DELTARESERVE"/>
    <x v="7"/>
  </r>
  <r>
    <d v="2025-08-25T00:00:00"/>
    <s v="Interest Charge on Purchases"/>
    <n v="230.75"/>
    <s v="Interest Charge on Purchases"/>
    <s v="Interest Charge on Purchases"/>
    <m/>
    <m/>
    <m/>
    <m/>
    <s v="'150826070000036642'"/>
    <s v="Fees &amp; Adjustments-Fees &amp; Adjustments"/>
    <s v="DELTARESERVE"/>
    <x v="13"/>
  </r>
  <r>
    <d v="2025-08-25T00:00:00"/>
    <s v="CVS PHARMACY        NEW YORK            NY"/>
    <n v="4.99"/>
    <s v="10173838    8007467287_x000a_CVS PHARMACY_x000a_NEW YORK_x000a_NY_x000a_Description : PHARMACIES Price : 0.0499_x000a_8007467287"/>
    <s v="CVS PHARMACY        NEW YORK            NY"/>
    <s v="158 BLEECKER ST"/>
    <s v="NEW YORK_x000a_NY"/>
    <n v="10012"/>
    <s v="UNITED STATES"/>
    <s v="'320252380344202124'"/>
    <s v="Merchandise &amp; Supplies-Pharmacies"/>
    <s v="AMEXPLATINUM"/>
    <x v="3"/>
  </r>
  <r>
    <d v="2025-08-25T00:00:00"/>
    <s v="PAYPAL *FOTOREVYMQE 2885145711          CH"/>
    <n v="47.99"/>
    <s v="10188618900 2885145711_x000a_PAYPAL *FOTOREVYMQE_x000a_2885145711_x000a_CH_x000a_Description : COMPUTER AND DATA P Price : 0.00_x000a_2885145711"/>
    <s v="PAYPAL *FOTOREVYMQE 2885145711          CH"/>
    <s v="."/>
    <s v="San Jose_x000a_CA"/>
    <n v="95131"/>
    <s v="UNITED STATES"/>
    <s v="'320252390375638947'"/>
    <s v="Business Services-Internet Services"/>
    <s v="AMEXPLATINUM"/>
    <x v="3"/>
  </r>
  <r>
    <d v="2025-08-26T00:00:00"/>
    <s v="AMAZON PRIME*8H46S68888-802-3080        WA"/>
    <n v="10.99"/>
    <s v="5NWLQ9O9M4R DIGITAL_x000a_AMAZON PRIME*8H46S68Z3_x000a_888-802-3080_x000a_WA_x000a_DIGITAL"/>
    <s v="AMAZON PRIME*8H46S68888-802-3080        WA"/>
    <s v="1512 2ND AVE"/>
    <s v="SEATTLE_x000a_WA"/>
    <s v="98101-1508"/>
    <s v="UNITED STATES"/>
    <s v="'320252380335571578'"/>
    <s v="Merchandise &amp; Supplies-Internet Purchase"/>
    <s v="DELTARESERVE"/>
    <x v="3"/>
  </r>
  <r>
    <d v="2025-08-26T00:00:00"/>
    <s v="TST* KABAWA 00076343NEW YORK            NY"/>
    <n v="755.72"/>
    <s v="00076343027 RESTAURANT_x000a_TST* KABAWA 00076343_x000a_NEW YORK_x000a_NY_x000a_RESTAURANT"/>
    <s v="TST* KABAWA 00076343NEW YORK            NY"/>
    <s v="8 EXTRA PLACE"/>
    <s v="NEW YORK_x000a_NY"/>
    <n v="10003"/>
    <s v="UNITED STATES"/>
    <s v="'320252390370687017'"/>
    <s v="Restaurant-Restaurant"/>
    <s v="AMEXPLATINUM"/>
    <x v="11"/>
  </r>
  <r>
    <d v="2025-08-26T00:00:00"/>
    <s v="CVS PHARMACY        NEW YORK            NY"/>
    <n v="5"/>
    <s v="10174091    8007467287_x000a_CVS PHARMACY_x000a_NEW YORK_x000a_NY_x000a_Description : PHARMACIES Price : 0.05_x000a_8007467287"/>
    <s v="CVS PHARMACY        NEW YORK            NY"/>
    <s v="158 BLEECKER ST"/>
    <s v="NEW YORK_x000a_NY"/>
    <n v="10012"/>
    <s v="UNITED STATES"/>
    <s v="'320252390371836492'"/>
    <s v="Merchandise &amp; Supplies-Pharmacies"/>
    <s v="AMEXPLATINUM"/>
    <x v="3"/>
  </r>
  <r>
    <d v="2025-08-26T00:00:00"/>
    <s v="ARISTON CAFE 0000   NEW YORK            NY"/>
    <n v="9.8000000000000007"/>
    <s v="40700182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2390371870134'"/>
    <s v="Restaurant-Bar &amp; CafÃ©"/>
    <s v="AMEXPLATINUM"/>
    <x v="3"/>
  </r>
  <r>
    <d v="2025-08-26T00:00:00"/>
    <s v="WHOLEFDS USQ 10162 0NEW YORK            NY"/>
    <n v="43.14"/>
    <s v="081TANHJLJE 2126735388_x000a_WHOLEFDS USQ 10162 000010162_x000a_NEW YORK_x000a_NY_x000a_Description : GROCERY STORES Price : 0.4314_x000a_2126735388"/>
    <s v="WHOLEFDS USQ 10162 0NEW YORK            NY"/>
    <s v="250 7TH AVE STE 511"/>
    <s v="NEW YORK_x000a_NY"/>
    <n v="10001"/>
    <s v="UNITED STATES"/>
    <s v="'320252390373906225'"/>
    <s v="Merchandise &amp; Supplies-Groceries"/>
    <s v="AMEXPLATINUM"/>
    <x v="3"/>
  </r>
  <r>
    <d v="2025-08-26T00:00:00"/>
    <s v="ENTERPRISE RENT-A-CANEW YORK            NY"/>
    <n v="847.2"/>
    <s v="025720530   212-5332900_x000a_ENTERPRISE RENT-A-CAR_x000a_NEW YORK_x000a_NY"/>
    <s v="ENTERPRISE RENT-A-CANEW YORK            NY"/>
    <s v="221 THOMPSON ST"/>
    <s v="NEW YORK_x000a_NY"/>
    <n v="10012"/>
    <s v="UNITED STATES"/>
    <s v="'320252390375423022'"/>
    <s v="Travel-Vehicle Rental"/>
    <s v="DELTARESERVE"/>
    <x v="9"/>
  </r>
  <r>
    <d v="2025-08-26T00:00:00"/>
    <s v="COVERGIRL.MAXIM.COM SAN ANTONIO         TX"/>
    <n v="10"/>
    <s v="CH_3S0S2G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390377110044'"/>
    <s v="Business Services-Office Supplies"/>
    <s v="AMEXPLATINUM"/>
    <x v="3"/>
  </r>
  <r>
    <d v="2025-08-26T00:00:00"/>
    <s v="CALENDLY            AVONDALE ESTATES    GA"/>
    <n v="16.05"/>
    <s v="CH_3S0X6E4Y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2390380449811'"/>
    <s v="Merchandise &amp; Supplies-Computer Supplies"/>
    <s v="AMEXPLATINUM"/>
    <x v="1"/>
  </r>
  <r>
    <d v="2025-08-26T00:00:00"/>
    <s v="PAPERSOURCE -4643 00NEW YORK            NY"/>
    <n v="71.34"/>
    <s v="00046430827 5163388000_x000a_PAPERSOURCE -4643 000004643_x000a_NEW YORK_x000a_NY_x000a_Description : REFER TO RECEIPT Price : 0.00_x000a_5163388000"/>
    <s v="PAPERSOURCE -4643 00NEW YORK            NY"/>
    <s v="75 FIFTH AVE"/>
    <s v="NEW YORK_x000a_NY"/>
    <n v="10003"/>
    <s v="UNITED STATES"/>
    <s v="'320252400410087895'"/>
    <s v="Merchandise &amp; Supplies-Book Stores"/>
    <s v="AMEXPLATINUM"/>
    <x v="3"/>
  </r>
  <r>
    <d v="2025-08-27T00:00:00"/>
    <s v="APPLE.COM/BILL      INTERNET CHARGE     CA"/>
    <n v="49.67"/>
    <s v="MTL88XM36T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400391793494'"/>
    <s v="Merchandise &amp; Supplies-Internet Purchase"/>
    <s v="AMEXPLATINUM"/>
    <x v="3"/>
  </r>
  <r>
    <d v="2025-08-27T00:00:00"/>
    <s v="ERACTOLL 9BXVQH     877-860-1258        NY"/>
    <n v="13.95"/>
    <s v="T206405239  877-860-1258_x000a_ERACTOLL 9BXVQH_x000a_877-860-1258_x000a_NY_x000a_Description : ERACTOLL 9BXVQH Price : 0.00_x000a_877-860-1258"/>
    <s v="ERACTOLL 9BXVQH     877-860-1258        NY"/>
    <s v="-"/>
    <e v="#NAME?"/>
    <n v="11577"/>
    <s v="UNITED STATES"/>
    <s v="'320252400398245212'"/>
    <s v="Transportation-Tolls &amp; Fees"/>
    <s v="DELTARESERVE"/>
    <x v="9"/>
  </r>
  <r>
    <d v="2025-08-28T00:00:00"/>
    <s v="COVERGIRL.MAXIM.COM SAN ANTONIO         TX"/>
    <n v="10"/>
    <s v="CH_3S191K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400387884569'"/>
    <s v="Business Services-Office Supplies"/>
    <s v="AMEXPLATINUM"/>
    <x v="3"/>
  </r>
  <r>
    <d v="2025-08-28T00:00:00"/>
    <s v="COVERGIRL.MAXIM.COM SAN ANTONIO         TX"/>
    <n v="10"/>
    <s v="CH_3S198D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400387889978'"/>
    <s v="Business Services-Office Supplies"/>
    <s v="AMEXPLATINUM"/>
    <x v="3"/>
  </r>
  <r>
    <d v="2025-08-28T00:00:00"/>
    <s v="STUMPTOWN COFFEE ROANew York            NY"/>
    <n v="13.46"/>
    <s v="lWSMMhcUrUW squareup.com/receipts_x000a_STUMPTOWN COFFEE ROASTERS_x000a_New York_x000a_NY_x000a_squareup.com/receipts"/>
    <s v="STUMPTOWN COFFEE ROANew York            NY"/>
    <s v="30 WEST 8TH ST"/>
    <s v="NEW YORK_x000a_NY"/>
    <n v="10011"/>
    <s v="UNITED STATES"/>
    <s v="'320252400394414732'"/>
    <s v="Restaurant-Bar &amp; CafÃ©"/>
    <s v="AMEXPLATINUM"/>
    <x v="3"/>
  </r>
  <r>
    <d v="2025-08-28T00:00:00"/>
    <s v="THE CLEANERS IO, LLCNEW YORK            NY"/>
    <n v="29.07"/>
    <s v="HFj7b5qyi0Y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400395876915'"/>
    <s v="Business Services-Other Services"/>
    <s v="AMEXPLATINUM"/>
    <x v="8"/>
  </r>
  <r>
    <d v="2025-08-28T00:00:00"/>
    <s v="PREM CAR RENTAL PROTECTION 800-228-6855"/>
    <n v="24.95"/>
    <s v="CRA025720530 08/26/2025 NEW YORK_x000a_PREM CAR RENTAL PROTECTION 800-228-6855"/>
    <s v="PREM CAR RENTAL PROTECTION 800-228-6855"/>
    <s v="200 VESEY STREET_x000a_43RD FLOOR"/>
    <s v="NEW YORK_x000a_NY"/>
    <n v="10285"/>
    <s v="UNITED STATES"/>
    <s v="'320252400412420173'"/>
    <s v="Business Services-Insurance Services"/>
    <s v="DELTARESERVE"/>
    <x v="9"/>
  </r>
  <r>
    <d v="2025-08-28T00:00:00"/>
    <s v="TST* AQUA NYC 002103NEW YORK            NY"/>
    <n v="139.22"/>
    <s v="21105175241 RESTAURANT_x000a_TST* AQUA NYC 00210304_x000a_NEW YORK_x000a_NY_x000a_RESTAURANT"/>
    <s v="TST* AQUA NYC 002103NEW YORK            NY"/>
    <s v="902 BROADWAY"/>
    <s v="NEW YORK_x000a_NY"/>
    <n v="10010"/>
    <s v="UNITED STATES"/>
    <s v="'320252410426468454'"/>
    <s v="Restaurant-Restaurant"/>
    <s v="DELTARESERVE"/>
    <x v="11"/>
  </r>
  <r>
    <d v="2025-08-28T00:00:00"/>
    <s v="TST* SAINT URBAN NYCNEW YORK            NY"/>
    <n v="870.19"/>
    <s v="21105175241 RESTAURANT_x000a_TST* SAINT URBAN NYC 00226850_x000a_NEW YORK_x000a_NY_x000a_RESTAURANT"/>
    <s v="TST* SAINT URBAN NYCNEW YORK            NY"/>
    <s v="43 EAST 20TH ST"/>
    <s v="NEW YORK_x000a_NY"/>
    <n v="10003"/>
    <s v="UNITED STATES"/>
    <s v="'320252410426650666'"/>
    <s v="Restaurant-Restaurant"/>
    <s v="AMEXPLATINUM"/>
    <x v="11"/>
  </r>
  <r>
    <d v="2025-08-28T00:00:00"/>
    <s v="STAPLES 01106       MANHATTAN           NY"/>
    <n v="7.35"/>
    <s v="000539864  01106000539864   10003_x000a_CUSTOM UNBOUND DOCUMENT_x000a_STAPLES 01106_x000a_MANHATTAN_x000a_NY_x000a_CUSTOM UNBOUND DOCUMENT_x000a_01106000539864   10003"/>
    <s v="STAPLES 01106       MANHATTAN           NY"/>
    <s v="769 BROADWAY"/>
    <s v="NEW YORK_x000a_NY"/>
    <s v="10003-6803"/>
    <s v="UNITED STATES"/>
    <s v="'320252410430729571'"/>
    <s v="Business Services-Office Supplies"/>
    <s v="AMEXPLATINUM"/>
    <x v="3"/>
  </r>
  <r>
    <d v="2025-08-28T00:00:00"/>
    <s v="WHOLEFDS USQ 10162 0NEW YORK            NY"/>
    <n v="35.24"/>
    <s v="0HIZ5FWNKL6 2126735388_x000a_WHOLEFDS USQ 10162 000010162_x000a_NEW YORK_x000a_NY_x000a_Description : GROCERY STORES Price : 0.3524_x000a_2126735388"/>
    <s v="WHOLEFDS USQ 10162 0NEW YORK            NY"/>
    <s v="250 7TH AVE STE 511"/>
    <s v="NEW YORK_x000a_NY"/>
    <n v="10001"/>
    <s v="UNITED STATES"/>
    <s v="'320252410431150696'"/>
    <s v="Merchandise &amp; Supplies-Groceries"/>
    <s v="AMEXPLATINUM"/>
    <x v="3"/>
  </r>
  <r>
    <d v="2025-08-29T00:00:00"/>
    <s v="UBER"/>
    <n v="56.16"/>
    <s v="5BBV0B99   SJWRBBXX         11225_x000a_Uber Trip_x000a_help.uber.com_x000a_CA_x000a_SJWRBBXX         11225"/>
    <s v="Uber Trip           help.uber.com       CA"/>
    <s v="1455 MARKET ST_x000a_4TH FLOOR"/>
    <s v="SAN FRANCISCO_x000a_CA"/>
    <n v="94103"/>
    <s v="UNITED STATES"/>
    <s v="'320252410418382071'"/>
    <s v="Transportation-Taxis &amp; Coach"/>
    <s v="AMEXPLATINUM"/>
    <x v="2"/>
  </r>
  <r>
    <d v="2025-08-29T00:00:00"/>
    <s v="UBER"/>
    <n v="11.97"/>
    <s v="CM5P0PTR    8005928996_x000a_Uber Trip_x000a_help.uber.com_x000a_CA_x000a_8005928996"/>
    <s v="Uber Trip           help.uber.com       CA"/>
    <s v="1455 MARKET ST_x000a_4TH FLOOR"/>
    <s v="SAN FRANCISCO_x000a_CA"/>
    <n v="94103"/>
    <s v="UNITED STATES"/>
    <s v="'320252410419679589'"/>
    <s v="Transportation-Taxis &amp; Coach"/>
    <s v="AMEXPLATINUM"/>
    <x v="2"/>
  </r>
  <r>
    <d v="2025-08-29T00:00:00"/>
    <s v="UBER"/>
    <n v="33.619999999999997"/>
    <s v="MEFV4V70   MG4H4WFU         10010_x000a_Uber Trip_x000a_help.uber.com_x000a_CA_x000a_MG4H4WFU         10010"/>
    <s v="Uber Trip           help.uber.com       CA"/>
    <s v="1455 MARKET ST_x000a_4TH FLOOR"/>
    <s v="SAN FRANCISCO_x000a_CA"/>
    <n v="94103"/>
    <s v="UNITED STATES"/>
    <s v="'320252410423382834'"/>
    <s v="Transportation-Taxis &amp; Coach"/>
    <s v="AMEXPLATINUM"/>
    <x v="2"/>
  </r>
  <r>
    <d v="2025-08-29T00:00:00"/>
    <s v="WWW.BBG.OR* BROOKLYNBROOKLYN            NY"/>
    <n v="22"/>
    <s v="CH_3S1SRFG1 +18887184253_x000a_WWW.BBG.OR* BROOKLYN B_x000a_BROOKLYN_x000a_NY_x000a_+18887184253"/>
    <s v="WWW.BBG.OR* BROOKLYNBROOKLYN            NY"/>
    <s v="1000 WASHINGTON AVE"/>
    <s v="BROOKLYN_x000a_NY"/>
    <s v="11225-1099"/>
    <s v="UNITED STATES"/>
    <s v="'320252410426961526'"/>
    <s v="Entertainment-Associations"/>
    <s v="AMEXPLATINUM"/>
    <x v="3"/>
  </r>
  <r>
    <d v="2025-08-29T00:00:00"/>
    <s v="TST* KING FISH INT LNEW YORK            NY"/>
    <n v="51.05"/>
    <s v="99999995241 6469546594_x000a_TST* KING FISH INT LLC 300718897_x000a_NEW YORK_x000a_NY_x000a_Description : RESTAURANTS Price : 0.5105_x000a_6469546594"/>
    <s v="TST* KING FISH INT LNEW YORK            NY"/>
    <s v="40 EAST 20TH ST"/>
    <s v="NEW YORK_x000a_NY"/>
    <s v="10003-1318"/>
    <s v="UNITED STATES"/>
    <s v="'320252410428185452'"/>
    <s v="Restaurant-Restaurant"/>
    <s v="DELTARESERVE"/>
    <x v="11"/>
  </r>
  <r>
    <d v="2025-08-29T00:00:00"/>
    <s v="NYCT PAYGO          NEW YORK            NY"/>
    <n v="2.9"/>
    <s v="00848498573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2420459044277'"/>
    <s v="Transportation-Rail Services"/>
    <s v="AMEXPLATINUM"/>
    <x v="14"/>
  </r>
  <r>
    <d v="2025-08-30T00:00:00"/>
    <s v="UBER"/>
    <n v="74.010000000000005"/>
    <s v="1C8TWNJZ   QA2B7VLG         11104_x000a_Uber Trip_x000a_help.uber.com_x000a_CA_x000a_QA2B7VLG         11104"/>
    <s v="Uber Trip           help.uber.com       CA"/>
    <s v="1455 MARKET ST_x000a_4TH FLOOR"/>
    <s v="SAN FRANCISCO_x000a_CA"/>
    <n v="94103"/>
    <s v="UNITED STATES"/>
    <s v="'320252420451846433'"/>
    <s v="Transportation-Taxis &amp; Coach"/>
    <s v="AMEXPLATINUM"/>
    <x v="2"/>
  </r>
  <r>
    <d v="2025-08-30T00:00:00"/>
    <s v="UBER"/>
    <n v="95.53"/>
    <s v="3STA7JM5   7ZFQFUOC         10012_x000a_Uber Trip_x000a_help.uber.com_x000a_CA_x000a_7ZFQFUOC         10012"/>
    <s v="Uber Trip           help.uber.com       CA"/>
    <s v="1455 MARKET ST_x000a_4TH FLOOR"/>
    <s v="SAN FRANCISCO_x000a_CA"/>
    <n v="94103"/>
    <s v="UNITED STATES"/>
    <s v="'320252420451948075'"/>
    <s v="Transportation-Taxis &amp; Coach"/>
    <s v="AMEXPLATINUM"/>
    <x v="2"/>
  </r>
  <r>
    <d v="2025-08-30T00:00:00"/>
    <s v="UBER"/>
    <n v="51.22"/>
    <s v="06MBW9DD   EXO5QA55         11225_x000a_Uber Trip_x000a_help.uber.com_x000a_CA_x000a_EXO5QA55         11225"/>
    <s v="Uber Trip           help.uber.com       CA"/>
    <s v="1455 MARKET ST_x000a_4TH FLOOR"/>
    <s v="SAN FRANCISCO_x000a_CA"/>
    <n v="94103"/>
    <s v="UNITED STATES"/>
    <s v="'320252420452376997'"/>
    <s v="Transportation-Taxis &amp; Coach"/>
    <s v="AMEXPLATINUM"/>
    <x v="2"/>
  </r>
  <r>
    <d v="2025-08-30T00:00:00"/>
    <s v="TST* LE CHENE 300734NEW YORK            NY"/>
    <n v="1520"/>
    <s v="99999995242 3477158155_x000a_TST* LE CHENE 300734976_x000a_NEW YORK_x000a_NY_x000a_Description : RESTAURANTS Price : 15.20_x000a_3477158155"/>
    <s v="TST* LE CHENE 300734NEW YORK            NY"/>
    <s v="76 CARMINE ST"/>
    <s v="NEW YORK_x000a_NY"/>
    <s v="10014-4371"/>
    <s v="UNITED STATES"/>
    <s v="'320252420457903351'"/>
    <s v="Restaurant-Restaurant"/>
    <s v="AMEXPLATINUM"/>
    <x v="11"/>
  </r>
  <r>
    <d v="2025-08-30T00:00:00"/>
    <s v="AMAZON MARKEPLACE NA PA"/>
    <n v="35.9"/>
    <s v="4EKCIP89U6S MERCHANDISE_x000a_AMAZON MARKETPLACE NA PA_x000a_AMZN.COM/BILL_x000a_WA_x000a_MERCHANDISE"/>
    <s v="AMAZON MARKETPLACE NAMZN.COM/BILL       WA"/>
    <s v="410 TERRY AVE N"/>
    <s v="SEATTLE_x000a_WA"/>
    <n v="98109"/>
    <s v="UNITED STATES"/>
    <s v="'320252430491736811'"/>
    <s v="Merchandise &amp; Supplies-Internet Purchase"/>
    <s v="AMEXPLATINUM"/>
    <x v="3"/>
  </r>
  <r>
    <d v="2025-08-30T00:00:00"/>
    <s v="COVERGIRL.MAXIM.COM SAN ANTONIO         TX"/>
    <n v="10"/>
    <s v="CH_3S1URV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430493571902'"/>
    <s v="Business Services-Office Supplies"/>
    <s v="AMEXPLATINUM"/>
    <x v="3"/>
  </r>
  <r>
    <d v="2025-08-31T00:00:00"/>
    <s v="UBER EATS           help.uber.com       CA"/>
    <n v="117.77"/>
    <s v="6R9T5QWA   DLDXKY6O         94103_x000a_UBER EATS_x000a_help.uber.com_x000a_CA_x000a_DLDXKY6O         94103"/>
    <s v="UBER EATS           help.uber.com       CA"/>
    <s v="1455 MARKET ST_x000a_-"/>
    <s v="SAN FRANCISCO_x000a_CA"/>
    <n v="94103"/>
    <s v="UNITED STATES"/>
    <s v="'320252430479580084'"/>
    <s v="Restaurant-Restaurant"/>
    <s v="AMEXPLATINUM"/>
    <x v="3"/>
  </r>
  <r>
    <d v="2025-08-31T00:00:00"/>
    <s v="FACEBK *ELYBAZCRF2  MENLO PARK"/>
    <n v="53"/>
    <s v="24517119494 ADVERTISING SERVICE_x000a_FACEBK *ELYBAZCRF2_x000a_MENLO PARK_x000a_ADVERTISING SERVICE"/>
    <s v="FACEBK *ELYBAZCRF2  MENLO PARK"/>
    <s v="1 HACKER WAY"/>
    <s v="MENLO PARK_x000a_CA"/>
    <n v="94025"/>
    <s v="UNITED STATES"/>
    <s v="'320252430490436753'"/>
    <s v="Business Services-Advertising Services"/>
    <s v="AMEXPLATINUM"/>
    <x v="3"/>
  </r>
  <r>
    <d v="2025-08-31T00:00:00"/>
    <s v="PIRATE.COM          WILMINGTON          DE"/>
    <n v="80"/>
    <s v="CH_3S2IYVDR +12122222222_x000a_PIRATE.COM_x000a_WILMINGTON_x000a_DE_x000a_+12122222222"/>
    <s v="PIRATE.COM          WILMINGTON          DE"/>
    <s v="1013 CTR RD_x000a_SUITE 403 B"/>
    <s v="WILMINGTON_x000a_DE"/>
    <n v="19805"/>
    <s v="UNITED STATES"/>
    <s v="'320252440512736476'"/>
    <s v="Entertainment-Theatrical Events"/>
    <s v="AMEXPLATINUM"/>
    <x v="3"/>
  </r>
  <r>
    <d v="2025-08-31T00:00:00"/>
    <s v="CVS/PHARMACY #10612 NEW YORK            NY"/>
    <n v="40"/>
    <s v="10083894    8007467287_x000a_CVS/PHARMACY #10612 000010612_x000a_NEW YORK_x000a_NY_x000a_Description : PHARMACIES Price : 0.40_x000a_8007467287"/>
    <s v="CVS/PHARMACY #10612 NEW YORK            NY"/>
    <s v="5TH AVE 14TH ST_x000a_SEC"/>
    <s v="MANHATTAN_x000a_NY"/>
    <n v="10011"/>
    <s v="UNITED STATES"/>
    <s v="'320252440515543473'"/>
    <s v="Merchandise &amp; Supplies-Pharmacies"/>
    <s v="AMEXPLATINUM"/>
    <x v="3"/>
  </r>
  <r>
    <d v="2025-09-01T00:00:00"/>
    <s v="Amazon Web Services AWS.Amazon.com      WA"/>
    <n v="576.09"/>
    <s v="46318TNE09Y WEB SERVICES_x000a_Amazon Web Services_x000a_AWS.Amazon.com_x000a_WA_x000a_WEB SERVICES"/>
    <s v="Amazon Web Services AWS.Amazon.com      WA"/>
    <s v="1512 2ND AVE"/>
    <s v="SEATTLE_x000a_WA"/>
    <n v="98101"/>
    <s v="UNITED STATES"/>
    <s v="'320252440502116363'"/>
    <s v="Merchandise &amp; Supplies-Internet Purchase"/>
    <s v="AMEXPLATINUM"/>
    <x v="12"/>
  </r>
  <r>
    <d v="2025-09-01T00:00:00"/>
    <s v="UBER EATS           help.uber.com       CA"/>
    <n v="192.3"/>
    <s v="BXPZA1RH   NMZBVOBB         94103_x000a_UBER EATS_x000a_help.uber.com_x000a_CA_x000a_NMZBVOBB         94103"/>
    <s v="UBER EATS           help.uber.com       CA"/>
    <s v="1455 MARKET ST_x000a_-"/>
    <s v="SAN FRANCISCO_x000a_CA"/>
    <n v="94103"/>
    <s v="UNITED STATES"/>
    <s v="'320252440507032963'"/>
    <s v="Restaurant-Restaurant"/>
    <s v="AMEXPLATINUM"/>
    <x v="3"/>
  </r>
  <r>
    <d v="2025-09-01T00:00:00"/>
    <s v="VERIZON WRLS RCCRNG PMTS"/>
    <n v="334.49"/>
    <s v="N0000004044VZWRLSS*APOCC_x000a_VZW APO_x000a_800-922-0204_x000a_FL_x000a_VZWRLSS*APOCC"/>
    <s v="VZW APO             800-922-0204        FL"/>
    <s v="600 COOLIDGE DR"/>
    <s v="FOLSOM_x000a_CA"/>
    <s v="95630-3155"/>
    <s v="UNITED STATES"/>
    <s v="'320252440512499957'"/>
    <s v="Communications-Mobile Telecom"/>
    <s v="DELTARESERVE"/>
    <x v="5"/>
  </r>
  <r>
    <d v="2025-09-01T00:00:00"/>
    <s v="AMAZON MARKEPLACE NA PA"/>
    <n v="42.44"/>
    <s v="2LVXM214ZA4 MERCHANDISE_x000a_AMAZON MARKETPLACE NA PA_x000a_AMZN.COM/BILL_x000a_WA_x000a_MERCHANDISE"/>
    <s v="AMAZON MARKETPLACE NAMZN.COM/BILL       WA"/>
    <s v="410 TERRY AVE N"/>
    <s v="SEATTLE_x000a_WA"/>
    <n v="98109"/>
    <s v="UNITED STATES"/>
    <s v="'320252450532120830'"/>
    <s v="Merchandise &amp; Supplies-Internet Purchase"/>
    <s v="AMEXPLATINUM"/>
    <x v="3"/>
  </r>
  <r>
    <d v="2025-09-02T00:00:00"/>
    <s v="UBER"/>
    <n v="7.68"/>
    <s v="37BQ4J6B   EXO5QA55         11225_x000a_Uber Trip_x000a_help.uber.com_x000a_CA_x000a_EXO5QA55         11225"/>
    <s v="Uber Trip           help.uber.com       CA"/>
    <s v="1455 MARKET ST_x000a_4TH FLOOR"/>
    <s v="SAN FRANCISCO_x000a_CA"/>
    <n v="94103"/>
    <s v="UNITED STATES"/>
    <s v="'320252450525622965'"/>
    <s v="Transportation-Taxis &amp; Coach"/>
    <s v="AMEXPLATINUM"/>
    <x v="2"/>
  </r>
  <r>
    <d v="2025-09-02T00:00:00"/>
    <s v="APPLE.COM/BILL      INTERNET CHARGE     CA"/>
    <n v="42.68"/>
    <s v="MTK80Z4MTN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450527170407'"/>
    <s v="Merchandise &amp; Supplies-Internet Purchase"/>
    <s v="AMEXPLATINUM"/>
    <x v="3"/>
  </r>
  <r>
    <d v="2025-09-02T00:00:00"/>
    <s v="THE CLEANERS IO, LLCNEW YORK            NY"/>
    <n v="136.26"/>
    <s v="r9ep2E2r2qC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450530424079'"/>
    <s v="Business Services-Other Services"/>
    <s v="DELTARESERVE"/>
    <x v="8"/>
  </r>
  <r>
    <d v="2025-09-02T00:00:00"/>
    <s v="LE CAFE COFFEE      New York            NY"/>
    <n v="9.7100000000000009"/>
    <s v="lMjLuPDqAjF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450530447885'"/>
    <s v="Restaurant-Bar &amp; CafÃ©"/>
    <s v="AMEXPLATINUM"/>
    <x v="3"/>
  </r>
  <r>
    <d v="2025-09-02T00:00:00"/>
    <s v="HUBSPOT INC.        CAMBRIDGE, MASSACHUSMA"/>
    <n v="21.4"/>
    <s v="35504806    COMPUTER PROGRAMMING_x000a_HUBSPOT INC._x000a_CAMBRIDGE, MASSACHUSE_x000a_MA_x000a_COMPUTER PROGRAMMING"/>
    <s v="HUBSPOT INC.        CAMBRIDGE, MASSACHUSMA"/>
    <s v="25 FIRST STREET_x000a_-"/>
    <s v="CAMBRIDGE_x000a_MA"/>
    <s v="02141"/>
    <s v="UNITED STATES"/>
    <s v="'320252450547262794'"/>
    <s v="Business Services-Employment Agencies"/>
    <s v="DELTARESERVE"/>
    <x v="1"/>
  </r>
  <r>
    <d v="2025-09-02T00:00:00"/>
    <s v="AT&amp;T COR DF         ATLANTA             GA"/>
    <n v="117.95"/>
    <s v="42970960   839864578NBI     75202_x000a_CELLULAR PHONES/BEEPERS_x000a_AT&amp;T COR DF_x000a_ATLANTA_x000a_GA_x000a_CELLULAR PHONES/BEEPERS_x000a_839864578NBI     75202"/>
    <s v="AT&amp;T COR DF         ATLANTA             GA"/>
    <s v="675 WEST PEACHTREE STE ST NORTH WEST"/>
    <s v="ATLANTA_x000a_GA"/>
    <s v="30375-0001"/>
    <s v="UNITED STATES"/>
    <s v="'320252460572106198'"/>
    <s v="Merchandise &amp; Supplies-Wholesale Stores"/>
    <s v="AMEXPLATINUM"/>
    <x v="3"/>
  </r>
  <r>
    <d v="2025-09-02T00:00:00"/>
    <s v="ARISTON CAFE 0000   NEW YORK            NY"/>
    <n v="13.77"/>
    <s v="40900199    212-929-4226_x000a_ARISTON CAFE 0000_x000a_NEW YORK_x000a_NY_x000a_Description : FAST FOOD RESTAURAN Price : 0.00_x000a_212-929-4226"/>
    <s v="ARISTON CAFE 0000   NEW YORK            NY"/>
    <s v="78 5TH AVE"/>
    <s v="NEW YORK_x000a_NY"/>
    <n v="10011"/>
    <s v="UNITED STATES"/>
    <s v="'320252460572462483'"/>
    <s v="Restaurant-Bar &amp; CafÃ©"/>
    <s v="AMEXPLATINUM"/>
    <x v="3"/>
  </r>
  <r>
    <d v="2025-09-02T00:00:00"/>
    <s v="TOPTAL.COM          SAN FRANCISCO       CA"/>
    <n v="79"/>
    <s v="CH_2S39YGVY +18886043188_x000a_TOPTAL.COM_x000a_SAN FRANCISCO_x000a_CA_x000a_+18886043188"/>
    <s v="TOPTAL.COM          SAN FRANCISCO       CA"/>
    <s v="548 MARKET ST 36879"/>
    <s v="SAN FRANCISCO_x000a_CA"/>
    <n v="94104"/>
    <s v="UNITED STATES"/>
    <s v="'320252460575834478'"/>
    <s v="Merchandise &amp; Supplies-Computer Supplies"/>
    <s v="DELTARESERVE"/>
    <x v="6"/>
  </r>
  <r>
    <d v="2025-09-03T00:00:00"/>
    <s v="UBER"/>
    <n v="68.709999999999994"/>
    <s v="GQBNX3A1   2WERZDKK         10012_x000a_Uber Trip_x000a_help.uber.com_x000a_CA_x000a_2WERZDKK         10012"/>
    <s v="Uber Trip           help.uber.com       CA"/>
    <s v="1455 MARKET ST_x000a_4TH FLOOR"/>
    <s v="SAN FRANCISCO_x000a_CA"/>
    <n v="94103"/>
    <s v="UNITED STATES"/>
    <s v="'320252460563634409'"/>
    <s v="Transportation-Taxis &amp; Coach"/>
    <s v="AMEXPLATINUM"/>
    <x v="2"/>
  </r>
  <r>
    <d v="2025-09-03T00:00:00"/>
    <s v="MICROSOFT           MSBILL.INFO"/>
    <n v="25.84"/>
    <s v="Z728ATKP3JFZ728ATKP3JFE     98052_x000a_MICROSOFT_x000a_MSBILL.INFO_x000a_Z728ATKP3JFE     98052"/>
    <s v="MICROSOFT           MSBILL.INFO"/>
    <s v="1 MICROSOFT WAY"/>
    <s v="REDMOND_x000a_WA"/>
    <n v="98052"/>
    <s v="UNITED STATES"/>
    <s v="'320252460575589019'"/>
    <s v="Other-Miscellaneous"/>
    <s v="DELTARESERVE"/>
    <x v="1"/>
  </r>
  <r>
    <d v="2025-09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2470595462171'"/>
    <s v="Business Services-Other Services"/>
    <s v="AMEXPLATINUM"/>
    <x v="8"/>
  </r>
  <r>
    <d v="2025-09-03T00:00:00"/>
    <s v="ERACTOLL 7Q1N3L     877-860-1258        NY"/>
    <n v="9.15"/>
    <s v="T207129528  877-860-1258_x000a_ERACTOLL 7Q1N3L_x000a_877-860-1258_x000a_NY_x000a_Description : ERACTOLL 7Q1N3L Price : 0.00_x000a_877-860-1258"/>
    <s v="ERACTOLL 7Q1N3L     877-860-1258        NY"/>
    <s v="-"/>
    <e v="#NAME?"/>
    <n v="11577"/>
    <s v="UNITED STATES"/>
    <s v="'320252470598411069'"/>
    <s v="Transportation-Tolls &amp; Fees"/>
    <s v="DELTARESERVE"/>
    <x v="9"/>
  </r>
  <r>
    <d v="2025-09-03T00:00:00"/>
    <s v="WEGMANS ASTOR PLACE NEW YORK            NY"/>
    <n v="78.430000000000007"/>
    <s v="W15639200915854293656_x000a_WEGMANS ASTOR PLACE 156 000000156_x000a_NEW YORK_x000a_NY_x000a_5854293656"/>
    <s v="WEGMANS ASTOR PLACE NEW YORK            NY"/>
    <s v="770 BROADWAY"/>
    <s v="NEW YORK_x000a_NY"/>
    <n v="10003"/>
    <s v="UNITED STATES"/>
    <s v="'320252470598428466'"/>
    <s v="Merchandise &amp; Supplies-Groceries"/>
    <s v="AMEXPLATINUM"/>
    <x v="3"/>
  </r>
  <r>
    <d v="2025-09-03T00:00:00"/>
    <s v="MSFT * E0500XC4CW BLMSBILL.INFO         WA"/>
    <n v="32.07"/>
    <s v="Z72GAVGYHPQZ72GAVGYHPQ1     12866_x000a_COMPUTER DATA PROCESSIN_x000a_MSFT * E0500XC4CW BLEG_x000a_MSBILL.INFO_x000a_WA_x000a_COMPUTER DATA PROCESSIN_x000a_Z72GAVGYHPQ1     12866"/>
    <s v="MSFT * E0500XC4CW BLMSBILL.INFO         WA"/>
    <s v="8TH FLOOR_x000a_91 MAIN ST"/>
    <s v="DALLAS_x000a_TX"/>
    <n v="75202"/>
    <s v="UNITED STATES"/>
    <s v="'320252470607790661'"/>
    <s v="Other-Miscellaneous"/>
    <s v="AMEXPLATINUM"/>
    <x v="1"/>
  </r>
  <r>
    <d v="2025-09-03T00:00:00"/>
    <s v="MSFT * E0500XC54P BLMSBILL.INFO         WA"/>
    <n v="68.48"/>
    <s v="Z73AAW17NTFZ73AAW17NTFT     12866_x000a_COMPUTER DATA PROCESSIN_x000a_MSFT * E0500XC54P BLEG_x000a_MSBILL.INFO_x000a_WA_x000a_COMPUTER DATA PROCESSIN_x000a_Z73AAW17NTFT     12866"/>
    <s v="MSFT * E0500XC54P BLMSBILL.INFO         WA"/>
    <s v="8TH FLOOR_x000a_91 MAIN ST"/>
    <s v="DALLAS_x000a_TX"/>
    <n v="75202"/>
    <s v="UNITED STATES"/>
    <s v="'320252470607834583'"/>
    <s v="Other-Miscellaneous"/>
    <s v="AMEXPLATINUM"/>
    <x v="1"/>
  </r>
  <r>
    <d v="2025-09-04T00:00:00"/>
    <s v="PEACOCK             NEW YORK CITY       NY"/>
    <n v="10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2470590115215'"/>
    <s v="Communications-Cable &amp; Internet Comm"/>
    <s v="DELTARESERVE"/>
    <x v="3"/>
  </r>
  <r>
    <d v="2025-09-04T00:00:00"/>
    <s v="LE CAFE COFFEE      New York            NY"/>
    <n v="8.44"/>
    <s v="7zzabc9cZ8Q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470591589467'"/>
    <s v="Restaurant-Bar &amp; CafÃ©"/>
    <s v="AMEXPLATINUM"/>
    <x v="3"/>
  </r>
  <r>
    <d v="2025-09-04T00:00:00"/>
    <s v="UBER EATS           help.uber.com       CA"/>
    <n v="106.85"/>
    <s v="P92N9E06   42BPRC2X         94103_x000a_UBER EATS_x000a_help.uber.com_x000a_CA_x000a_42BPRC2X         94103"/>
    <s v="UBER EATS           help.uber.com       CA"/>
    <s v="1455 MARKET ST_x000a_-"/>
    <s v="SAN FRANCISCO_x000a_CA"/>
    <n v="94103"/>
    <s v="UNITED STATES"/>
    <s v="'320252470591957429'"/>
    <s v="Restaurant-Restaurant"/>
    <s v="AMEXPLATINUM"/>
    <x v="3"/>
  </r>
  <r>
    <d v="2025-09-04T00:00:00"/>
    <s v="BT*CLV*VECTORMAGIC  EXCELSIOR           CA"/>
    <n v="9.9499999999999993"/>
    <s v="04146D0A    4152302377_x000a_BT*CLV*VECTORMAGIC_x000a_EXCELSIOR_x000a_CA_x000a_4152302377"/>
    <s v="BT*CLV*VECTORMAGIC  EXCELSIOR           CA"/>
    <s v="2500 SHADYWOOD RD_x000a_STE 510"/>
    <s v="EXCELSIOR_x000a_CA"/>
    <n v="55331"/>
    <s v="UNITED STATES"/>
    <s v="'320252470592111097'"/>
    <s v="Merchandise &amp; Supplies-Computer Supplies"/>
    <s v="AMEXPLATINUM"/>
    <x v="3"/>
  </r>
  <r>
    <d v="2025-09-04T00:00:00"/>
    <s v="MICROSOFT           MSBILL.INFO"/>
    <n v="25.84"/>
    <s v="Z72FAV42X9QZ72FAV42X9Q6     98052_x000a_MICROSOFT_x000a_MSBILL.INFO_x000a_Z72FAV42X9Q6     98052"/>
    <s v="MICROSOFT           MSBILL.INFO"/>
    <s v="1 MICROSOFT WAY"/>
    <s v="REDMOND_x000a_WA"/>
    <n v="98052"/>
    <s v="UNITED STATES"/>
    <s v="'320252470603035465'"/>
    <s v="Other-Miscellaneous"/>
    <s v="DELTARESERVE"/>
    <x v="1"/>
  </r>
  <r>
    <d v="2025-09-04T00:00:00"/>
    <s v="A1010BUSD01         MSBILL.INFO"/>
    <n v="42.8"/>
    <s v="Z72GAUWF9YHZ72GAUWF9YH7     98052_x000a_A1010BUSD01_x000a_MSBILL.INFO_x000a_Z72GAUWF9YH7     98052"/>
    <s v="A1010BUSD01         MSBILL.INFO"/>
    <s v="8TH FLOOR_x000a_91 MAIN ST"/>
    <s v="DALLAS_x000a_TX"/>
    <n v="75202"/>
    <s v="UNITED STATES"/>
    <s v="'320252470607779405'"/>
    <s v="Other-Miscellaneous"/>
    <s v="AMEXPLATINUM"/>
    <x v="1"/>
  </r>
  <r>
    <d v="2025-09-04T00:00:00"/>
    <s v="A1010BUSD01         MSBILL.INFO"/>
    <n v="25.68"/>
    <s v="Z72GAVGYHPQZ72GAVGYHPQ0     98052_x000a_A1010BUSD01_x000a_MSBILL.INFO_x000a_Z72GAVGYHPQ0     98052"/>
    <s v="A1010BUSD01         MSBILL.INFO"/>
    <s v="8TH FLOOR_x000a_91 MAIN ST"/>
    <s v="DALLAS_x000a_TX"/>
    <n v="75202"/>
    <s v="UNITED STATES"/>
    <s v="'320252470607793086'"/>
    <s v="Other-Miscellaneous"/>
    <s v="AMEXPLATINUM"/>
    <x v="1"/>
  </r>
  <r>
    <d v="2025-09-04T00:00:00"/>
    <s v="A1010BUSD01         REDMOND"/>
    <n v="21.4"/>
    <s v="Z72DAW4TET8Z72DAW4TET8X     98052_x000a_A1010BUSD01_x000a_REDMOND_x000a_Z72DAW4TET8X     98052"/>
    <s v="A1010BUSD01         REDMOND"/>
    <s v="8TH FLOOR_x000a_91 MAIN ST"/>
    <s v="DALLAS_x000a_TX"/>
    <n v="75202"/>
    <s v="UNITED STATES"/>
    <s v="'320252470607839964'"/>
    <s v="Other-Miscellaneous"/>
    <s v="AMEXPLATINUM"/>
    <x v="1"/>
  </r>
  <r>
    <d v="2025-09-04T00:00:00"/>
    <s v="A1010BUSD01         MSBILL.INFO"/>
    <n v="289.06"/>
    <s v="Z72FAWU8I09Z72FAWU8I09N     98052_x000a_A1010BUSD01_x000a_MSBILL.INFO_x000a_Z72FAWU8I09N     98052"/>
    <s v="A1010BUSD01         MSBILL.INFO"/>
    <s v="8TH FLOOR_x000a_91 MAIN ST"/>
    <s v="DALLAS_x000a_TX"/>
    <n v="75202"/>
    <s v="UNITED STATES"/>
    <s v="'320252470607847929'"/>
    <s v="Other-Miscellaneous"/>
    <s v="AMEXPLATINUM"/>
    <x v="1"/>
  </r>
  <r>
    <d v="2025-09-04T00:00:00"/>
    <s v="ELECTRONIC PAYMENT RECEIVED-THANK"/>
    <n v="-17500"/>
    <s v="ELECTRONIC PAYMENT RECEIVED-THANK"/>
    <s v="ELECTRONIC PAYMENT RECEIVED-THANK"/>
    <m/>
    <m/>
    <m/>
    <m/>
    <s v="'320252470608386688'"/>
    <m/>
    <s v="AMEXPLATINUM"/>
    <x v="0"/>
  </r>
  <r>
    <d v="2025-09-04T00:00:00"/>
    <s v="IN *ERP BLOG LLC    ARDMORE             PA"/>
    <n v="175"/>
    <s v="248I1A70GT867993            19003_x000a_IN *ERP BLOG LLC_x000a_ARDMORE_x000a_PA_x000a_67993            19003"/>
    <s v="IN *ERP BLOG LLC    ARDMORE             PA"/>
    <s v="1906 CHESTNUT CIR"/>
    <s v="ARDMORE_x000a_PA"/>
    <n v="19003"/>
    <s v="UNITED STATES"/>
    <s v="'320252480614753742'"/>
    <s v="Merchandise &amp; Supplies-General Retail"/>
    <s v="AMEXPLATINUM"/>
    <x v="4"/>
  </r>
  <r>
    <d v="2025-09-04T00:00:00"/>
    <s v="UBER EATS           help.uber.com       CA"/>
    <n v="20.46"/>
    <s v="MJDFSP01   42BPRC2X         94103_x000a_UBER EATS_x000a_help.uber.com_x000a_CA_x000a_42BPRC2X         94103"/>
    <s v="UBER EATS           help.uber.com       CA"/>
    <s v="1455 MARKET ST_x000a_-"/>
    <s v="SAN FRANCISCO_x000a_CA"/>
    <n v="94103"/>
    <s v="UNITED STATES"/>
    <s v="'320252480619433889'"/>
    <s v="Restaurant-Restaurant"/>
    <s v="AMEXPLATINUM"/>
    <x v="3"/>
  </r>
  <r>
    <d v="2025-09-04T00:00:00"/>
    <s v="AMAZON MARKEPLACE NA PA"/>
    <n v="10.33"/>
    <s v="XUBZRGINXWO MERCHANDISE_x000a_AMAZON MARKETPLACE NA PA_x000a_AMZN.COM/BILL_x000a_WA_x000a_MERCHANDISE"/>
    <s v="AMAZON MARKETPLACE NAMZN.COM/BILL       WA"/>
    <s v="410 TERRY AVE N"/>
    <s v="SEATTLE_x000a_WA"/>
    <n v="98109"/>
    <s v="UNITED STATES"/>
    <s v="'320252480624130705'"/>
    <s v="Merchandise &amp; Supplies-Internet Purchase"/>
    <s v="AMEXPLATINUM"/>
    <x v="3"/>
  </r>
  <r>
    <d v="2025-09-04T00:00:00"/>
    <s v="PETCO 3741 3741     NEW YORK            NY"/>
    <n v="90.8"/>
    <s v="37400030    858-453-7845_x000a_PETCO 3741 3741_x000a_NEW YORK_x000a_NY_x000a_Description : PETS/SUPPLIES/ACC Price : 0.00_x000a_858-453-7845"/>
    <s v="PETCO 3741 3741     NEW YORK            NY"/>
    <s v="44 UN SQ EAST"/>
    <s v="NEW YORK_x000a_NY"/>
    <n v="10003"/>
    <s v="UNITED STATES"/>
    <s v="'320252480626561058'"/>
    <s v="Merchandise &amp; Supplies-General Retail"/>
    <s v="AMEXPLATINUM"/>
    <x v="3"/>
  </r>
  <r>
    <d v="2025-09-04T00:00:00"/>
    <s v="ERACTOLL 7Y329K     877-860-1258        NY"/>
    <n v="9.15"/>
    <s v="T207268778  877-860-1258_x000a_ERACTOLL 7Y329K_x000a_877-860-1258_x000a_NY_x000a_Description : ERACTOLL 7Y329K Price : 0.00_x000a_877-860-1258"/>
    <s v="ERACTOLL 7Y329K     877-860-1258        NY"/>
    <s v="-"/>
    <e v="#NAME?"/>
    <n v="11577"/>
    <s v="UNITED STATES"/>
    <s v="'320252480628526888'"/>
    <s v="Transportation-Tolls &amp; Fees"/>
    <s v="DELTARESERVE"/>
    <x v="9"/>
  </r>
  <r>
    <d v="2025-09-04T00:00:00"/>
    <s v="WHOLEFDS USQ 10162 0NEW YORK            NY"/>
    <n v="34.18"/>
    <s v="092BDXQPU6B 2126735388_x000a_WHOLEFDS USQ 10162 000010162_x000a_NEW YORK_x000a_NY_x000a_Description : GROCERY STORES Price : 0.3418_x000a_2126735388"/>
    <s v="WHOLEFDS USQ 10162 0NEW YORK            NY"/>
    <s v="250 7TH AVE STE 511"/>
    <s v="NEW YORK_x000a_NY"/>
    <n v="10001"/>
    <s v="UNITED STATES"/>
    <s v="'320252480629164481'"/>
    <s v="Merchandise &amp; Supplies-Groceries"/>
    <s v="AMEXPLATINUM"/>
    <x v="3"/>
  </r>
  <r>
    <d v="2025-09-04T00:00:00"/>
    <s v="KALL8 00089590000642SEATTLE             WA"/>
    <n v="19.059999999999999"/>
    <s v="73011005247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2480631433082'"/>
    <s v="Other-Miscellaneous"/>
    <s v="AMEXPLATINUM"/>
    <x v="5"/>
  </r>
  <r>
    <d v="2025-09-05T00:00:00"/>
    <s v="UBER"/>
    <n v="13.74"/>
    <s v="585F1VM2   2WERZDKK         10012_x000a_Uber Trip_x000a_help.uber.com_x000a_CA_x000a_2WERZDKK         10012"/>
    <s v="Uber Trip           help.uber.com       CA"/>
    <s v="1455 MARKET ST_x000a_4TH FLOOR"/>
    <s v="SAN FRANCISCO_x000a_CA"/>
    <n v="94103"/>
    <s v="UNITED STATES"/>
    <s v="'320252480615143103'"/>
    <s v="Transportation-Taxis &amp; Coach"/>
    <s v="AMEXPLATINUM"/>
    <x v="2"/>
  </r>
  <r>
    <d v="2025-09-05T00:00:00"/>
    <s v="UBER"/>
    <n v="65.709999999999994"/>
    <s v="0QYVEJ6D   AKXYUT52         10018_x000a_Uber Trip_x000a_help.uber.com_x000a_CA_x000a_AKXYUT52         10018"/>
    <s v="Uber Trip           help.uber.com       CA"/>
    <s v="1455 MARKET ST_x000a_4TH FLOOR"/>
    <s v="SAN FRANCISCO_x000a_CA"/>
    <n v="94103"/>
    <s v="UNITED STATES"/>
    <s v="'320252480615171714'"/>
    <s v="Transportation-Taxis &amp; Coach"/>
    <s v="AMEXPLATINUM"/>
    <x v="2"/>
  </r>
  <r>
    <d v="2025-09-05T00:00:00"/>
    <s v="GITHUB              SAN FRANCISCO       CA"/>
    <n v="300"/>
    <s v="CH_3S43SYEQ +18774484820_x000a_GITHUB_x000a_SAN FRANCISCO_x000a_CA_x000a_+18774484820"/>
    <s v="GITHUB              SAN FRANCISCO       CA"/>
    <s v="275 BRANNAN ST"/>
    <s v="SAN FRANCISCO_x000a_CA"/>
    <n v="94107"/>
    <s v="UNITED STATES"/>
    <s v="'320252480616240805'"/>
    <s v="Other-Miscellaneous"/>
    <s v="AMEXPLATINUM"/>
    <x v="1"/>
  </r>
  <r>
    <d v="2025-09-05T00:00:00"/>
    <s v="GITHUB, INC.        SAN FRANCISCO       CA"/>
    <n v="4"/>
    <s v="CH_3S43SZJF +18774484820_x000a_GITHUB, INC._x000a_SAN FRANCISCO_x000a_CA_x000a_+18774484820"/>
    <s v="GITHUB, INC.        SAN FRANCISCO       CA"/>
    <s v="275 BRANNAN ST"/>
    <s v="SAN FRANCISCO_x000a_CA"/>
    <n v="94107"/>
    <s v="UNITED STATES"/>
    <s v="'320252480617264209'"/>
    <s v="Other-Miscellaneous"/>
    <s v="AMEXPLATINUM"/>
    <x v="1"/>
  </r>
  <r>
    <d v="2025-09-05T00:00:00"/>
    <s v="EB *BUILD AI AGENTS SAN FRANCISCO       CA"/>
    <n v="321.95"/>
    <s v="BJKE9JR0   13188800463      94105_x000a_EB *BUILD AI AGENTS OV_x000a_SAN FRANCISCO_x000a_CA_x000a_13188800463      94105"/>
    <s v="EB *BUILD AI AGENTS SAN FRANCISCO       CA"/>
    <s v="155 5TH ST 7"/>
    <s v="SAN FRANCISCO_x000a_CA"/>
    <s v="94103-2919"/>
    <s v="UNITED STATES"/>
    <s v="'320252480619929039'"/>
    <s v="Entertainment-General Events"/>
    <s v="DELTARESERVE"/>
    <x v="1"/>
  </r>
  <r>
    <d v="2025-09-05T00:00:00"/>
    <s v="UBER EATS           help.uber.com       CA"/>
    <n v="299.88"/>
    <s v="N3HDKPF4   BJA4X5R3         94103_x000a_UBER EATS_x000a_help.uber.com_x000a_CA_x000a_BJA4X5R3         94103"/>
    <s v="UBER EATS           help.uber.com       CA"/>
    <s v="1455 MARKET ST_x000a_-"/>
    <s v="SAN FRANCISCO_x000a_CA"/>
    <n v="94103"/>
    <s v="UNITED STATES"/>
    <s v="'320252480620326109'"/>
    <s v="Restaurant-Restaurant"/>
    <s v="AMEXPLATINUM"/>
    <x v="3"/>
  </r>
  <r>
    <d v="2025-09-05T00:00:00"/>
    <s v="EB *THE NO-CODE AI ASAN FRANCISCO       CA"/>
    <n v="248.56"/>
    <s v="15N2BB2X   13188752393      94105_x000a_EB *THE NO-CODE AI AGE_x000a_SAN FRANCISCO_x000a_CA_x000a_13188752393      94105"/>
    <s v="EB *THE NO-CODE AI ASAN FRANCISCO       CA"/>
    <s v="155 5TH ST 7"/>
    <s v="SAN FRANCISCO_x000a_CA"/>
    <s v="94103-2919"/>
    <s v="UNITED STATES"/>
    <s v="'320252480620803693'"/>
    <s v="Entertainment-General Events"/>
    <s v="DELTARESERVE"/>
    <x v="1"/>
  </r>
  <r>
    <d v="2025-09-05T00:00:00"/>
    <s v="PIRATE.COM          WILMINGTON          DE"/>
    <n v="49"/>
    <s v="CH_3S446RDR +12122222222_x000a_PIRATE.COM_x000a_WILMINGTON_x000a_DE_x000a_+12122222222"/>
    <s v="PIRATE.COM          WILMINGTON          DE"/>
    <s v="1013 CTR RD_x000a_SUITE 403 B"/>
    <s v="WILMINGTON_x000a_DE"/>
    <n v="19805"/>
    <s v="UNITED STATES"/>
    <s v="'320252480637116344'"/>
    <s v="Entertainment-Theatrical Events"/>
    <s v="AMEXPLATINUM"/>
    <x v="3"/>
  </r>
  <r>
    <d v="2025-09-05T00:00:00"/>
    <s v="UBER"/>
    <n v="64.75"/>
    <s v="111F2F30   RLAKFBIV         10012_x000a_Uber Trip_x000a_help.uber.com_x000a_CA_x000a_RLAKFBIV         10012"/>
    <s v="Uber Trip           help.uber.com       CA"/>
    <s v="1455 MARKET ST_x000a_4TH FLOOR"/>
    <s v="SAN FRANCISCO_x000a_CA"/>
    <n v="94103"/>
    <s v="UNITED STATES"/>
    <s v="'320252490647294068'"/>
    <s v="Transportation-Taxis &amp; Coach"/>
    <s v="AMEXPLATINUM"/>
    <x v="2"/>
  </r>
  <r>
    <d v="2025-09-05T00:00:00"/>
    <s v="UBER EATS           help.uber.com       CA"/>
    <n v="57.07"/>
    <s v="73SHGYKE   BJA4X5R3         94103_x000a_UBER EATS_x000a_help.uber.com_x000a_CA_x000a_BJA4X5R3         94103"/>
    <s v="UBER EATS           help.uber.com       CA"/>
    <s v="1455 MARKET ST_x000a_-"/>
    <s v="SAN FRANCISCO_x000a_CA"/>
    <n v="94103"/>
    <s v="UNITED STATES"/>
    <s v="'320252490650131142'"/>
    <s v="Restaurant-Restaurant"/>
    <s v="AMEXPLATINUM"/>
    <x v="3"/>
  </r>
  <r>
    <d v="2025-09-06T00:00:00"/>
    <s v="BASE44.COM          NEWARK              DE"/>
    <n v="50"/>
    <s v="CH_3S4OY2D5 +972549794698_x000a_BASE44.COM_x000a_NEWARK_x000a_DE_x000a_+972549794698"/>
    <s v="BASE44.COM          NEWARK              DE"/>
    <s v="131 CONTINENTAL DR SUITE 305"/>
    <s v="NEWARK_x000a_DE"/>
    <n v="19713"/>
    <s v="UNITED STATES"/>
    <s v="'320252490641792081'"/>
    <s v="Merchandise &amp; Supplies-Computer Supplies"/>
    <s v="AMEXPLATINUM"/>
    <x v="1"/>
  </r>
  <r>
    <d v="2025-09-06T00:00:00"/>
    <s v="THE CLEANERS IO, LLCNEW YORK            NY"/>
    <n v="33.9"/>
    <s v="12mCzMqEmTU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490644810907'"/>
    <s v="Business Services-Other Services"/>
    <s v="AMEXPLATINUM"/>
    <x v="8"/>
  </r>
  <r>
    <d v="2025-09-06T00:00:00"/>
    <s v="LEMONADE INSURANCE 5INTERNET            NY"/>
    <n v="9.42"/>
    <s v="OHS0RJ00144 HELP@LEMONADE.COM_x000a_LEMONADE INSURANCE 529657_x000a_INTERNET_x000a_NY_x000a_HELP@LEMONADE.COM"/>
    <s v="LEMONADE INSURANCE 5INTERNET            NY"/>
    <s v="5 CROSBY ST FL 3"/>
    <s v="NEW YORK_x000a_NY"/>
    <n v="10013"/>
    <s v="UNITED STATES"/>
    <s v="'320252490644955127'"/>
    <s v="Business Services-Insurance Services"/>
    <s v="AMEXPLATINUM"/>
    <x v="3"/>
  </r>
  <r>
    <d v="2025-09-06T00:00:00"/>
    <s v="NOTION LABS, INC.   SAN FRANCISCO       CA"/>
    <n v="25.68"/>
    <s v="CH_3S4PVHCC +14154004291_x000a_NOTION LABS, INC._x000a_SAN FRANCISCO_x000a_CA_x000a_+14154004291"/>
    <s v="NOTION LABS, INC.   SAN FRANCISCO       CA"/>
    <s v="685 MARKET ST_x000a_SUITE 300"/>
    <s v="SAN FRANCISCO_x000a_CA"/>
    <n v="94105"/>
    <s v="UNITED STATES"/>
    <s v="'320252490645793958'"/>
    <s v="Business Services-Employment Agencies"/>
    <s v="DELTARESERVE"/>
    <x v="1"/>
  </r>
  <r>
    <d v="2025-09-06T00:00:00"/>
    <s v="FACEBK *78DNVYLRF2  MENLO PARK"/>
    <n v="4.82"/>
    <s v="24472816542 ADVERTISING SERVICE_x000a_FACEBK *78DNVYLRF2_x000a_MENLO PARK_x000a_ADVERTISING SERVICE"/>
    <s v="FACEBK *78DNVYLRF2  MENLO PARK"/>
    <s v="1 HACKER WAY"/>
    <s v="MENLO PARK_x000a_CA"/>
    <n v="94025"/>
    <s v="UNITED STATES"/>
    <s v="'320252490646521162'"/>
    <s v="Business Services-Advertising Services"/>
    <s v="AMEXPLATINUM"/>
    <x v="3"/>
  </r>
  <r>
    <d v="2025-09-06T00:00:00"/>
    <s v="DRIP DROP CAFE      New York            NY"/>
    <n v="9.6999999999999993"/>
    <s v="vBp2MhqXYU8 squareup.com/receipts_x000a_DRIP DROP CAFE_x000a_New York_x000a_NY_x000a_squareup.com/receipts"/>
    <s v="DRIP DROP CAFE      New York            NY"/>
    <s v="98 THOMPSON ST"/>
    <s v="NEW YORK_x000a_NY"/>
    <s v="10012-3745"/>
    <s v="UNITED STATES"/>
    <s v="'320252490648625861'"/>
    <s v="Restaurant-Bar &amp; CafÃ©"/>
    <s v="AMEXPLATINUM"/>
    <x v="3"/>
  </r>
  <r>
    <d v="2025-09-06T00:00:00"/>
    <s v="SPECTRUM            855-707-7328        MO"/>
    <n v="115"/>
    <s v="RC156373055CABLE SVC_x000a_SPECTRUM_x000a_855-707-7328_x000a_MO_x000a_CABLE SVC"/>
    <s v="SPECTRUM            855-707-7328        MO"/>
    <s v="12405 POWERSCOURT DR"/>
    <s v="SAINT LOUIS_x000a_MO"/>
    <n v="63131"/>
    <s v="UNITED STATES"/>
    <s v="'320252490648817126'"/>
    <s v="Communications-Cable &amp; Internet Comm"/>
    <s v="AMEXPLATINUM"/>
    <x v="5"/>
  </r>
  <r>
    <d v="2025-09-06T00:00:00"/>
    <s v="UBER EATS           help.uber.com       CA"/>
    <n v="100.75"/>
    <s v="5RRPG5AS   5SWC5M4I         94103_x000a_UBER EATS_x000a_help.uber.com_x000a_CA_x000a_5SWC5M4I         94103"/>
    <s v="UBER EATS           help.uber.com       CA"/>
    <s v="1455 MARKET ST_x000a_-"/>
    <s v="SAN FRANCISCO_x000a_CA"/>
    <n v="94103"/>
    <s v="UNITED STATES"/>
    <s v="'320252490650172174'"/>
    <s v="Restaurant-Restaurant"/>
    <s v="AMEXPLATINUM"/>
    <x v="3"/>
  </r>
  <r>
    <d v="2025-09-06T00:00:00"/>
    <s v="FACEBK *S8Q5KZ8RF2  MENLO PARK"/>
    <n v="25.85"/>
    <s v="24547892864 ADVERTISING SERVICE_x000a_FACEBK *S8Q5KZ8RF2_x000a_MENLO PARK_x000a_ADVERTISING SERVICE"/>
    <s v="FACEBK *S8Q5KZ8RF2  MENLO PARK"/>
    <s v="1 HACKER WAY"/>
    <s v="MENLO PARK_x000a_CA"/>
    <n v="94025"/>
    <s v="UNITED STATES"/>
    <s v="'320252490651549413'"/>
    <s v="Business Services-Advertising Services"/>
    <s v="AMEXPLATINUM"/>
    <x v="3"/>
  </r>
  <r>
    <d v="2025-09-06T00:00:00"/>
    <s v="TST* STANDARD FARE 0SARATOGA SPRING     NY"/>
    <n v="69.66"/>
    <s v="21105175250 RESTAURANT_x000a_TST* STANDARD FARE 00220679_x000a_SARATOGA SPRING_x000a_NY_x000a_RESTAURANT"/>
    <s v="TST* STANDARD FARE 0SARATOGA SPRING     NY"/>
    <s v="10 PHILA ST"/>
    <s v="SARATOGA SPRINGS_x000a_NY"/>
    <n v="12866"/>
    <s v="UNITED STATES"/>
    <s v="'320252500677811275'"/>
    <s v="Restaurant-Restaurant"/>
    <s v="DELTARESERVE"/>
    <x v="11"/>
  </r>
  <r>
    <d v="2025-09-06T00:00:00"/>
    <s v="NYU HOSP CTR-MYCHARTNEW YORK            NY"/>
    <n v="100"/>
    <s v="036-0270900 HEALTHCARE P_x000a_NYU HOSP CTR-MYCHART_x000a_NEW YORK_x000a_NY_x000a_HEALTHCARE P"/>
    <s v="NYU HOSP CTR-MYCHARTNEW YORK            NY"/>
    <s v="550 1ST AVE"/>
    <s v="NEW YORK_x000a_NY"/>
    <s v="10016-6402"/>
    <s v="UNITED STATES"/>
    <s v="'320252500677972725'"/>
    <s v="Business Services-Health Care Services"/>
    <s v="AMEXPLATINUM"/>
    <x v="3"/>
  </r>
  <r>
    <d v="2025-09-06T00:00:00"/>
    <s v="BLVD   *ART AUTONOMYNEW YORK            NY"/>
    <n v="355.3"/>
    <s v="999999952502123434274_x000a_BEAUTY &amp; BARBER_x000a_BLVD   *ART AUTONOMY SALO 000000317_x000a_NEW YORK_x000a_NY_x000a_BEAUTY &amp; BARBER_x000a_2123434274"/>
    <s v="BLVD   *ART AUTONOMYNEW YORK            NY"/>
    <s v="497 BROOME ST_x000a_FL 2 FLOOR 2"/>
    <s v="NEW YORK_x000a_NY"/>
    <s v="10013-2214"/>
    <s v="UNITED STATES"/>
    <s v="'320252500684344416'"/>
    <s v="Business Services-Other Services"/>
    <s v="AMEXPLATINUM"/>
    <x v="3"/>
  </r>
  <r>
    <d v="2025-09-06T00:00:00"/>
    <s v="CVS PHARMACY        NEW YORK            NY"/>
    <n v="67"/>
    <s v="10181476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2500684372275'"/>
    <s v="Merchandise &amp; Supplies-Pharmacies"/>
    <s v="AMEXPLATINUM"/>
    <x v="3"/>
  </r>
  <r>
    <d v="2025-09-06T00:00:00"/>
    <s v="PAYPAL *APPMYWEB    4029357733          IS"/>
    <n v="39"/>
    <s v="10189664714 4029357733_x000a_PAYPAL *APPMYWEB_x000a_4029357733_x000a_IS_x000a_Description : DIGITAL APPLICATION Price : 0.00_x000a_4029357733"/>
    <s v="PAYPAL *APPMYWEB    4029357733          IS"/>
    <s v="."/>
    <s v="San Jose_x000a_CA"/>
    <n v="95131"/>
    <s v="UNITED STATES"/>
    <s v="'320252520740888881'"/>
    <s v="Business Services-Internet Services"/>
    <s v="AMEXPLATINUM"/>
    <x v="3"/>
  </r>
  <r>
    <d v="2025-09-07T00:00:00"/>
    <s v="Interest Charge on Pay Over Time Purchases"/>
    <n v="820.73"/>
    <s v="Interest Charge on Pay Over Time Purchases"/>
    <s v="Interest Charge on Pay Over Time Purchases"/>
    <m/>
    <m/>
    <m/>
    <m/>
    <s v="'150908060000508461'"/>
    <s v="Fees &amp; Adjustments-Fees &amp; Adjustments"/>
    <s v="AMEXPLATINUM"/>
    <x v="13"/>
  </r>
  <r>
    <d v="2025-09-07T00:00:00"/>
    <s v="NESPRESSO USA, INC. NEW YORK CITY       NY"/>
    <n v="50.15"/>
    <s v="CH_3S4OZ4JI +18005621465_x000a_NESPRESSO USA, INC._x000a_NEW YORK CITY_x000a_NY_x000a_+18005621465"/>
    <s v="NESPRESSO USA, INC. NEW YORK CITY       NY"/>
    <s v="111 WEST 33RD ST_x000a_5TH FLOOR"/>
    <s v="NEW YORK CITY_x000a_NY"/>
    <n v="10120"/>
    <s v="UNITED STATES"/>
    <s v="'320252500670733685'"/>
    <s v="Merchandise &amp; Supplies-Groceries"/>
    <s v="AMEXPLATINUM"/>
    <x v="3"/>
  </r>
  <r>
    <d v="2025-09-07T00:00:00"/>
    <s v="STEWARTS ICE CREAM  SARATOGA SPRINGS    NY"/>
    <n v="79.69"/>
    <s v="00471400001 5185811201_x000a_STEWARTS ICE CREAM_x000a_SARATOGA SPRINGS_x000a_NY_x000a_Description : AUTOMATED FUEL Price : 0.7969_x000a_5185811201"/>
    <s v="STEWARTS ICE CREAM  SARATOGA SPRINGS    NY"/>
    <s v="402 LK AVE"/>
    <s v="SARATOGA SPRINGS_x000a_NY"/>
    <n v="12866"/>
    <s v="UNITED STATES"/>
    <s v="'320252500674340263'"/>
    <s v="Transportation-Fuel"/>
    <s v="DELTARESERVE"/>
    <x v="7"/>
  </r>
  <r>
    <d v="2025-09-07T00:00:00"/>
    <s v="A1010BUSD01         MSBILL.INFO"/>
    <n v="21.38"/>
    <s v="Z72SB29JIEHZ72SB29JIEHQ     98052_x000a_A1010BUSD01_x000a_MSBILL.INFO_x000a_Z72SB29JIEHQ     98052"/>
    <s v="A1010BUSD01         MSBILL.INFO"/>
    <s v="8TH FLOOR_x000a_91 MAIN ST"/>
    <s v="DALLAS_x000a_TX"/>
    <n v="75202"/>
    <s v="UNITED STATES"/>
    <s v="'320252500688879126'"/>
    <s v="Other-Miscellaneous"/>
    <s v="DELTARESERVE"/>
    <x v="1"/>
  </r>
  <r>
    <d v="2025-09-07T00:00:00"/>
    <s v="PRIME VIDEO *MC1EK7O888-802-3080        WA"/>
    <n v="5.99"/>
    <s v="4BOMQXGXHDL DIGITAL_x000a_PRIME VIDEO *MC1EK7OO3_x000a_888-802-3080_x000a_WA_x000a_DIGITAL"/>
    <s v="PRIME VIDEO *MC1EK7O888-802-3080        WA"/>
    <s v="1512 2ND AVE"/>
    <s v="SEATTLE_x000a_WA"/>
    <s v="98101-1508"/>
    <s v="UNITED STATES"/>
    <s v="'320252500692119380'"/>
    <s v="Merchandise &amp; Supplies-Internet Purchase"/>
    <s v="DELTARESERVE"/>
    <x v="3"/>
  </r>
  <r>
    <d v="2025-09-07T00:00:00"/>
    <s v="UBER EATS           help.uber.com       CA"/>
    <n v="130.51"/>
    <s v="6CQE97YY   SEQ57PF5         94103_x000a_UBER EATS_x000a_help.uber.com_x000a_CA_x000a_SEQ57PF5         94103"/>
    <s v="UBER EATS           help.uber.com       CA"/>
    <s v="1455 MARKET ST_x000a_-"/>
    <s v="SAN FRANCISCO_x000a_CA"/>
    <n v="94103"/>
    <s v="UNITED STATES"/>
    <s v="'320252510703862811'"/>
    <s v="Restaurant-Restaurant"/>
    <s v="AMEXPLATINUM"/>
    <x v="3"/>
  </r>
  <r>
    <d v="2025-09-07T00:00:00"/>
    <s v="IONOS               www.ionos.com       PA"/>
    <n v="64.86"/>
    <s v="00591653203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2510713299617'"/>
    <s v="Merchandise &amp; Supplies-Computer Supplies"/>
    <s v="AMEXPLATINUM"/>
    <x v="1"/>
  </r>
  <r>
    <d v="2025-09-08T00:00:00"/>
    <s v="AMAZON MARKEPLACE NA PA"/>
    <n v="29.39"/>
    <s v="988PO4TEHVL MERCHANDISE_x000a_AMAZON MARKETPLACE NA PA_x000a_AMZN.COM/BILL_x000a_WA_x000a_MERCHANDISE"/>
    <s v="AMAZON MARKETPLACE NAMZN.COM/BILL       WA"/>
    <s v="410 TERRY AVE N"/>
    <s v="SEATTLE_x000a_WA"/>
    <n v="98109"/>
    <s v="UNITED STATES"/>
    <s v="'320252510699113790'"/>
    <s v="Merchandise &amp; Supplies-Internet Purchase"/>
    <s v="DELTARESERVE"/>
    <x v="3"/>
  </r>
  <r>
    <d v="2025-09-08T00:00:00"/>
    <s v="EMBASSY SUITES      SARATOGA SPRINGS    NY"/>
    <n v="827.34"/>
    <s v="393334      518-290-9090_x000a_LODGING_x000a_EMBASSY SUITES_x000a_SARATOGA SPRINGS_x000a_NY"/>
    <s v="EMBASSY SUITES      SARATOGA SPRINGS    NY"/>
    <s v="86 CONGRESS ST"/>
    <s v="SARATOGA SPRINGS_x000a_NY"/>
    <s v="12866-4102"/>
    <s v="UNITED STATES"/>
    <s v="'320252510707740568'"/>
    <s v="Travel-Lodging"/>
    <s v="DELTARESERVE"/>
    <x v="17"/>
  </r>
  <r>
    <d v="2025-09-08T00:00:00"/>
    <s v="ARLOTECHNOLOGIES INC408-638-3750        CA"/>
    <n v="21.39"/>
    <s v="222931529  222931529        12866_x000a_ARLOTECHNOLOGIES INC_x000a_408-638-3750_x000a_CA_x000a_222931529        12866"/>
    <s v="ARLOTECHNOLOGIES INC408-638-3750        CA"/>
    <s v="STE 200_x000a_480 N MCCARTHY BLVD"/>
    <s v="MILPITAS_x000a_CA"/>
    <n v="95035"/>
    <s v="UNITED STATES"/>
    <s v="'320252520727130525'"/>
    <s v="Merchandise &amp; Supplies-Wholesale Stores"/>
    <s v="DELTARESERVE"/>
    <x v="1"/>
  </r>
  <r>
    <d v="2025-09-08T00:00:00"/>
    <s v="UBER"/>
    <n v="66.87"/>
    <s v="GTD0428Z   BXXSOFT7         11215_x000a_Uber Trip_x000a_help.uber.com_x000a_CA_x000a_BXXSOFT7         11215"/>
    <s v="Uber Trip           help.uber.com       CA"/>
    <s v="1455 MARKET ST_x000a_4TH FLOOR"/>
    <s v="SAN FRANCISCO_x000a_CA"/>
    <n v="94103"/>
    <s v="UNITED STATES"/>
    <s v="'320252520730743063'"/>
    <s v="Transportation-Taxis &amp; Coach"/>
    <s v="AMEXPLATINUM"/>
    <x v="2"/>
  </r>
  <r>
    <d v="2025-09-09T00:00:00"/>
    <s v="ONLINE PAYMENT - THANK YOU"/>
    <n v="-5000"/>
    <s v="ONLINE PAYMENT - THANK YOU"/>
    <s v="ONLINE PAYMENT - THANK YOU"/>
    <m/>
    <m/>
    <m/>
    <m/>
    <s v="'320252520721377674'"/>
    <m/>
    <s v="DELTARESERVE"/>
    <x v="0"/>
  </r>
  <r>
    <d v="2025-09-09T00:00:00"/>
    <s v="UBER"/>
    <n v="62.56"/>
    <s v="MHZNYWJB   RKOKSYNH         10018_x000a_Uber Trip_x000a_help.uber.com_x000a_CA_x000a_RKOKSYNH         10018"/>
    <s v="Uber Trip           help.uber.com       CA"/>
    <s v="1455 MARKET ST_x000a_4TH FLOOR"/>
    <s v="SAN FRANCISCO_x000a_CA"/>
    <n v="94103"/>
    <s v="UNITED STATES"/>
    <s v="'320252520726098954'"/>
    <s v="Transportation-Taxis &amp; Coach"/>
    <s v="AMEXPLATINUM"/>
    <x v="2"/>
  </r>
  <r>
    <d v="2025-09-09T00:00:00"/>
    <s v="NANOGROUP           NEWHAVEN            E"/>
    <n v="2500"/>
    <s v="CH_3S5SDPAC +4407534745202_x000a_NANOGROUP_x000a_NEWHAVEN_x000a_E_x000a_+4407534745202"/>
    <s v="NANOGROUP           NEWHAVEN            E"/>
    <s v="51 SOUTH ROAD"/>
    <s v="NEWHAVEN_x000a_ENG"/>
    <s v="BN9"/>
    <s v="UNITED KINGDOM OF GB AND NI"/>
    <s v="'320252520729673060'"/>
    <s v="Merchandise &amp; Supplies-Internet Purchase"/>
    <s v="DELTARESERVE"/>
    <x v="0"/>
  </r>
  <r>
    <d v="2025-09-09T00:00:00"/>
    <s v="UBER"/>
    <n v="73.319999999999993"/>
    <s v="EK5YK436   UNYNTRUN         10012_x000a_Uber Trip_x000a_help.uber.com_x000a_CA_x000a_UNYNTRUN         10012"/>
    <s v="Uber Trip           help.uber.com       CA"/>
    <s v="1455 MARKET ST_x000a_4TH FLOOR"/>
    <s v="SAN FRANCISCO_x000a_CA"/>
    <n v="94103"/>
    <s v="UNITED STATES"/>
    <s v="'320252520730735225'"/>
    <s v="Transportation-Taxis &amp; Coach"/>
    <s v="AMEXPLATINUM"/>
    <x v="2"/>
  </r>
  <r>
    <d v="2025-09-09T00:00:00"/>
    <s v="UBER EATS           help.uber.com       CA"/>
    <n v="275.48"/>
    <s v="FTHE3KC8   XN2B56JH         94103_x000a_UBER EATS_x000a_help.uber.com_x000a_CA_x000a_XN2B56JH         94103"/>
    <s v="UBER EATS           help.uber.com       CA"/>
    <s v="1455 MARKET ST_x000a_-"/>
    <s v="SAN FRANCISCO_x000a_CA"/>
    <n v="94103"/>
    <s v="UNITED STATES"/>
    <s v="'320252520730752609'"/>
    <s v="Restaurant-Restaurant"/>
    <s v="AMEXPLATINUM"/>
    <x v="3"/>
  </r>
  <r>
    <d v="2025-09-09T00:00:00"/>
    <s v="MICROSOFT           MSBILL.INFO"/>
    <n v="223.2"/>
    <s v="Z72XB8B323UZ72XB8B323UP     98052_x000a_MICROSOFT_x000a_MSBILL.INFO_x000a_Z72XB8B323UP     98052"/>
    <s v="MICROSOFT           MSBILL.INFO"/>
    <s v="1 MICROSOFT WAY"/>
    <s v="REDMOND_x000a_WA"/>
    <n v="98052"/>
    <s v="UNITED STATES"/>
    <s v="'320252520732688919'"/>
    <s v="Other-Miscellaneous"/>
    <s v="DELTARESERVE"/>
    <x v="1"/>
  </r>
  <r>
    <d v="2025-09-09T00:00:00"/>
    <s v="MICROSOFT           MSBILL.INFO"/>
    <n v="165.47"/>
    <s v="Z730B8VM8Z4Z730B8VM8Z47     98052_x000a_MICROSOFT_x000a_MSBILL.INFO_x000a_Z730B8VM8Z47     98052"/>
    <s v="MICROSOFT           MSBILL.INFO"/>
    <s v="1 MICROSOFT WAY"/>
    <s v="REDMOND_x000a_WA"/>
    <n v="98052"/>
    <s v="UNITED STATES"/>
    <s v="'320252520732753500'"/>
    <s v="Other-Miscellaneous"/>
    <s v="DELTARESERVE"/>
    <x v="1"/>
  </r>
  <r>
    <d v="2025-09-09T00:00:00"/>
    <s v="UBER EATS           help.uber.com       CA"/>
    <n v="105.21"/>
    <s v="KHMPAD1C    8005928996_x000a_UBER EATS_x000a_help.uber.com_x000a_CA_x000a_8005928996"/>
    <s v="UBER EATS           help.uber.com       CA"/>
    <s v="1455 MARKET ST_x000a_-"/>
    <s v="SAN FRANCISCO_x000a_CA"/>
    <n v="94103"/>
    <s v="UNITED STATES"/>
    <s v="'320252530750731288'"/>
    <s v="Restaurant-Restaurant"/>
    <s v="AMEXPLATINUM"/>
    <x v="3"/>
  </r>
  <r>
    <d v="2025-09-09T00:00:00"/>
    <s v="NYCT PAYGO          NEW YORK            NY"/>
    <n v="2.9"/>
    <s v="00851226702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2530753366007'"/>
    <s v="Transportation-Rail Services"/>
    <s v="AMEXPLATINUM"/>
    <x v="14"/>
  </r>
  <r>
    <d v="2025-09-09T00:00:00"/>
    <s v="DUANE READE #14468 0NEW YORK            NY"/>
    <n v="19.07"/>
    <s v="99999995253NONE             10003_x000a_PHARMACIES_x000a_DUANE READE #14468 000014468_x000a_NEW YORK_x000a_NY_x000a_PHARMACIES_x000a_NONE             10003"/>
    <s v="DUANE READE #14468 0NEW YORK            NY"/>
    <s v="1 UN SQ SOUTH"/>
    <s v="NEW YORK_x000a_NY"/>
    <n v="10003"/>
    <s v="UNITED STATES"/>
    <s v="'320252530755592950'"/>
    <s v="Merchandise &amp; Supplies-Pharmacies"/>
    <s v="AMEXPLATINUM"/>
    <x v="3"/>
  </r>
  <r>
    <d v="2025-09-09T00:00:00"/>
    <s v="WWW.PERPLEXITY.AI   SAN FRANCISCO       CA"/>
    <n v="21.4"/>
    <s v="CH_3S5GFCGZ +15102700840_x000a_WWW.PERPLEXITY.AI_x000a_SAN FRANCISCO_x000a_CA_x000a_+15102700840"/>
    <s v="WWW.PERPLEXITY.AI   SAN FRANCISCO       CA"/>
    <s v="115 SANSOME ST_x000a_SUITE 900"/>
    <s v="SAN FRANCISCO_x000a_CA"/>
    <n v="94104"/>
    <s v="UNITED STATES"/>
    <s v="'320252530758829873'"/>
    <s v="Business Services-Office Supplies"/>
    <s v="DELTARESERVE"/>
    <x v="1"/>
  </r>
  <r>
    <d v="2025-09-09T00:00:00"/>
    <s v="PRIME VIDEO *660ZL6Y888-802-3080        WA"/>
    <n v="19.989999999999998"/>
    <s v="5MPLMXA773S DIGITAL_x000a_PRIME VIDEO *660ZL6YH3_x000a_888-802-3080_x000a_WA_x000a_DIGITAL"/>
    <s v="PRIME VIDEO *660ZL6Y888-802-3080        WA"/>
    <s v="1512 2ND AVE"/>
    <s v="SEATTLE_x000a_WA"/>
    <s v="98101-1508"/>
    <s v="UNITED STATES"/>
    <s v="'320252530765047371'"/>
    <s v="Merchandise &amp; Supplies-Internet Purchase"/>
    <s v="DELTARESERVE"/>
    <x v="3"/>
  </r>
  <r>
    <d v="2025-09-09T00:00:00"/>
    <s v="AMAZON MARKEPLACE NA PA"/>
    <n v="405.19"/>
    <s v="2Y5J0EPO52T MERCHANDISE_x000a_AMAZON MARKETPLACE NA PA_x000a_AMZN.COM/BILL_x000a_WA_x000a_MERCHANDISE"/>
    <s v="AMAZON MARKETPLACE NAMZN.COM/BILL       WA"/>
    <s v="410 TERRY AVE N"/>
    <s v="SEATTLE_x000a_WA"/>
    <n v="98109"/>
    <s v="UNITED STATES"/>
    <s v="'320252540794231527'"/>
    <s v="Merchandise &amp; Supplies-Internet Purchase"/>
    <s v="DELTARESERVE"/>
    <x v="3"/>
  </r>
  <r>
    <d v="2025-09-10T00:00:00"/>
    <s v="UBER"/>
    <n v="46.41"/>
    <s v="2YGD2A5P   X67RGPCN         10012_x000a_Uber Trip_x000a_help.uber.com_x000a_CA_x000a_X67RGPCN         10012"/>
    <s v="Uber Trip           help.uber.com       CA"/>
    <s v="1455 MARKET ST_x000a_4TH FLOOR"/>
    <s v="SAN FRANCISCO_x000a_CA"/>
    <n v="94103"/>
    <s v="UNITED STATES"/>
    <s v="'320252530768509466'"/>
    <s v="Transportation-Taxis &amp; Coach"/>
    <s v="AMEXPLATINUM"/>
    <x v="2"/>
  </r>
  <r>
    <d v="2025-09-11T00:00:00"/>
    <s v="AMAZON MARKEPLACE NA PA"/>
    <n v="13.05"/>
    <s v="4E9SWG98Y66 MERCHANDISE_x000a_AMAZON MARKETPLACE NA PA_x000a_AMZN.COM/BILL_x000a_WA_x000a_MERCHANDISE"/>
    <s v="AMAZON MARKETPLACE NAMZN.COM/BILL       WA"/>
    <s v="410 TERRY AVE N"/>
    <s v="SEATTLE_x000a_WA"/>
    <n v="98109"/>
    <s v="UNITED STATES"/>
    <s v="'320252540781496344'"/>
    <s v="Merchandise &amp; Supplies-Internet Purchase"/>
    <s v="AMEXPLATINUM"/>
    <x v="3"/>
  </r>
  <r>
    <d v="2025-09-11T00:00:00"/>
    <s v="APPLE.COM/BILL      INTERNET CHARGE     CA"/>
    <n v="9.99"/>
    <s v="MTK825KN5K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540781981744'"/>
    <s v="Merchandise &amp; Supplies-Internet Purchase"/>
    <s v="AMEXPLATINUM"/>
    <x v="3"/>
  </r>
  <r>
    <d v="2025-09-11T00:00:00"/>
    <s v="LE CAFE COFFEE      New York            NY"/>
    <n v="9.44"/>
    <s v="LLFFQnbJ52h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540784208993'"/>
    <s v="Restaurant-Bar &amp; CafÃ©"/>
    <s v="AMEXPLATINUM"/>
    <x v="3"/>
  </r>
  <r>
    <d v="2025-09-11T00:00:00"/>
    <s v="UBER EATS           help.uber.com       CA"/>
    <n v="120.94"/>
    <s v="B8JDG51B   VYKUCMGJ         94103_x000a_UBER EATS_x000a_help.uber.com_x000a_CA_x000a_VYKUCMGJ         94103"/>
    <s v="UBER EATS           help.uber.com       CA"/>
    <s v="1455 MARKET ST_x000a_-"/>
    <s v="SAN FRANCISCO_x000a_CA"/>
    <n v="94103"/>
    <s v="UNITED STATES"/>
    <s v="'320252540786033917'"/>
    <s v="Restaurant-Restaurant"/>
    <s v="AMEXPLATINUM"/>
    <x v="3"/>
  </r>
  <r>
    <d v="2025-09-11T00:00:00"/>
    <s v="ILLUSTRATOR Adobe SySAN JOSE            CA"/>
    <n v="36.9"/>
    <s v="517403042   ADOBE.LY/ENUS_x000a_ILLUSTRATOR Adobe Systems_x000a_SAN JOSE_x000a_CA_x000a_Description : DEFAULT Price : 0.3449_x000a_ADOBE.LY/ENUS"/>
    <s v="ILLUSTRATOR Adobe SySAN JOSE            CA"/>
    <s v="801 N 34TH ST"/>
    <s v="SEATTLE_x000a_WA"/>
    <n v="98103"/>
    <s v="UNITED STATES"/>
    <s v="'320252550815977609'"/>
    <s v="Merchandise &amp; Supplies-Mail Order"/>
    <s v="AMEXPLATINUM"/>
    <x v="1"/>
  </r>
  <r>
    <d v="2025-09-11T00:00:00"/>
    <s v="ADOBE SYSTEMS Adobe SAN JOSE            CA"/>
    <n v="21.39"/>
    <s v="517402872   www.adobe.com_x000a_ADOBE SYSTEMS Adobe Systems_x000a_SAN JOSE_x000a_CA_x000a_Description : DEFAULT Price : 0.1999_x000a_www.adobe.com"/>
    <s v="ADOBE SYSTEMS Adobe SAN JOSE            CA"/>
    <s v="801 N 34TH ST"/>
    <s v="SEATTLE_x000a_WA"/>
    <n v="98103"/>
    <s v="UNITED STATES"/>
    <s v="'320252550815977694'"/>
    <s v="Merchandise &amp; Supplies-Mail Order"/>
    <s v="AMEXPLATINUM"/>
    <x v="1"/>
  </r>
  <r>
    <d v="2025-09-11T00:00:00"/>
    <s v="TST* AQUA NYC 002103NEW YORK            NY"/>
    <n v="902.28"/>
    <s v="21105175255 RESTAURANT_x000a_TST* AQUA NYC 00210304_x000a_NEW YORK_x000a_NY_x000a_RESTAURANT"/>
    <s v="TST* AQUA NYC 002103NEW YORK            NY"/>
    <s v="902 BROADWAY"/>
    <s v="NEW YORK_x000a_NY"/>
    <n v="10010"/>
    <s v="UNITED STATES"/>
    <s v="'320252550816643902'"/>
    <s v="Restaurant-Restaurant"/>
    <s v="AMEXPLATINUM"/>
    <x v="11"/>
  </r>
  <r>
    <d v="2025-09-12T00:00:00"/>
    <s v="COVERGIRL.MAXIM.COM SAN ANTONIO         TX"/>
    <n v="10"/>
    <s v="CH_3S6EW1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550806205944'"/>
    <s v="Business Services-Office Supplies"/>
    <s v="AMEXPLATINUM"/>
    <x v="3"/>
  </r>
  <r>
    <d v="2025-09-12T00:00:00"/>
    <s v="UBER"/>
    <n v="38.130000000000003"/>
    <s v="H0KBP7RZ   TX3LLOQD         10010_x000a_Uber Trip_x000a_help.uber.com_x000a_CA_x000a_TX3LLOQD         10010"/>
    <s v="Uber Trip           help.uber.com       CA"/>
    <s v="1455 MARKET ST_x000a_4TH FLOOR"/>
    <s v="SAN FRANCISCO_x000a_CA"/>
    <n v="94103"/>
    <s v="UNITED STATES"/>
    <s v="'320252550812546225'"/>
    <s v="Transportation-Taxis &amp; Coach"/>
    <s v="AMEXPLATINUM"/>
    <x v="2"/>
  </r>
  <r>
    <d v="2025-09-12T00:00:00"/>
    <s v="GOOGLE *ISHARING GPS G.CO/HELPPAY#      CA"/>
    <n v="16.04"/>
    <s v="A12GTPOU    COMPUTER PROGRAMMING_x000a_GOOGLE *ISHARING GPS L_x000a_G.CO/HELPPAY#_x000a_CA_x000a_COMPUTER PROGRAMMING"/>
    <s v="GOOGLE *ISHARING GPS G.CO/HELPPAY#      CA"/>
    <s v="1600 AMPHITHEATRE PKWY"/>
    <s v="MOUNTAIN VIEW_x000a_CA"/>
    <s v="94043-1351"/>
    <s v="UNITED STATES"/>
    <s v="'320252550821250377'"/>
    <s v="Business Services-Internet Services"/>
    <s v="DELTARESERVE"/>
    <x v="1"/>
  </r>
  <r>
    <d v="2025-09-12T00:00:00"/>
    <s v="ERACTOLL 7Y329K     877-860-1258        NY"/>
    <n v="9.15"/>
    <s v="T208145614  877-860-1258_x000a_ERACTOLL 7Y329K_x000a_877-860-1258_x000a_NY_x000a_Description : ERACTOLL 7Y329K Price : 0.00_x000a_877-860-1258"/>
    <s v="ERACTOLL 7Y329K     877-860-1258        NY"/>
    <s v="-"/>
    <e v="#NAME?"/>
    <n v="11577"/>
    <s v="UNITED STATES"/>
    <s v="'320252560846601041'"/>
    <s v="Transportation-Tolls &amp; Fees"/>
    <s v="DELTARESERVE"/>
    <x v="9"/>
  </r>
  <r>
    <d v="2025-09-12T00:00:00"/>
    <s v="ENTERPRISE RENT-A-CANEW YORK            NY"/>
    <n v="696.69"/>
    <s v="028825088   212-5332900_x000a_ENTERPRISE RENT-A-CAR_x000a_NEW YORK_x000a_NY"/>
    <s v="ENTERPRISE RENT-A-CANEW YORK            NY"/>
    <s v="221 THOMPSON ST"/>
    <s v="NEW YORK_x000a_NY"/>
    <n v="10012"/>
    <s v="UNITED STATES"/>
    <s v="'320252560853761852'"/>
    <s v="Travel-Vehicle Rental"/>
    <s v="DELTARESERVE"/>
    <x v="9"/>
  </r>
  <r>
    <d v="2025-09-12T00:00:00"/>
    <s v="COVERGIRL.MAXIM.COM SAN ANTONIO         TX"/>
    <n v="20"/>
    <s v="CH_3S6EWW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560857656940'"/>
    <s v="Business Services-Office Supplies"/>
    <s v="AMEXPLATINUM"/>
    <x v="3"/>
  </r>
  <r>
    <d v="2025-09-12T00:00:00"/>
    <s v="FACEBK *META VERIFIEFB.ME/CC            CA"/>
    <n v="11.99"/>
    <s v="24554897640 DGTL CONTENT_x000a_FACEBK *META VERIFIED_x000a_FB.ME/CC_x000a_CA_x000a_DGTL CONTENT"/>
    <s v="FACEBK *META VERIFIEFB.ME/CC            CA"/>
    <s v="1 HACKER WAY"/>
    <s v="MENLO PARK_x000a_CA"/>
    <n v="94025"/>
    <s v="UNITED STATES"/>
    <s v="'320252560857810236'"/>
    <s v="Business Services-Office Supplies"/>
    <s v="AMEXPLATINUM"/>
    <x v="3"/>
  </r>
  <r>
    <d v="2025-09-13T00:00:00"/>
    <s v="LINKEDIN SN P8110994MOUNTAIN VIEW"/>
    <n v="106.99"/>
    <s v="P811099484  SUBSCRIPTIONS_x000a_LINKEDIN SN P811099484_x000a_MOUNTAIN VIEW_x000a_SUBSCRIPTIONS"/>
    <s v="LINKEDIN SN P8110994MOUNTAIN VIEW"/>
    <s v="2029 STIERLIN CT_x000a_STE 200"/>
    <s v="MOUNTAIN VIEW_x000a_CA"/>
    <s v="94043-4655"/>
    <s v="UNITED STATES"/>
    <s v="'320252560840322273'"/>
    <s v="Merchandise &amp; Supplies-Internet Purchase"/>
    <s v="AMEXPLATINUM"/>
    <x v="4"/>
  </r>
  <r>
    <d v="2025-09-13T00:00:00"/>
    <s v="UBER EATS           help.uber.com       CA"/>
    <n v="175.16"/>
    <s v="83QN2HDD   G7YDBSED         94103_x000a_UBER EATS_x000a_help.uber.com_x000a_CA_x000a_G7YDBSED         94103"/>
    <s v="UBER EATS           help.uber.com       CA"/>
    <s v="1455 MARKET ST_x000a_-"/>
    <s v="SAN FRANCISCO_x000a_CA"/>
    <n v="94103"/>
    <s v="UNITED STATES"/>
    <s v="'320252560843693962'"/>
    <s v="Restaurant-Restaurant"/>
    <s v="AMEXPLATINUM"/>
    <x v="3"/>
  </r>
  <r>
    <d v="2025-09-13T00:00:00"/>
    <s v="WEGMANS ASTOR PLACE NEW YORK            NY"/>
    <n v="47.13"/>
    <s v="W15640300335854293656_x000a_WEGMANS ASTOR PLACE 156 000000156_x000a_NEW YORK_x000a_NY_x000a_5854293656"/>
    <s v="WEGMANS ASTOR PLACE NEW YORK            NY"/>
    <s v="770 BROADWAY"/>
    <s v="NEW YORK_x000a_NY"/>
    <n v="10003"/>
    <s v="UNITED STATES"/>
    <s v="'320252570878065851'"/>
    <s v="Merchandise &amp; Supplies-Groceries"/>
    <s v="AMEXPLATINUM"/>
    <x v="3"/>
  </r>
  <r>
    <d v="2025-09-14T00:00:00"/>
    <s v="PRIME VIDEO *9F4343Y888-802-3080        WA"/>
    <n v="19.989999999999998"/>
    <s v="5AU7UP6G1D4 DIGITAL_x000a_PRIME VIDEO *9F4343YM3_x000a_888-802-3080_x000a_WA_x000a_DIGITAL"/>
    <s v="PRIME VIDEO *9F4343Y888-802-3080        WA"/>
    <s v="1512 2ND AVE"/>
    <s v="SEATTLE_x000a_WA"/>
    <s v="98101-1508"/>
    <s v="UNITED STATES"/>
    <s v="'320252570862373154'"/>
    <s v="Merchandise &amp; Supplies-Internet Purchase"/>
    <s v="DELTARESERVE"/>
    <x v="3"/>
  </r>
  <r>
    <d v="2025-09-14T00:00:00"/>
    <s v="LEMONADE INSURANCE CNEW YORK            NY"/>
    <n v="50.67"/>
    <s v="######FghZX INSURANCE SALES_x000a_LEMONADE INSURANCE COMPANY_x000a_NEW YORK_x000a_NY_x000a_INSURANCE SALES"/>
    <s v="LEMONADE INSURANCE CNEW YORK            NY"/>
    <s v="5 CROSBY ST FL 3"/>
    <s v="NEW YORK_x000a_NY"/>
    <n v="10013"/>
    <s v="UNITED STATES"/>
    <s v="'320252570863653203'"/>
    <s v="Business Services-Insurance Services"/>
    <s v="AMEXPLATINUM"/>
    <x v="3"/>
  </r>
  <r>
    <d v="2025-09-14T00:00:00"/>
    <s v="PATREON* MEMBERSHIP SAN FRANCISCO       CA"/>
    <n v="20.18"/>
    <s v="SK0M4S01350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2570864269982'"/>
    <s v="Business Services-Office Supplies"/>
    <s v="AMEXPLATINUM"/>
    <x v="3"/>
  </r>
  <r>
    <d v="2025-09-14T00:00:00"/>
    <s v="UBER"/>
    <n v="14.66"/>
    <s v="HHGEP7CT   UNYNTRUN         10012_x000a_Uber Trip_x000a_help.uber.com_x000a_CA_x000a_UNYNTRUN         10012"/>
    <s v="Uber Trip           help.uber.com       CA"/>
    <s v="1455 MARKET ST_x000a_4TH FLOOR"/>
    <s v="SAN FRANCISCO_x000a_CA"/>
    <n v="94103"/>
    <s v="UNITED STATES"/>
    <s v="'320252570867959219'"/>
    <s v="Transportation-Taxis &amp; Coach"/>
    <s v="AMEXPLATINUM"/>
    <x v="2"/>
  </r>
  <r>
    <d v="2025-09-14T00:00:00"/>
    <s v="UBER"/>
    <n v="40.76"/>
    <s v="HZ6EB7HW   ZVMWNXKW         10013_x000a_Uber Trip_x000a_help.uber.com_x000a_CA_x000a_ZVMWNXKW         10013"/>
    <s v="Uber Trip           help.uber.com       CA"/>
    <s v="1455 MARKET ST_x000a_4TH FLOOR"/>
    <s v="SAN FRANCISCO_x000a_CA"/>
    <n v="94103"/>
    <s v="UNITED STATES"/>
    <s v="'320252570868944649'"/>
    <s v="Transportation-Taxis &amp; Coach"/>
    <s v="AMEXPLATINUM"/>
    <x v="2"/>
  </r>
  <r>
    <d v="2025-09-14T00:00:00"/>
    <s v="UBER EATS           help.uber.com       CA"/>
    <n v="151.02000000000001"/>
    <s v="0VJSGR7E   3YTNJXWL         94103_x000a_UBER EATS_x000a_help.uber.com_x000a_CA_x000a_3YTNJXWL         94103"/>
    <s v="UBER EATS           help.uber.com       CA"/>
    <s v="1455 MARKET ST_x000a_-"/>
    <s v="SAN FRANCISCO_x000a_CA"/>
    <n v="94103"/>
    <s v="UNITED STATES"/>
    <s v="'320252570870537093'"/>
    <s v="Restaurant-Restaurant"/>
    <s v="AMEXPLATINUM"/>
    <x v="3"/>
  </r>
  <r>
    <d v="2025-09-14T00:00:00"/>
    <s v="UBER EATS           help.uber.com       CA"/>
    <n v="52.72"/>
    <s v="BXMNKKQ3   SIOW445R         94103_x000a_UBER EATS_x000a_help.uber.com_x000a_CA_x000a_SIOW445R         94103"/>
    <s v="UBER EATS           help.uber.com       CA"/>
    <s v="1455 MARKET ST_x000a_-"/>
    <s v="SAN FRANCISCO_x000a_CA"/>
    <n v="94103"/>
    <s v="UNITED STATES"/>
    <s v="'320252570870836207'"/>
    <s v="Restaurant-Restaurant"/>
    <s v="AMEXPLATINUM"/>
    <x v="3"/>
  </r>
  <r>
    <d v="2025-09-14T00:00:00"/>
    <s v="PREM CAR RENTAL PROTECTION 800-228-6855"/>
    <n v="24.95"/>
    <s v="CRA028825088 09/12/2025 NEW YORK_x000a_PREM CAR RENTAL PROTECTION 800-228-6855"/>
    <s v="PREM CAR RENTAL PROTECTION 800-228-6855"/>
    <s v="200 VESEY STREET_x000a_43RD FLOOR"/>
    <s v="NEW YORK_x000a_NY"/>
    <n v="10285"/>
    <s v="UNITED STATES"/>
    <s v="'320252570885321148'"/>
    <s v="Business Services-Insurance Services"/>
    <s v="DELTARESERVE"/>
    <x v="9"/>
  </r>
  <r>
    <d v="2025-09-14T00:00:00"/>
    <s v="AT&amp;T"/>
    <n v="109.4"/>
    <s v="41739878    800-331-0500_x000a_AT&amp;T MOBILITY RECURRING_x000a_800-288-2020_x000a_TX_x000a_Description : TELECOMMUNICATIONS Price : 0.00_x000a_800-331-0500"/>
    <s v="AT&amp;T MOBILITY RECURR800-288-2020        TX"/>
    <s v="208 SOUTH AKARD ST_x000a_FL 10"/>
    <s v="DALLAS_x000a_TX"/>
    <s v="75202-4208"/>
    <s v="UNITED STATES"/>
    <s v="'320252580909191418'"/>
    <s v="Communications-Mobile Telecom"/>
    <s v="DELTARESERVE"/>
    <x v="5"/>
  </r>
  <r>
    <d v="2025-09-15T00:00:00"/>
    <s v="APPLE.COM/BILL      INTERNET CHARGE     CA"/>
    <n v="7.48"/>
    <s v="MTK82JWH6F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580894839711'"/>
    <s v="Merchandise &amp; Supplies-Internet Purchase"/>
    <s v="AMEXPLATINUM"/>
    <x v="3"/>
  </r>
  <r>
    <d v="2025-09-15T00:00:00"/>
    <s v="UBER EATS           help.uber.com       CA"/>
    <n v="144.30000000000001"/>
    <s v="RHCAJD60   YES2VM7S         94103_x000a_UBER EATS_x000a_help.uber.com_x000a_CA_x000a_YES2VM7S         94103"/>
    <s v="UBER EATS           help.uber.com       CA"/>
    <s v="1455 MARKET ST_x000a_-"/>
    <s v="SAN FRANCISCO_x000a_CA"/>
    <n v="94103"/>
    <s v="UNITED STATES"/>
    <s v="'320252580897090082'"/>
    <s v="Restaurant-Restaurant"/>
    <s v="AMEXPLATINUM"/>
    <x v="3"/>
  </r>
  <r>
    <d v="2025-09-15T00:00:00"/>
    <s v="TABULAR EDITOR APS  NORDHAVN            DK"/>
    <n v="10"/>
    <s v="CH_3S7LFZAV +4535153137_x000a_TABULAR EDITOR APS_x000a_NORDHAVN_x000a_DK_x000a_+4535153137"/>
    <s v="TABULAR EDITOR APS  NORDHAVN            DK"/>
    <s v="SUNDKAJ 125_x000a_NORDHAVN"/>
    <m/>
    <n v="2150"/>
    <s v="DENMARK"/>
    <s v="'320252590929069810'"/>
    <s v="Merchandise &amp; Supplies-Computer Supplies"/>
    <s v="DELTARESERVE"/>
    <x v="1"/>
  </r>
  <r>
    <d v="2025-09-15T00:00:00"/>
    <s v="ERACTOLL 9L9D62     877-860-1258        NY"/>
    <n v="33.93"/>
    <s v="T208462420  877-860-1258_x000a_ERACTOLL 9L9D62_x000a_877-860-1258_x000a_NY_x000a_Description : ERACTOLL 9L9D62 Price : 0.00_x000a_877-860-1258"/>
    <s v="ERACTOLL 9L9D62     877-860-1258        NY"/>
    <s v="-"/>
    <e v="#NAME?"/>
    <n v="11577"/>
    <s v="UNITED STATES"/>
    <s v="'320252590930088871'"/>
    <s v="Transportation-Tolls &amp; Fees"/>
    <s v="DELTARESERVE"/>
    <x v="9"/>
  </r>
  <r>
    <d v="2025-09-15T00:00:00"/>
    <s v="CVS PHARMACY        NEW YORK            NY"/>
    <n v="4"/>
    <s v="10088257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2590932834644'"/>
    <s v="Merchandise &amp; Supplies-Pharmacies"/>
    <s v="AMEXPLATINUM"/>
    <x v="3"/>
  </r>
  <r>
    <d v="2025-09-15T00:00:00"/>
    <s v="CHICK-FIL-A #04161 0NEW YORK            NY"/>
    <n v="64.63"/>
    <s v="000475331   9999999999_x000a_CHICK-FIL-A #04161 000000000486725_x000a_NEW YORK_x000a_NY_x000a_9999999999"/>
    <s v="CHICK-FIL-A #04161 0NEW YORK            NY"/>
    <s v="700 AVE OF THE AMERICAS"/>
    <s v="NEW YORK_x000a_NY"/>
    <n v="10010"/>
    <s v="UNITED STATES"/>
    <s v="'320252590939600609'"/>
    <s v="Restaurant-Bar &amp; CafÃ©"/>
    <s v="AMEXPLATINUM"/>
    <x v="3"/>
  </r>
  <r>
    <d v="2025-09-16T00:00:00"/>
    <s v="SPLICE.COM          NEW YORK            NY"/>
    <n v="27.99"/>
    <s v="CH_3S82O5CF 3235775423_x000a_SPLICE.COM_x000a_NEW YORK_x000a_NY_x000a_3235775423"/>
    <s v="SPLICE.COM          NEW YORK            NY"/>
    <s v="817 BROADWAY FLOOR 4"/>
    <s v="NEW YORK_x000a_NY"/>
    <n v="10003"/>
    <s v="UNITED STATES"/>
    <s v="'320252590922465916'"/>
    <s v="Merchandise &amp; Supplies-Computer Supplies"/>
    <s v="AMEXPLATINUM"/>
    <x v="3"/>
  </r>
  <r>
    <d v="2025-09-16T00:00:00"/>
    <s v="THE CLEANERS IO, LLCNEW YORK            NY"/>
    <n v="70.31"/>
    <s v="5GztzeGUsQq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590922691980'"/>
    <s v="Business Services-Other Services"/>
    <s v="AMEXPLATINUM"/>
    <x v="8"/>
  </r>
  <r>
    <d v="2025-09-16T00:00:00"/>
    <s v="LE CAFE COFFEE      New York            NY"/>
    <n v="8.44"/>
    <s v="LDLO8iqxRFG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590923106254'"/>
    <s v="Restaurant-Bar &amp; CafÃ©"/>
    <s v="AMEXPLATINUM"/>
    <x v="3"/>
  </r>
  <r>
    <d v="2025-09-16T00:00:00"/>
    <s v="TST* JOE COFFEE - LANEW YORK            NY"/>
    <n v="15.93"/>
    <s v="7NivUtarH00 2129247400_x000a_TST* JOE COFFEE - LAGUARD 300633109_x000a_NEW YORK_x000a_NY_x000a_Description : RESTAURANTS Price : 0.1593_x000a_2129247400"/>
    <s v="TST* JOE COFFEE - LANEW YORK            NY"/>
    <s v="550 LAGUARDIA PLACE"/>
    <s v="NEW YORK_x000a_NY"/>
    <n v="10012"/>
    <s v="UNITED STATES"/>
    <s v="'320252590928410623'"/>
    <s v="Merchandise &amp; Supplies-Groceries"/>
    <s v="AMEXPLATINUM"/>
    <x v="3"/>
  </r>
  <r>
    <d v="2025-09-16T00:00:00"/>
    <s v="BARNES NOBLE        NEW YORK            NY"/>
    <n v="36.950000000000003"/>
    <s v="00026750917 8662387323_x000a_BARNES NOBLE_x000a_NEW YORK_x000a_NY_x000a_Description : REFER TO RECEIPT Price : 0.00_x000a_8662387323"/>
    <s v="BARNES NOBLE        NEW YORK            NY"/>
    <s v="33 EAST 17TH ST SUITE 1"/>
    <s v="NEW YORK_x000a_NY"/>
    <n v="10003"/>
    <s v="UNITED STATES"/>
    <s v="'320252600953099168'"/>
    <s v="Merchandise &amp; Supplies-Book Stores"/>
    <s v="AMEXPLATINUM"/>
    <x v="3"/>
  </r>
  <r>
    <d v="2025-09-16T00:00:00"/>
    <s v="PRET A MANGER US0105NEW YORK            NY"/>
    <n v="12.03"/>
    <s v="152907     152907           10019_x000a_PRET A MANGER US0105 US01_x000a_NEW YORK_x000a_NY_x000a_152907           10019"/>
    <s v="PRET A MANGER US0105NEW YORK            NY"/>
    <s v="100 CENTRAL PARK SOUTH"/>
    <s v="NEW YORK_x000a_NY"/>
    <n v="10019"/>
    <s v="UNITED STATES"/>
    <s v="'320252600957349386'"/>
    <s v="Restaurant-Bar &amp; CafÃ©"/>
    <s v="DELTARESERVE"/>
    <x v="3"/>
  </r>
  <r>
    <d v="2025-09-16T00:00:00"/>
    <s v="AMAZON MARKEPLACE NA PA"/>
    <n v="48.98"/>
    <s v="2LHWJOGWFVR MERCHANDISE_x000a_AMAZON MARKETPLACE NA PA_x000a_AMZN.COM/BILL_x000a_WA_x000a_MERCHANDISE"/>
    <s v="AMAZON MARKETPLACE NAMZN.COM/BILL       WA"/>
    <s v="410 TERRY AVE N"/>
    <s v="SEATTLE_x000a_WA"/>
    <n v="98109"/>
    <s v="UNITED STATES"/>
    <s v="'320252600958536448'"/>
    <s v="Merchandise &amp; Supplies-Internet Purchase"/>
    <s v="AMEXPLATINUM"/>
    <x v="3"/>
  </r>
  <r>
    <d v="2025-09-17T00:00:00"/>
    <s v="BT*MEDIEVAL COLLECTIPRINCETON           IN"/>
    <n v="844.35"/>
    <s v="RMBXWG7V   8123867047_x000a_BT*MEDIEVAL COLLECTIBLES_x000a_PRINCETON_x000a_IN_x000a_8123867047"/>
    <s v="BT*MEDIEVAL COLLECTIPRINCETON           IN"/>
    <s v="401 NORTH RICHLAND CRK DR"/>
    <s v="PRINCETON_x000a_IN"/>
    <n v="47670"/>
    <s v="UNITED STATES"/>
    <s v="'320252600948294493'"/>
    <s v="Merchandise &amp; Supplies-General Retail"/>
    <s v="DELTARESERVE"/>
    <x v="3"/>
  </r>
  <r>
    <d v="2025-09-17T00:00:00"/>
    <s v="UBER"/>
    <n v="88"/>
    <s v="NM1JFAFZ   WTC5OCJD         10019_x000a_Uber Trip_x000a_help.uber.com_x000a_CA_x000a_WTC5OCJD         10019"/>
    <s v="Uber Trip           help.uber.com       CA"/>
    <s v="1455 MARKET ST_x000a_4TH FLOOR"/>
    <s v="SAN FRANCISCO_x000a_CA"/>
    <n v="94103"/>
    <s v="UNITED STATES"/>
    <s v="'320252600950941849'"/>
    <s v="Transportation-Taxis &amp; Coach"/>
    <s v="AMEXPLATINUM"/>
    <x v="2"/>
  </r>
  <r>
    <d v="2025-09-17T00:00:00"/>
    <s v="UBER"/>
    <n v="88.43"/>
    <s v="CP5RHVJM   AHK4LVUY         10012_x000a_Uber Trip_x000a_help.uber.com_x000a_CA_x000a_AHK4LVUY         10012"/>
    <s v="Uber Trip           help.uber.com       CA"/>
    <s v="1455 MARKET ST_x000a_4TH FLOOR"/>
    <s v="SAN FRANCISCO_x000a_CA"/>
    <n v="94103"/>
    <s v="UNITED STATES"/>
    <s v="'320252600951767709'"/>
    <s v="Transportation-Taxis &amp; Coach"/>
    <s v="AMEXPLATINUM"/>
    <x v="2"/>
  </r>
  <r>
    <d v="2025-09-17T00:00:00"/>
    <s v="UBER"/>
    <n v="60.83"/>
    <s v="FREMK1NZ   R7WU7H53         10022_x000a_Uber Trip_x000a_help.uber.com_x000a_CA_x000a_R7WU7H53         10022"/>
    <s v="Uber Trip           help.uber.com       CA"/>
    <s v="1455 MARKET ST_x000a_4TH FLOOR"/>
    <s v="SAN FRANCISCO_x000a_CA"/>
    <n v="94103"/>
    <s v="UNITED STATES"/>
    <s v="'320252600953153887'"/>
    <s v="Transportation-Taxis &amp; Coach"/>
    <s v="AMEXPLATINUM"/>
    <x v="2"/>
  </r>
  <r>
    <d v="2025-09-17T00:00:00"/>
    <s v="MINETTA TAVERN RESTANEW YORK            NY"/>
    <n v="520"/>
    <s v="2129255340_x000a_MINETTA TAVERN RESTAUR_x000a_NEW YORK_x000a_NY_x000a_2129255340"/>
    <s v="MINETTA TAVERN RESTANEW YORK            NY"/>
    <s v="113 MACDOUGAL ST"/>
    <s v="NEW YORK_x000a_NY"/>
    <s v="10012-1201"/>
    <s v="UNITED STATES"/>
    <s v="'320252600956716102'"/>
    <s v="Restaurant-Bar &amp; CafÃ©"/>
    <s v="DELTARESERVE"/>
    <x v="11"/>
  </r>
  <r>
    <d v="2025-09-17T00:00:00"/>
    <s v="ERACTOLL 93CF1J     877-860-1258        NY"/>
    <n v="9.15"/>
    <s v="T208548150  877-860-1258_x000a_ERACTOLL 93CF1J_x000a_877-860-1258_x000a_NY_x000a_Description : ERACTOLL 93CF1J Price : 0.00_x000a_877-860-1258"/>
    <s v="ERACTOLL 93CF1J     877-860-1258        NY"/>
    <s v="-"/>
    <e v="#NAME?"/>
    <n v="11577"/>
    <s v="UNITED STATES"/>
    <s v="'320252610984502820'"/>
    <s v="Transportation-Tolls &amp; Fees"/>
    <s v="DELTARESERVE"/>
    <x v="9"/>
  </r>
  <r>
    <d v="2025-09-17T00:00:00"/>
    <s v="FACEBK *XCCMQZLRF2  MENLO PARK"/>
    <n v="57"/>
    <s v="24567076239 ADVERTISING SERVICE_x000a_FACEBK *XCCMQZLRF2_x000a_MENLO PARK_x000a_ADVERTISING SERVICE"/>
    <s v="FACEBK *XCCMQZLRF2  MENLO PARK"/>
    <s v="1 HACKER WAY"/>
    <s v="MENLO PARK_x000a_CA"/>
    <n v="94025"/>
    <s v="UNITED STATES"/>
    <s v="'320252610994506311'"/>
    <s v="Business Services-Advertising Services"/>
    <s v="AMEXPLATINUM"/>
    <x v="3"/>
  </r>
  <r>
    <d v="2025-09-18T00:00:00"/>
    <s v="LE CAFE COFFEE      New York            NY"/>
    <n v="9.44"/>
    <s v="FIXmy24z15S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610978939726'"/>
    <s v="Restaurant-Bar &amp; CafÃ©"/>
    <s v="AMEXPLATINUM"/>
    <x v="3"/>
  </r>
  <r>
    <d v="2025-09-18T00:00:00"/>
    <s v="UBER EATS           help.uber.com       CA"/>
    <n v="180.16"/>
    <s v="CR4EGWAQ   JHEOCC6C         94103_x000a_UBER EATS_x000a_help.uber.com_x000a_CA_x000a_JHEOCC6C         94103"/>
    <s v="UBER EATS           help.uber.com       CA"/>
    <s v="1455 MARKET ST_x000a_-"/>
    <s v="SAN FRANCISCO_x000a_CA"/>
    <n v="94103"/>
    <s v="UNITED STATES"/>
    <s v="'320252610980068709'"/>
    <s v="Restaurant-Restaurant"/>
    <s v="AMEXPLATINUM"/>
    <x v="3"/>
  </r>
  <r>
    <d v="2025-09-18T00:00:00"/>
    <s v="ROSEVALE KITCHEN ANDNEW YORK            NY"/>
    <n v="700"/>
    <s v="41493177   1324             10036_x000a_PINKPONYMASQUERADE_x000a_WESTEGGCOCKTAIL_x000a_GREYGOOSE_x000a_ROSEVALE KITCHEN AND COC 0448_x000a_NEW YORK_x000a_NY_x000a_PINKPONYMASQUERADE_x000a_WESTEGGCOCKTAIL_x000a_GREYGOOSE_x000a_1324             10036"/>
    <s v="ROSEVALE KITCHEN ANDNEW YORK            NY"/>
    <s v="305 WEST 48TH ST"/>
    <s v="NEW YORK_x000a_NY"/>
    <s v="10036-1348"/>
    <s v="UNITED STATES"/>
    <s v="'320252620007598914'"/>
    <s v="Restaurant-Restaurant"/>
    <s v="DELTARESERVE"/>
    <x v="11"/>
  </r>
  <r>
    <d v="2025-09-18T00:00:00"/>
    <s v="UBER"/>
    <n v="54.65"/>
    <s v="N8CFTDF979F TAXICAB &amp; LIMOUSINE_x000a_Uber Trip_x000a_help.uber.com_x000a_CA_x000a_TAXICAB &amp; LIMOUSINE"/>
    <s v="Uber Trip           help.uber.com       CA"/>
    <s v="1455 MARKET ST_x000a_4TH FLOOR"/>
    <s v="SAN FRANCISCO_x000a_CA"/>
    <n v="94103"/>
    <s v="UNITED STATES"/>
    <s v="'320252620010309135'"/>
    <s v="Transportation-Taxis &amp; Coach"/>
    <s v="AMEXPLATINUM"/>
    <x v="2"/>
  </r>
  <r>
    <d v="2025-09-18T00:00:00"/>
    <s v="WHOLEFDS USQ 10162 0NEW YORK            NY"/>
    <n v="26.66"/>
    <s v="0EQEIGXPVR6 2126735388_x000a_WHOLEFDS USQ 10162 000010162_x000a_NEW YORK_x000a_NY_x000a_Description : GROCERY STORES Price : 0.2666_x000a_2126735388"/>
    <s v="WHOLEFDS USQ 10162 0NEW YORK            NY"/>
    <s v="250 7TH AVE STE 511"/>
    <s v="NEW YORK_x000a_NY"/>
    <n v="10001"/>
    <s v="UNITED STATES"/>
    <s v="'320252620015662374'"/>
    <s v="Merchandise &amp; Supplies-Groceries"/>
    <s v="AMEXPLATINUM"/>
    <x v="3"/>
  </r>
  <r>
    <d v="2025-09-18T00:00:00"/>
    <s v="GRISTEDES           NEW YORK            NY"/>
    <n v="17.98"/>
    <s v="00542200020 2123531330_x000a_GRISTEDES_x000a_NEW YORK_x000a_NY_x000a_Description : GROCERY STORES Price : 0.1798_x000a_2123531330"/>
    <s v="GRISTEDES           NEW YORK            NY"/>
    <s v="25 UNIVERSITY PL"/>
    <s v="NEW YORK_x000a_NY"/>
    <n v="10003"/>
    <s v="UNITED STATES"/>
    <s v="'320252620015675934'"/>
    <s v="Merchandise &amp; Supplies-Groceries"/>
    <s v="AMEXPLATINUM"/>
    <x v="3"/>
  </r>
  <r>
    <d v="2025-09-18T00:00:00"/>
    <s v="VENMO *HEIDI KLING  8558124430          NY"/>
    <n v="1545"/>
    <s v="10190662585 8558124430_x000a_VENMO *HEIDI KLING_x000a_8558124430_x000a_NY_x000a_&quot;Description : BUSINESS SERVICES, Price : 0.00&quot;_x000a_8558124430"/>
    <s v="VENMO *HEIDI KLING  8558124430          NY"/>
    <s v="2211 NORTH FIRST ST"/>
    <s v="SAN JOSE_x000a_CA"/>
    <n v="95131"/>
    <s v="UNITED STATES"/>
    <s v="'320252620021238578'"/>
    <s v="Business Services-Internet Services"/>
    <s v="AMEXPLATINUM"/>
    <x v="3"/>
  </r>
  <r>
    <d v="2025-09-18T00:00:00"/>
    <s v="VENMO *TENNESSEE LIE8558124430          NY"/>
    <n v="463.5"/>
    <s v="10190662560 8558124430_x000a_VENMO *TENNESSEE LIEBERM_x000a_8558124430_x000a_NY_x000a_&quot;Description : BUSINESS SERVICES, Price : 0.00&quot;_x000a_8558124430"/>
    <s v="VENMO *TENNESSEE LIE8558124430          NY"/>
    <s v="2211 NORTH FIRST ST"/>
    <s v="SAN JOSE_x000a_CA"/>
    <n v="95131"/>
    <s v="UNITED STATES"/>
    <s v="'320252620023253731'"/>
    <s v="Business Services-Internet Services"/>
    <s v="AMEXPLATINUM"/>
    <x v="3"/>
  </r>
  <r>
    <d v="2025-09-19T00:00:00"/>
    <s v="UBER"/>
    <n v="59.89"/>
    <s v="0673M2Z0   HRVLSWFC         11205_x000a_Uber Trip_x000a_help.uber.com_x000a_CA_x000a_HRVLSWFC         11205"/>
    <s v="Uber Trip           help.uber.com       CA"/>
    <s v="1455 MARKET ST_x000a_4TH FLOOR"/>
    <s v="SAN FRANCISCO_x000a_CA"/>
    <n v="94103"/>
    <s v="UNITED STATES"/>
    <s v="'320252620003014937'"/>
    <s v="Transportation-Taxis &amp; Coach"/>
    <s v="AMEXPLATINUM"/>
    <x v="2"/>
  </r>
  <r>
    <d v="2025-09-19T00:00:00"/>
    <s v="PRIME VIDEO *UZ7EA57888-802-3080        WA"/>
    <n v="3.99"/>
    <s v="21HSASRYAQO DIGITAL_x000a_PRIME VIDEO *UZ7EA57B3_x000a_888-802-3080_x000a_WA_x000a_DIGITAL"/>
    <s v="PRIME VIDEO *UZ7EA57888-802-3080        WA"/>
    <s v="1512 2ND AVE"/>
    <s v="SEATTLE_x000a_WA"/>
    <s v="98101-1508"/>
    <s v="UNITED STATES"/>
    <s v="'320252620003244262'"/>
    <s v="Merchandise &amp; Supplies-Internet Purchase"/>
    <s v="DELTARESERVE"/>
    <x v="3"/>
  </r>
  <r>
    <d v="2025-09-19T00:00:00"/>
    <s v="UBER"/>
    <n v="8.15"/>
    <s v="4M8GFQE0   ZVMWNXKW         10013_x000a_Uber Trip_x000a_help.uber.com_x000a_CA_x000a_ZVMWNXKW         10013"/>
    <s v="Uber Trip           help.uber.com       CA"/>
    <s v="1455 MARKET ST_x000a_4TH FLOOR"/>
    <s v="SAN FRANCISCO_x000a_CA"/>
    <n v="94103"/>
    <s v="UNITED STATES"/>
    <s v="'320252620003739978'"/>
    <s v="Transportation-Taxis &amp; Coach"/>
    <s v="AMEXPLATINUM"/>
    <x v="2"/>
  </r>
  <r>
    <d v="2025-09-19T00:00:00"/>
    <s v="UBER"/>
    <n v="33.67"/>
    <s v="1MTH8P15   LZR2IIYC         10014_x000a_Uber Trip_x000a_help.uber.com_x000a_CA_x000a_LZR2IIYC         10014"/>
    <s v="Uber Trip           help.uber.com       CA"/>
    <s v="1455 MARKET ST_x000a_4TH FLOOR"/>
    <s v="SAN FRANCISCO_x000a_CA"/>
    <n v="94103"/>
    <s v="UNITED STATES"/>
    <s v="'320252620007611151'"/>
    <s v="Transportation-Taxis &amp; Coach"/>
    <s v="AMEXPLATINUM"/>
    <x v="2"/>
  </r>
  <r>
    <d v="2025-09-19T00:00:00"/>
    <s v="LEVI.COM            SAN FRANCISCO       CA"/>
    <n v="130"/>
    <s v="72330187JFK 800-923-6245_x000a_LEVI.COM_x000a_SAN FRANCISCO_x000a_CA_x000a_Description : APPAREL/ACC Price : 0.00_x000a_800-923-6245"/>
    <s v="LEVI.COM            SAN FRANCISCO       CA"/>
    <s v="1155 BATTERY ST"/>
    <s v="SAN FRANCISCO_x000a_CA"/>
    <s v="94111-1203"/>
    <s v="UNITED STATES"/>
    <s v="'320252620009034226'"/>
    <s v="Merchandise &amp; Supplies-Internet Purchase"/>
    <s v="AMEXPLATINUM"/>
    <x v="3"/>
  </r>
  <r>
    <d v="2025-09-19T00:00:00"/>
    <s v="UBER EATS           help.uber.com       CA"/>
    <n v="271.20999999999998"/>
    <s v="28WDXM6S   TREDXZUS         94103_x000a_UBER EATS_x000a_help.uber.com_x000a_CA_x000a_TREDXZUS         94103"/>
    <s v="UBER EATS           help.uber.com       CA"/>
    <s v="1455 MARKET ST_x000a_-"/>
    <s v="SAN FRANCISCO_x000a_CA"/>
    <n v="94103"/>
    <s v="UNITED STATES"/>
    <s v="'320252630038923495'"/>
    <s v="Restaurant-Restaurant"/>
    <s v="AMEXPLATINUM"/>
    <x v="3"/>
  </r>
  <r>
    <d v="2025-09-19T00:00:00"/>
    <s v="D J*WSJ             800-568-7625        NJ"/>
    <n v="41.72"/>
    <s v="P-041750471 SUBSRIPTION_x000a_D J*WSJ_x000a_800-568-7625_x000a_NJ_x000a_SUBSRIPTION"/>
    <s v="D J*WSJ             800-568-7625        NJ"/>
    <s v="4300 RTE 1 NORTH"/>
    <s v="SOUTH BRUNSWICK_x000a_NJ"/>
    <s v="08852"/>
    <s v="UNITED STATES"/>
    <s v="'320252630043610828'"/>
    <s v="Merchandise &amp; Supplies-Mail Order"/>
    <s v="AMEXPLATINUM"/>
    <x v="8"/>
  </r>
  <r>
    <d v="2025-09-20T00:00:00"/>
    <s v="NATIVELY* TRIAL OVERAUSTIN              TX"/>
    <n v="49"/>
    <s v="CH_3S9VHHBX +13072191144_x000a_NATIVELY* TRIAL OVER_x000a_AUSTIN_x000a_TX_x000a_+13072191144"/>
    <s v="NATIVELY* TRIAL OVERAUSTIN              TX"/>
    <s v="9900 SPECTRUM DR"/>
    <s v="AUSTIN_x000a_TX"/>
    <n v="78717"/>
    <s v="UNITED STATES"/>
    <s v="'320252630030358516'"/>
    <s v="Business Services-Employment Agencies"/>
    <s v="AMEXPLATINUM"/>
    <x v="3"/>
  </r>
  <r>
    <d v="2025-09-20T00:00:00"/>
    <s v="UBER"/>
    <n v="48.08"/>
    <s v="AX2X1GDE   3PXHQIS4         10012_x000a_Uber Trip_x000a_help.uber.com_x000a_CA_x000a_3PXHQIS4         10012"/>
    <s v="Uber Trip           help.uber.com       CA"/>
    <s v="1455 MARKET ST_x000a_4TH FLOOR"/>
    <s v="SAN FRANCISCO_x000a_CA"/>
    <n v="94103"/>
    <s v="UNITED STATES"/>
    <s v="'320252630036145456'"/>
    <s v="Transportation-Taxis &amp; Coach"/>
    <s v="AMEXPLATINUM"/>
    <x v="2"/>
  </r>
  <r>
    <d v="2025-09-20T00:00:00"/>
    <s v="SPLICE.COM          NEW YORK            NY"/>
    <n v="13.9"/>
    <s v="CH_3S9RXUCF 3235775423_x000a_SPLICE.COM_x000a_NEW YORK_x000a_NY_x000a_3235775423"/>
    <s v="SPLICE.COM          NEW YORK            NY"/>
    <s v="817 BROADWAY FLOOR 4"/>
    <s v="NEW YORK_x000a_NY"/>
    <n v="10003"/>
    <s v="UNITED STATES"/>
    <s v="'320252630036607247'"/>
    <s v="Merchandise &amp; Supplies-Computer Supplies"/>
    <s v="AMEXPLATINUM"/>
    <x v="3"/>
  </r>
  <r>
    <d v="2025-09-20T00:00:00"/>
    <s v="AMAZON MARKEPLACE NA PA"/>
    <n v="22.96"/>
    <s v="17GT1EOZ6XV MERCHANDISE_x000a_AMAZON MARKETPLACE NA PA_x000a_AMZN.COM/BILL_x000a_WA_x000a_MERCHANDISE"/>
    <s v="AMAZON MARKETPLACE NAMZN.COM/BILL       WA"/>
    <s v="410 TERRY AVE N"/>
    <s v="SEATTLE_x000a_WA"/>
    <n v="98109"/>
    <s v="UNITED STATES"/>
    <s v="'320252640071242570'"/>
    <s v="Merchandise &amp; Supplies-Internet Purchase"/>
    <s v="AMEXPLATINUM"/>
    <x v="3"/>
  </r>
  <r>
    <d v="2025-09-20T00:00:00"/>
    <s v="STAPLES 01106       MANHATTAN           NY"/>
    <n v="40.61"/>
    <s v="000540781  01106000540781   10003_x000a_CUSTOM UNBOUND DOCUMENT_x000a_STAPLES 01106_x000a_MANHATTAN_x000a_NY_x000a_CUSTOM UNBOUND DOCUMENT_x000a_01106000540781   10003"/>
    <s v="STAPLES 01106       MANHATTAN           NY"/>
    <s v="769 BROADWAY"/>
    <s v="NEW YORK_x000a_NY"/>
    <s v="10003-6803"/>
    <s v="UNITED STATES"/>
    <s v="'320252640071926491'"/>
    <s v="Business Services-Office Supplies"/>
    <s v="AMEXPLATINUM"/>
    <x v="3"/>
  </r>
  <r>
    <d v="2025-09-20T00:00:00"/>
    <s v="STAPLES 01106       MANHATTAN           NY"/>
    <n v="9.0299999999999994"/>
    <s v="000540782  01106000540782   10003_x000a_SCOTCH SUPERHOLD 2PK CADDY_x000a_STAPLES 01106_x000a_MANHATTAN_x000a_NY_x000a_SCOTCH SUPERHOLD 2PK CADDY_x000a_01106000540782   10003"/>
    <s v="STAPLES 01106       MANHATTAN           NY"/>
    <s v="769 BROADWAY"/>
    <s v="NEW YORK_x000a_NY"/>
    <s v="10003-6803"/>
    <s v="UNITED STATES"/>
    <s v="'320252640071927431'"/>
    <s v="Business Services-Office Supplies"/>
    <s v="AMEXPLATINUM"/>
    <x v="3"/>
  </r>
  <r>
    <d v="2025-09-21T00:00:00"/>
    <s v="UBER EATS           help.uber.com       CA"/>
    <n v="134.33000000000001"/>
    <s v="RGRSY0WX   A5XXJWT6         94103_x000a_UBER EATS_x000a_help.uber.com_x000a_CA_x000a_A5XXJWT6         94103"/>
    <s v="UBER EATS           help.uber.com       CA"/>
    <s v="1455 MARKET ST_x000a_-"/>
    <s v="SAN FRANCISCO_x000a_CA"/>
    <n v="94103"/>
    <s v="UNITED STATES"/>
    <s v="'320252640065045796'"/>
    <s v="Restaurant-Restaurant"/>
    <s v="AMEXPLATINUM"/>
    <x v="3"/>
  </r>
  <r>
    <d v="2025-09-21T00:00:00"/>
    <s v="REPLIT, INC.        FOSTER CITY         CA"/>
    <n v="16.05"/>
    <s v="CH_3S9SU5JA +16282002281_x000a_REPLIT, INC._x000a_FOSTER CITY_x000a_CA_x000a_+16282002281"/>
    <s v="REPLIT, INC.        FOSTER CITY         CA"/>
    <s v="1001 EAST HILLSDALE BLVD_x000a_SUITE 400W"/>
    <s v="FOSTER CITY_x000a_CA"/>
    <n v="94404"/>
    <s v="UNITED STATES"/>
    <s v="'320252640081930394'"/>
    <s v="Merchandise &amp; Supplies-Computer Supplies"/>
    <s v="AMEXPLATINUM"/>
    <x v="1"/>
  </r>
  <r>
    <d v="2025-09-21T00:00:00"/>
    <s v="CANVA* I04646-413243CAMDEN              DE"/>
    <n v="15"/>
    <s v="CH_2S9UQRK8 +17372853388_x000a_CANVA* I04646-41324370_x000a_CAMDEN_x000a_DE_x000a_+17372853388"/>
    <s v="CANVA* I04646-413243CAMDEN              DE"/>
    <s v="2140 SOUTH DUPONT HWY"/>
    <s v="CAMDEN_x000a_DE"/>
    <n v="19934"/>
    <s v="UNITED STATES"/>
    <s v="'320252640082009438'"/>
    <s v="Business Services-Professional Services"/>
    <s v="AMEXPLATINUM"/>
    <x v="1"/>
  </r>
  <r>
    <d v="2025-09-21T00:00:00"/>
    <s v="PRIME VIDEO *3V6PY54888-802-3080        WA"/>
    <n v="19.989999999999998"/>
    <s v="3UFRX5PI9TE DIGITAL_x000a_PRIME VIDEO *3V6PY54W3_x000a_888-802-3080_x000a_WA_x000a_DIGITAL"/>
    <s v="PRIME VIDEO *3V6PY54888-802-3080        WA"/>
    <s v="1512 2ND AVE"/>
    <s v="SEATTLE_x000a_WA"/>
    <s v="98101-1508"/>
    <s v="UNITED STATES"/>
    <s v="'320252640082058753'"/>
    <s v="Merchandise &amp; Supplies-Internet Purchase"/>
    <s v="DELTARESERVE"/>
    <x v="3"/>
  </r>
  <r>
    <d v="2025-09-21T00:00:00"/>
    <s v="TECHBRIG INC        DOVER               DE"/>
    <n v="10"/>
    <s v="CH_3SA1GZLE +19298449541_x000a_TECHBRIG INC_x000a_DOVER_x000a_DE_x000a_+19298449541"/>
    <s v="TECHBRIG INC        DOVER               DE"/>
    <s v="1111B SOUTH GOVERNORS AVE_x000a_STE 21440"/>
    <s v="DOVER_x000a_DE"/>
    <n v="19904"/>
    <s v="UNITED STATES"/>
    <s v="'320252650101730980'"/>
    <s v="Business Services-Employment Agencies"/>
    <s v="DELTARESERVE"/>
    <x v="6"/>
  </r>
  <r>
    <d v="2025-09-22T00:00:00"/>
    <s v="OPENAI              SAN FRANCISCO       CA"/>
    <n v="10.7"/>
    <s v="CH_3SAHOLC6 +14158799686_x000a_OPENAI_x000a_SAN FRANCISCO_x000a_CA_x000a_+14158799686"/>
    <s v="OPENAI              SAN FRANCISCO       CA"/>
    <s v="3180 18TH ST_x000a_STE 100"/>
    <s v="SAN FRANCISCO_x000a_CA"/>
    <n v="94110"/>
    <s v="UNITED STATES"/>
    <s v="'320252650086588608'"/>
    <s v="Merchandise &amp; Supplies-Computer Supplies"/>
    <s v="AMEXPLATINUM"/>
    <x v="3"/>
  </r>
  <r>
    <d v="2025-09-22T00:00:00"/>
    <s v="DISTROKID EXTRAS    NEW YORK            NY"/>
    <n v="1.06"/>
    <s v="CH_2SAHBLJS +14153666101_x000a_DISTROKID EXTRAS_x000a_NEW YORK_x000a_NY_x000a_+14153666101"/>
    <s v="DISTROKID EXTRAS    NEW YORK            NY"/>
    <s v="228 PARK AVE SOUTH"/>
    <s v="NEW YORK_x000a_NY"/>
    <n v="10003"/>
    <s v="UNITED STATES"/>
    <s v="'320252650086610655'"/>
    <s v="Other-Miscellaneous"/>
    <s v="AMEXPLATINUM"/>
    <x v="3"/>
  </r>
  <r>
    <d v="2025-09-22T00:00:00"/>
    <s v="PRIME VIDEO *OP0RY1J888-802-3080        WA"/>
    <n v="3.99"/>
    <s v="3U78L7DI4WE DIGITAL_x000a_PRIME VIDEO *OP0RY1JW3_x000a_888-802-3080_x000a_WA_x000a_DIGITAL"/>
    <s v="PRIME VIDEO *OP0RY1J888-802-3080        WA"/>
    <s v="1512 2ND AVE"/>
    <s v="SEATTLE_x000a_WA"/>
    <s v="98101-1508"/>
    <s v="UNITED STATES"/>
    <s v="'320252650086661015'"/>
    <s v="Merchandise &amp; Supplies-Internet Purchase"/>
    <s v="DELTARESERVE"/>
    <x v="3"/>
  </r>
  <r>
    <d v="2025-09-22T00:00:00"/>
    <s v="OPENAI *CHATGPT SUBSSAN FRANCISCO       CA"/>
    <n v="21.4"/>
    <s v="CH_3SAANEC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2650091566571'"/>
    <s v="Merchandise &amp; Supplies-Computer Supplies"/>
    <s v="DELTARESERVE"/>
    <x v="1"/>
  </r>
  <r>
    <d v="2025-09-22T00:00:00"/>
    <s v="UBER EATS           help.uber.com       CA"/>
    <n v="138.85"/>
    <s v="3PZXCR91   T4BZV7QF         94103_x000a_UBER EATS_x000a_help.uber.com_x000a_CA_x000a_T4BZV7QF         94103"/>
    <s v="UBER EATS           help.uber.com       CA"/>
    <s v="1455 MARKET ST_x000a_-"/>
    <s v="SAN FRANCISCO_x000a_CA"/>
    <n v="94103"/>
    <s v="UNITED STATES"/>
    <s v="'320252650092566544'"/>
    <s v="Restaurant-Restaurant"/>
    <s v="AMEXPLATINUM"/>
    <x v="3"/>
  </r>
  <r>
    <d v="2025-09-22T00:00:00"/>
    <s v="REPLIT, INC.        FOSTER CITY         CA"/>
    <n v="42.8"/>
    <s v="CH_3SAHJOJA +16282002281_x000a_REPLIT, INC._x000a_FOSTER CITY_x000a_CA_x000a_+16282002281"/>
    <s v="REPLIT, INC.        FOSTER CITY         CA"/>
    <s v="1001 EAST HILLSDALE BLVD_x000a_SUITE 400W"/>
    <s v="FOSTER CITY_x000a_CA"/>
    <n v="94404"/>
    <s v="UNITED STATES"/>
    <s v="'320252660134083790'"/>
    <s v="Merchandise &amp; Supplies-Computer Supplies"/>
    <s v="AMEXPLATINUM"/>
    <x v="1"/>
  </r>
  <r>
    <d v="2025-09-23T00:00:00"/>
    <s v="PRIME VIDEO *W41F73E888-802-3080        WA"/>
    <n v="3.79"/>
    <s v="680ZQVUAINF DIGITAL_x000a_PRIME VIDEO *W41F73EQ3_x000a_888-802-3080_x000a_WA_x000a_DIGITAL"/>
    <s v="PRIME VIDEO *W41F73E888-802-3080        WA"/>
    <s v="1512 2ND AVE"/>
    <s v="SEATTLE_x000a_WA"/>
    <s v="98101-1508"/>
    <s v="UNITED STATES"/>
    <s v="'320252660113673751'"/>
    <s v="Merchandise &amp; Supplies-Internet Purchase"/>
    <s v="DELTARESERVE"/>
    <x v="3"/>
  </r>
  <r>
    <d v="2025-09-23T00:00:00"/>
    <s v="LE CAFE COFFEE      New York            NY"/>
    <n v="9.44"/>
    <s v="PRv7V7avqgF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660119025321'"/>
    <s v="Restaurant-Bar &amp; CafÃ©"/>
    <s v="AMEXPLATINUM"/>
    <x v="3"/>
  </r>
  <r>
    <d v="2025-09-23T00:00:00"/>
    <s v="WHOLEFDS USQ 10162 0NEW YORK            NY"/>
    <n v="40.39"/>
    <s v="0BGT2TN9ENR 2126735388_x000a_WHOLEFDS USQ 10162 000010162_x000a_NEW YORK_x000a_NY_x000a_Description : GROCERY STORES Price : 0.4039_x000a_2126735388"/>
    <s v="WHOLEFDS USQ 10162 0NEW YORK            NY"/>
    <s v="250 7TH AVE STE 511"/>
    <s v="NEW YORK_x000a_NY"/>
    <n v="10001"/>
    <s v="UNITED STATES"/>
    <s v="'320252670154652324'"/>
    <s v="Merchandise &amp; Supplies-Groceries"/>
    <s v="AMEXPLATINUM"/>
    <x v="3"/>
  </r>
  <r>
    <d v="2025-09-23T00:00:00"/>
    <s v="WIX.COM 1200227483  SAN FRANCISCO       CA"/>
    <n v="372.36"/>
    <s v="CH_3SAJVGAA +14154494724_x000a_WIX.COM 1200227483_x000a_SAN FRANCISCO_x000a_CA_x000a_+14154494724"/>
    <s v="WIX.COM 1200227483  SAN FRANCISCO       CA"/>
    <s v="BLVD FL 6_x000a_500 TERRY A FRANCOIS"/>
    <s v="SAN FRANCISCO_x000a_CA"/>
    <n v="94158"/>
    <s v="UNITED STATES"/>
    <s v="'320252670157823228'"/>
    <s v="Merchandise &amp; Supplies-Internet Purchase"/>
    <s v="AMEXPLATINUM"/>
    <x v="1"/>
  </r>
  <r>
    <d v="2025-09-23T00:00:00"/>
    <s v="COVERGIRL.MAXIM.COM SAN ANTONIO         TX"/>
    <n v="20"/>
    <s v="CH_3SAFHH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670161350003'"/>
    <s v="Business Services-Office Supplies"/>
    <s v="AMEXPLATINUM"/>
    <x v="3"/>
  </r>
  <r>
    <d v="2025-09-23T00:00:00"/>
    <s v="COVERGIRL.MAXIM.COM SAN ANTONIO         TX"/>
    <n v="10"/>
    <s v="CH_3SAFHH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670161351124'"/>
    <s v="Business Services-Office Supplies"/>
    <s v="AMEXPLATINUM"/>
    <x v="3"/>
  </r>
  <r>
    <d v="2025-09-24T00:00:00"/>
    <s v="Interest Charge on Purchases"/>
    <n v="218.07"/>
    <s v="Interest Charge on Purchases"/>
    <s v="Interest Charge on Purchases"/>
    <m/>
    <m/>
    <m/>
    <m/>
    <s v="'150925060000036487'"/>
    <s v="Fees &amp; Adjustments-Fees &amp; Adjustments"/>
    <s v="DELTARESERVE"/>
    <x v="13"/>
  </r>
  <r>
    <d v="2025-09-24T00:00:00"/>
    <s v="UBER EATS           help.uber.com       CA"/>
    <n v="305.81"/>
    <s v="NYA5DTQ3   NBK6IQIQ         94103_x000a_UBER EATS_x000a_help.uber.com_x000a_CA_x000a_NBK6IQIQ         94103"/>
    <s v="UBER EATS           help.uber.com       CA"/>
    <s v="1455 MARKET ST_x000a_-"/>
    <s v="SAN FRANCISCO_x000a_CA"/>
    <n v="94103"/>
    <s v="UNITED STATES"/>
    <s v="'320252670147125448'"/>
    <s v="Restaurant-Restaurant"/>
    <s v="AMEXPLATINUM"/>
    <x v="3"/>
  </r>
  <r>
    <d v="2025-09-24T00:00:00"/>
    <s v="ERACTOLL 9L9D62     877-860-1258        NY"/>
    <n v="5.93"/>
    <s v="T209470696  877-860-1258_x000a_ERACTOLL 9L9D62_x000a_877-860-1258_x000a_NY_x000a_Description : ERACTOLL 9L9D62 Price : 0.00_x000a_877-860-1258"/>
    <s v="ERACTOLL 9L9D62     877-860-1258        NY"/>
    <s v="-"/>
    <e v="#NAME?"/>
    <n v="11577"/>
    <s v="UNITED STATES"/>
    <s v="'320252680181511784'"/>
    <s v="Transportation-Tolls &amp; Fees"/>
    <s v="DELTARESERVE"/>
    <x v="9"/>
  </r>
  <r>
    <d v="2025-09-24T00:00:00"/>
    <s v="WEGMANS ASTOR PLACE NEW YORK            NY"/>
    <n v="75.900000000000006"/>
    <s v="W15640500445854293656_x000a_WEGMANS ASTOR PLACE 156 000000156_x000a_NEW YORK_x000a_NY_x000a_5854293656"/>
    <s v="WEGMANS ASTOR PLACE NEW YORK            NY"/>
    <s v="770 BROADWAY"/>
    <s v="NEW YORK_x000a_NY"/>
    <n v="10003"/>
    <s v="UNITED STATES"/>
    <s v="'320252680185371608'"/>
    <s v="Merchandise &amp; Supplies-Groceries"/>
    <s v="AMEXPLATINUM"/>
    <x v="3"/>
  </r>
  <r>
    <d v="2025-09-24T00:00:00"/>
    <s v="PAYPAL *LUCKINCOFFE 4029357733          DE"/>
    <n v="3.15"/>
    <s v="10191146508 4029357733_x000a_PAYPAL *LUCKINCOFFE_x000a_4029357733_x000a_DE_x000a_Description : FAST FOOD RESTAURAN Price : 0.00_x000a_4029357733"/>
    <s v="PAYPAL *LUCKINCOFFE 4029357733          DE"/>
    <s v="DELAWARE AVENUE"/>
    <s v="4029357733_x000a_DE"/>
    <n v="198"/>
    <s v="UNITED STATES OF AMERICA (THE)"/>
    <s v="'320252680188181477'"/>
    <s v="Restaurant-Bar &amp; CafÃ©"/>
    <s v="AMEXPLATINUM"/>
    <x v="3"/>
  </r>
  <r>
    <d v="2025-09-24T00:00:00"/>
    <s v="TST* IRVING FARM COFNEW YORK            NY"/>
    <n v="8.17"/>
    <s v="21105175267 RESTAURANT_x000a_TST* IRVING FARM COFFEE R 00020709_x000a_NEW YORK_x000a_NY_x000a_RESTAURANT"/>
    <s v="TST* IRVING FARM COFNEW YORK            NY"/>
    <s v="44 MAIN ST"/>
    <s v="MILLERTON_x000a_NY"/>
    <n v="12546"/>
    <s v="UNITED STATES"/>
    <s v="'320252680189772670'"/>
    <s v="Restaurant-Restaurant"/>
    <s v="AMEXPLATINUM"/>
    <x v="3"/>
  </r>
  <r>
    <d v="2025-09-25T00:00:00"/>
    <s v="ONLINE PAYMENT - THANK YOU"/>
    <n v="-2500"/>
    <s v="ONLINE PAYMENT - THANK YOU"/>
    <s v="ONLINE PAYMENT - THANK YOU"/>
    <m/>
    <m/>
    <m/>
    <m/>
    <s v="'320252680166073051'"/>
    <m/>
    <s v="AMEXPLATINUM"/>
    <x v="0"/>
  </r>
  <r>
    <d v="2025-09-25T00:00:00"/>
    <s v="THE CLEANERS IO, LLCNEW YORK            NY"/>
    <n v="42.5"/>
    <s v="FENYDdgMOyY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680172559570'"/>
    <s v="Business Services-Other Services"/>
    <s v="DELTARESERVE"/>
    <x v="8"/>
  </r>
  <r>
    <d v="2025-09-25T00:00:00"/>
    <s v="LE CAFE COFFEE      New York            NY"/>
    <n v="9.44"/>
    <s v="bv3PGwBr3lX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680174933462'"/>
    <s v="Restaurant-Bar &amp; CafÃ©"/>
    <s v="AMEXPLATINUM"/>
    <x v="3"/>
  </r>
  <r>
    <d v="2025-09-25T00:00:00"/>
    <s v="WEGMANS ASTOR PLACE NEW YORK            NY"/>
    <n v="5.54"/>
    <s v="W15608202205854293656_x000a_WEGMANS ASTOR PLACE 156 000000156_x000a_NEW YORK_x000a_NY_x000a_5854293656"/>
    <s v="WEGMANS ASTOR PLACE NEW YORK            NY"/>
    <s v="770 BROADWAY"/>
    <s v="NEW YORK_x000a_NY"/>
    <n v="10003"/>
    <s v="UNITED STATES"/>
    <s v="'320252690209465128'"/>
    <s v="Merchandise &amp; Supplies-Groceries"/>
    <s v="AMEXPLATINUM"/>
    <x v="3"/>
  </r>
  <r>
    <d v="2025-09-25T00:00:00"/>
    <s v="CVS PHARMACY        NEW YORK            NY"/>
    <n v="44"/>
    <s v="10172446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2690209505084'"/>
    <s v="Merchandise &amp; Supplies-Pharmacies"/>
    <s v="AMEXPLATINUM"/>
    <x v="3"/>
  </r>
  <r>
    <d v="2025-09-25T00:00:00"/>
    <s v="CHICK-FIL-A #04161 0NEW YORK            NY"/>
    <n v="89.53"/>
    <s v="000547146   9999999999_x000a_CHICK-FIL-A #04161 000000000486725_x000a_NEW YORK_x000a_NY_x000a_9999999999"/>
    <s v="CHICK-FIL-A #04161 0NEW YORK            NY"/>
    <s v="700 AVE OF THE AMERICAS"/>
    <s v="NEW YORK_x000a_NY"/>
    <n v="10010"/>
    <s v="UNITED STATES"/>
    <s v="'320252690217217337'"/>
    <s v="Restaurant-Bar &amp; CafÃ©"/>
    <s v="AMEXPLATINUM"/>
    <x v="3"/>
  </r>
  <r>
    <d v="2025-09-25T00:00:00"/>
    <s v="PAYPAL *EB COLLABORA4029357733          CA"/>
    <n v="10.29"/>
    <s v="10191229150 4029357733_x000a_PAYPAL *EB COLLABORATIVE SONG_x000a_4029357733_x000a_CA_x000a_Description : GENERAL Price : 0.00_x000a_4029357733"/>
    <s v="PAYPAL *EB COLLABORA4029357733          CA"/>
    <s v="155 5TH ST 7TH FLOOR"/>
    <s v="SAN FRANCISCO_x000a_CA"/>
    <n v="94103"/>
    <s v="UNITED STATES"/>
    <s v="'320252710275622248'"/>
    <s v="Entertainment-General Events"/>
    <s v="AMEXPLATINUM"/>
    <x v="3"/>
  </r>
  <r>
    <d v="2025-09-25T00:00:00"/>
    <s v="PAYPAL *EB COLLABORA4029357733          CA"/>
    <n v="15.44"/>
    <s v="10191230710 4029357733_x000a_PAYPAL *EB COLLABORATIVE SONG_x000a_4029357733_x000a_CA_x000a_Description : GENERAL Price : 0.00_x000a_4029357733"/>
    <s v="PAYPAL *EB COLLABORA4029357733          CA"/>
    <s v="155 5TH ST 7TH FLOOR"/>
    <s v="SAN FRANCISCO_x000a_CA"/>
    <n v="94103"/>
    <s v="UNITED STATES"/>
    <s v="'320252710275622330'"/>
    <s v="Entertainment-General Events"/>
    <s v="AMEXPLATINUM"/>
    <x v="3"/>
  </r>
  <r>
    <d v="2025-09-26T00:00:00"/>
    <s v="AMAZON PRIME*UD1OT8O888-802-3080        WA"/>
    <n v="10.99"/>
    <s v="S51I6BOP9IE DIGITAL_x000a_AMAZON PRIME*UD1OT8O03_x000a_888-802-3080_x000a_WA_x000a_DIGITAL"/>
    <s v="AMAZON PRIME*UD1OT8O888-802-3080        WA"/>
    <s v="1512 2ND AVE"/>
    <s v="SEATTLE_x000a_WA"/>
    <s v="98101-1508"/>
    <s v="UNITED STATES"/>
    <s v="'320252690200517097'"/>
    <s v="Merchandise &amp; Supplies-Internet Purchase"/>
    <s v="DELTARESERVE"/>
    <x v="3"/>
  </r>
  <r>
    <d v="2025-09-26T00:00:00"/>
    <s v="SUNOCO 0042337601 00SLOATSBURG          NY"/>
    <n v="52.58"/>
    <s v="00405550    845-753-5091_x000a_SUNOCO 0042337601 0042_x000a_SLOATSBURG_x000a_NY_x000a_Description : Super Unleaded (92 Price : 0.00_x000a_845-753-5091"/>
    <s v="SUNOCO 0042337601 00SLOATSBURG          NY"/>
    <s v="-"/>
    <e v="#NAME?"/>
    <n v="75231"/>
    <s v="UNITED STATES"/>
    <s v="'320252700233705050'"/>
    <s v="Transportation-Fuel"/>
    <s v="DELTARESERVE"/>
    <x v="7"/>
  </r>
  <r>
    <d v="2025-09-26T00:00:00"/>
    <s v="WEGMANS ASTOR PLACE NEW YORK            NY"/>
    <n v="53.25"/>
    <s v="W15639101225854293656_x000a_WEGMANS ASTOR PLACE 156 000000156_x000a_NEW YORK_x000a_NY_x000a_5854293656"/>
    <s v="WEGMANS ASTOR PLACE NEW YORK            NY"/>
    <s v="770 BROADWAY"/>
    <s v="NEW YORK_x000a_NY"/>
    <n v="10003"/>
    <s v="UNITED STATES"/>
    <s v="'320252700239791365'"/>
    <s v="Merchandise &amp; Supplies-Groceries"/>
    <s v="AMEXPLATINUM"/>
    <x v="3"/>
  </r>
  <r>
    <d v="2025-09-26T00:00:00"/>
    <s v="CALENDLY            AVONDALE ESTATES    GA"/>
    <n v="16.05"/>
    <s v="CH_3SBLSD4Y +18009799850_x000a_CALENDLY_x000a_AVONDALE ESTATES_x000a_GA_x000a_+18009799850"/>
    <s v="CALENDLY            AVONDALE ESTATES    GA"/>
    <s v="&quot;140 NEW MONTGOMERY, FLOOR 2&quot;"/>
    <s v="SAN FRANCISCO_x000a_CA"/>
    <n v="94105"/>
    <s v="UNITED STATES"/>
    <s v="'320252700249609166'"/>
    <s v="Merchandise &amp; Supplies-Computer Supplies"/>
    <s v="AMEXPLATINUM"/>
    <x v="1"/>
  </r>
  <r>
    <d v="2025-09-27T00:00:00"/>
    <s v="PRIME VIDEO *NJ5OT69888-802-3080        WA"/>
    <n v="19.989999999999998"/>
    <s v="5WK8UKHW2CM DIGITAL_x000a_PRIME VIDEO *NJ5OT6900_x000a_888-802-3080_x000a_WA_x000a_DIGITAL"/>
    <s v="PRIME VIDEO *NJ5OT69888-802-3080        WA"/>
    <s v="1512 2ND AVE"/>
    <s v="SEATTLE_x000a_WA"/>
    <s v="98101-1508"/>
    <s v="UNITED STATES"/>
    <s v="'320252700225613104'"/>
    <s v="Merchandise &amp; Supplies-Internet Purchase"/>
    <s v="DELTARESERVE"/>
    <x v="3"/>
  </r>
  <r>
    <d v="2025-09-27T00:00:00"/>
    <s v="THE CLEANERS IO, LLCNEW YORK            NY"/>
    <n v="33.25"/>
    <s v="XVNe1eMcIdf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700234457231'"/>
    <s v="Business Services-Other Services"/>
    <s v="AMEXPLATINUM"/>
    <x v="8"/>
  </r>
  <r>
    <d v="2025-09-27T00:00:00"/>
    <s v="NYCT PAYGO          NEW YORK            NY"/>
    <n v="2.9"/>
    <s v="00856364293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2710266309968'"/>
    <s v="Transportation-Rail Services"/>
    <s v="AMEXPLATINUM"/>
    <x v="14"/>
  </r>
  <r>
    <d v="2025-09-27T00:00:00"/>
    <s v="NYCT PAYGO          NEW YORK            NY"/>
    <n v="2.9"/>
    <s v="00856271087 LOCAL TRANSPORTATION_x000a_NYCT PAYGO_x000a_NEW YORK_x000a_NY_x000a_LOCAL TRANSPORTATION"/>
    <s v="NYCT PAYGO          NEW YORK            NY"/>
    <s v="ATTN NYCT CONTROLLER_x000a_2 BROADWAY 15TH FLOOR"/>
    <s v="NEW YORK_x000a_NY"/>
    <n v="10004"/>
    <s v="UNITED STATES"/>
    <s v="'320252710267181662'"/>
    <s v="Transportation-Rail Services"/>
    <s v="AMEXPLATINUM"/>
    <x v="14"/>
  </r>
  <r>
    <d v="2025-09-28T00:00:00"/>
    <s v="NESPRESSO USA, INC. NEW YORK CITY       NY"/>
    <n v="39.35"/>
    <s v="CH_3SCR8EJI +18005621465_x000a_NESPRESSO USA, INC._x000a_NEW YORK CITY_x000a_NY_x000a_+18005621465"/>
    <s v="NESPRESSO USA, INC. NEW YORK CITY       NY"/>
    <s v="111 WEST 33RD ST_x000a_5TH FLOOR"/>
    <s v="NEW YORK CITY_x000a_NY"/>
    <n v="10120"/>
    <s v="UNITED STATES"/>
    <s v="'320252710256654828'"/>
    <s v="Merchandise &amp; Supplies-Groceries"/>
    <s v="AMEXPLATINUM"/>
    <x v="3"/>
  </r>
  <r>
    <d v="2025-09-28T00:00:00"/>
    <s v="PAYPAL *GROOVER     0607652260          FR"/>
    <n v="135.19999999999999"/>
    <s v="10191472666 0607652260_x000a_PAYPAL *GROOVER_x000a_0607652260_x000a_FR_x000a_&quot;Description : DIGITAL MEDIA,BOOKS Price : 0.00&quot;_x000a_0607652260Foreign Spend Amount: 115.50 EURO Commission Amount:  Currency Exchange Rate: null"/>
    <s v="PAYPAL *GROOVER     0607652260          FR"/>
    <s v="RD 20 LA FORGE_x000a_VAUVILLE"/>
    <m/>
    <n v="14800"/>
    <s v="FRANCE"/>
    <s v="'320252710260826954'"/>
    <s v="Merchandise &amp; Supplies-Internet Purchase"/>
    <s v="AMEXPLATINUM"/>
    <x v="3"/>
  </r>
  <r>
    <d v="2025-09-28T00:00:00"/>
    <s v="UBER EATS           help.uber.com       CA"/>
    <n v="54.02"/>
    <s v="NB3MF04T   DBBXQVVL         94103_x000a_UBER EATS_x000a_help.uber.com_x000a_CA_x000a_DBBXQVVL         94103"/>
    <s v="UBER EATS           help.uber.com       CA"/>
    <s v="1455 MARKET ST_x000a_-"/>
    <s v="SAN FRANCISCO_x000a_CA"/>
    <n v="94103"/>
    <s v="UNITED STATES"/>
    <s v="'320252710262346108'"/>
    <s v="Restaurant-Restaurant"/>
    <s v="AMEXPLATINUM"/>
    <x v="3"/>
  </r>
  <r>
    <d v="2025-09-28T00:00:00"/>
    <s v="ONLINE PAYMENT - THANK YOU"/>
    <n v="-2500"/>
    <s v="ONLINE PAYMENT - THANK YOU"/>
    <s v="ONLINE PAYMENT - THANK YOU"/>
    <m/>
    <m/>
    <m/>
    <m/>
    <s v="'320252720277718131'"/>
    <m/>
    <s v="DELTARESERVE"/>
    <x v="0"/>
  </r>
  <r>
    <d v="2025-09-28T00:00:00"/>
    <s v="ERACTOLL 9FDL7T     877-860-1258        NY"/>
    <n v="5.44"/>
    <s v="T209970637  877-860-1258_x000a_ERACTOLL 9FDL7T_x000a_877-860-1258_x000a_NY_x000a_Description : ERACTOLL 9FDL7T Price : 0.00_x000a_877-860-1258"/>
    <s v="ERACTOLL 9FDL7T     877-860-1258        NY"/>
    <s v="-"/>
    <e v="#NAME?"/>
    <n v="11577"/>
    <s v="UNITED STATES"/>
    <s v="'320252720294727886'"/>
    <s v="Transportation-Tolls &amp; Fees"/>
    <s v="DELTARESERVE"/>
    <x v="9"/>
  </r>
  <r>
    <d v="2025-09-28T00:00:00"/>
    <s v="STEWARTS ICE CREAM  SARATOGA SPRINGS    NY"/>
    <n v="71.400000000000006"/>
    <s v="00201900004 5185811201_x000a_STEWARTS ICE CREAM_x000a_SARATOGA SPRINGS_x000a_NY_x000a_Description : AUTOMATED FUEL Price : 0.714_x000a_5185811201"/>
    <s v="STEWARTS ICE CREAM  SARATOGA SPRINGS    NY"/>
    <s v="402 LK AVE"/>
    <s v="SARATOGA SPRINGS_x000a_NY"/>
    <n v="12866"/>
    <s v="UNITED STATES"/>
    <s v="'320252720304988588'"/>
    <s v="Transportation-Fuel"/>
    <s v="DELTARESERVE"/>
    <x v="7"/>
  </r>
  <r>
    <d v="2025-09-29T00:00:00"/>
    <s v="SP FUNCTION OF BEAUTNEW YORK            NY"/>
    <n v="66.86"/>
    <s v="CH_3SCIZ7QT +19172072232_x000a_SP FUNCTION OF BEAUTY_x000a_NEW YORK_x000a_NY_x000a_+19172072232"/>
    <s v="SP FUNCTION OF BEAUTNEW YORK            NY"/>
    <s v="166 CROSSBY ST"/>
    <s v="NEW YORK_x000a_NY"/>
    <n v="10012"/>
    <s v="UNITED STATES"/>
    <s v="'320252720282827104'"/>
    <s v="Merchandise &amp; Supplies-Department Stores"/>
    <s v="AMEXPLATINUM"/>
    <x v="3"/>
  </r>
  <r>
    <d v="2025-09-29T00:00:00"/>
    <s v="BT*SUBMITHUB HOLDINGWILMINGTON          DE"/>
    <n v="45"/>
    <s v="GJF8GCTM    2183964074_x000a_BT*SUBMITHUB HOLDINGS LLC_x000a_WILMINGTON_x000a_DE_x000a_2183964074"/>
    <s v="BT*SUBMITHUB HOLDINGWILMINGTON          DE"/>
    <s v="1007 NORTH ORANGE ST_x000a_4TH FLOOR 3"/>
    <s v="WILMINGTON_x000a_DE"/>
    <n v="19801"/>
    <s v="UNITED STATES"/>
    <s v="'320252720285292612'"/>
    <s v="Merchandise &amp; Supplies-Computer Supplies"/>
    <s v="AMEXPLATINUM"/>
    <x v="3"/>
  </r>
  <r>
    <d v="2025-09-29T00:00:00"/>
    <s v="EMBASSY SUITES      SARATOGA SPRINGS    NY"/>
    <n v="863.54"/>
    <s v="395017      518-290-9090_x000a_LODGING_x000a_EMBASSY SUITES_x000a_SARATOGA SPRINGS_x000a_NY"/>
    <s v="EMBASSY SUITES      SARATOGA SPRINGS    NY"/>
    <s v="86 CONGRESS ST"/>
    <s v="SARATOGA SPRINGS_x000a_NY"/>
    <s v="12866-4102"/>
    <s v="UNITED STATES"/>
    <s v="'320252720292223020'"/>
    <s v="Travel-Lodging"/>
    <s v="DELTARESERVE"/>
    <x v="17"/>
  </r>
  <r>
    <d v="2025-09-29T00:00:00"/>
    <s v="WEGMANS ASTOR PLACE NEW YORK            NY"/>
    <n v="73.81"/>
    <s v="W15639700105854293656_x000a_WEGMANS ASTOR PLACE 156 000000156_x000a_NEW YORK_x000a_NY_x000a_5854293656"/>
    <s v="WEGMANS ASTOR PLACE NEW YORK            NY"/>
    <s v="770 BROADWAY"/>
    <s v="NEW YORK_x000a_NY"/>
    <n v="10003"/>
    <s v="UNITED STATES"/>
    <s v="'320252730322791127'"/>
    <s v="Merchandise &amp; Supplies-Groceries"/>
    <s v="AMEXPLATINUM"/>
    <x v="3"/>
  </r>
  <r>
    <d v="2025-09-29T00:00:00"/>
    <s v="ENTERPRISE RENT-A-CANEW YORK            NY"/>
    <n v="944.48"/>
    <s v="032015958   212-5332900_x000a_ENTERPRISE RENT-A-CAR_x000a_NEW YORK_x000a_NY"/>
    <s v="ENTERPRISE RENT-A-CANEW YORK            NY"/>
    <s v="221 THOMPSON ST"/>
    <s v="NEW YORK_x000a_NY"/>
    <n v="10012"/>
    <s v="UNITED STATES"/>
    <s v="'320252730325207529'"/>
    <s v="Travel-Vehicle Rental"/>
    <s v="DELTARESERVE"/>
    <x v="9"/>
  </r>
  <r>
    <d v="2025-09-29T00:00:00"/>
    <s v="CLAUDE.AI SUBSCRIPTISAN FRANCISCO       CA"/>
    <n v="107"/>
    <s v="CH_3SCU26BJ +14152360599_x000a_CLAUDE.AI SUBSCRIPTION_x000a_SAN FRANCISCO_x000a_CA_x000a_+14152360599"/>
    <s v="CLAUDE.AI SUBSCRIPTISAN FRANCISCO       CA"/>
    <s v="731 SANSOME ST"/>
    <s v="SAN FRANCISCO_x000a_CA"/>
    <n v="94111"/>
    <s v="UNITED STATES"/>
    <s v="'320252730329025104'"/>
    <s v="Merchandise &amp; Supplies-Computer Supplies"/>
    <s v="DELTARESERVE"/>
    <x v="1"/>
  </r>
  <r>
    <d v="2025-09-30T00:00:00"/>
    <s v="THE CLEANERS IO, LLCNEW YORK            NY"/>
    <n v="32.090000000000003"/>
    <s v="THFTm5Uh3CF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730312314686'"/>
    <s v="Business Services-Other Services"/>
    <s v="AMEXPLATINUM"/>
    <x v="8"/>
  </r>
  <r>
    <d v="2025-09-30T00:00:00"/>
    <s v="LE CAFE COFFEE      New York            NY"/>
    <n v="9.44"/>
    <s v="7XFSbwyDhFf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730316364140'"/>
    <s v="Restaurant-Bar &amp; CafÃ©"/>
    <s v="AMEXPLATINUM"/>
    <x v="3"/>
  </r>
  <r>
    <d v="2025-09-30T00:00:00"/>
    <s v="WEGMANS ASTOR PLACE NEW YORK            NY"/>
    <n v="42.31"/>
    <s v="W15639301305854293656_x000a_WEGMANS ASTOR PLACE 156 000000156_x000a_NEW YORK_x000a_NY_x000a_5854293656"/>
    <s v="WEGMANS ASTOR PLACE NEW YORK            NY"/>
    <s v="770 BROADWAY"/>
    <s v="NEW YORK_x000a_NY"/>
    <n v="10003"/>
    <s v="UNITED STATES"/>
    <s v="'320252740352757330'"/>
    <s v="Merchandise &amp; Supplies-Groceries"/>
    <s v="AMEXPLATINUM"/>
    <x v="3"/>
  </r>
  <r>
    <d v="2025-10-01T00:00:00"/>
    <s v="ONLINE PAYMENT - THANK YOU"/>
    <n v="-4000"/>
    <s v="ONLINE PAYMENT - THANK YOU"/>
    <s v="ONLINE PAYMENT - THANK YOU"/>
    <m/>
    <m/>
    <m/>
    <m/>
    <s v="'320252740334502566'"/>
    <m/>
    <s v="DELTARESERVE"/>
    <x v="0"/>
  </r>
  <r>
    <d v="2025-10-01T00:00:00"/>
    <s v="Amazon Web Services AWS.Amazon.com      WA"/>
    <n v="665.84"/>
    <s v="1XUHDBT95L9 WEB SERVICES_x000a_Amazon Web Services_x000a_AWS.Amazon.com_x000a_WA_x000a_WEB SERVICES"/>
    <s v="Amazon Web Services AWS.Amazon.com      WA"/>
    <s v="1512 2ND AVE"/>
    <s v="SEATTLE_x000a_WA"/>
    <n v="98101"/>
    <s v="UNITED STATES"/>
    <s v="'320252740337632256'"/>
    <s v="Merchandise &amp; Supplies-Internet Purchase"/>
    <s v="AMEXPLATINUM"/>
    <x v="12"/>
  </r>
  <r>
    <d v="2025-10-01T00:00:00"/>
    <s v="ANTHROPOLOGIE  01464NEW YORK            NY"/>
    <n v="333.16"/>
    <s v="CH_3SDWE7JY +18002822200_x000a_ANTHROPOLOGIE  01464_x000a_NEW YORK_x000a_NY_x000a_+18002822200"/>
    <s v="ANTHROPOLOGIE  01464NEW YORK            NY"/>
    <s v="BLDG 3M_x000a_420 W BROADWAY"/>
    <s v="NEW YORK_x000a_NY"/>
    <n v="10012"/>
    <s v="UNITED STATES"/>
    <s v="'320252740338822146'"/>
    <s v="Merchandise &amp; Supplies-Clothing Stores"/>
    <s v="AMEXPLATINUM"/>
    <x v="3"/>
  </r>
  <r>
    <d v="2025-10-01T00:00:00"/>
    <s v="UBER EATS           help.uber.com       CA"/>
    <n v="168.08"/>
    <s v="ETD0T0NZ   IWLJKD5F         94103_x000a_UBER EATS_x000a_help.uber.com_x000a_CA_x000a_IWLJKD5F         94103"/>
    <s v="UBER EATS           help.uber.com       CA"/>
    <s v="1455 MARKET ST_x000a_-"/>
    <s v="SAN FRANCISCO_x000a_CA"/>
    <n v="94103"/>
    <s v="UNITED STATES"/>
    <s v="'320252740345115468'"/>
    <s v="Restaurant-Restaurant"/>
    <s v="AMEXPLATINUM"/>
    <x v="3"/>
  </r>
  <r>
    <d v="2025-10-01T00:00:00"/>
    <s v="NANOGROUP           NEWHAVEN            E"/>
    <n v="3000"/>
    <s v="CH_3SDQQ1AC +4407534745202_x000a_NANOGROUP_x000a_NEWHAVEN_x000a_E_x000a_+4407534745202"/>
    <s v="NANOGROUP           NEWHAVEN            E"/>
    <s v="51 SOUTH ROAD"/>
    <s v="NEWHAVEN_x000a_ENG"/>
    <s v="BN9"/>
    <s v="UNITED KINGDOM OF GB AND NI"/>
    <s v="'320252740345770713'"/>
    <s v="Merchandise &amp; Supplies-Internet Purchase"/>
    <s v="DELTARESERVE"/>
    <x v="0"/>
  </r>
  <r>
    <d v="2025-10-01T00:00:00"/>
    <s v="VERIZON WRLS RCCRNG PMTS"/>
    <n v="221.6"/>
    <s v="N0000004068VZWRLSS*APOCC_x000a_VZW APO_x000a_800-922-0204_x000a_FL_x000a_VZWRLSS*APOCC"/>
    <s v="VZW APO             800-922-0204        FL"/>
    <s v="600 COOLIDGE DR"/>
    <s v="FOLSOM_x000a_CA"/>
    <s v="95630-3155"/>
    <s v="UNITED STATES"/>
    <s v="'320252740352046699'"/>
    <s v="Communications-Mobile Telecom"/>
    <s v="DELTARESERVE"/>
    <x v="5"/>
  </r>
  <r>
    <d v="2025-10-01T00:00:00"/>
    <s v="PAYPAL *SIGNSMATT   4029357733          FL"/>
    <n v="437.5"/>
    <s v="10191753310 4029357733_x000a_PAYPAL *SIGNSMATT_x000a_4029357733_x000a_FL_x000a_Description : PROFESSIONAL SERVIC Price : 0.00_x000a_4029357733"/>
    <s v="PAYPAL *SIGNSMATT   4029357733          FL"/>
    <s v="520 4TH ST WEST"/>
    <s v="4029357733_x000a_FL"/>
    <n v="34221"/>
    <s v="UNITED STATES"/>
    <s v="'320252750388913260'"/>
    <s v="Business Services-Professional Services"/>
    <s v="DELTARESERVE"/>
    <x v="4"/>
  </r>
  <r>
    <d v="2025-10-02T00:00:00"/>
    <s v="COVERGIRL.MAXIM.COM SAN ANTONIO         TX"/>
    <n v="20"/>
    <s v="CH_3SDQKI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750368686946'"/>
    <s v="Business Services-Office Supplies"/>
    <s v="AMEXPLATINUM"/>
    <x v="3"/>
  </r>
  <r>
    <d v="2025-10-02T00:00:00"/>
    <s v="FACEBK *Q6TUN39RF2  MENLO PARK"/>
    <n v="62"/>
    <s v="24784597047 ADVERTISING SERVICE_x000a_FACEBK *Q6TUN39RF2_x000a_MENLO PARK_x000a_ADVERTISING SERVICE"/>
    <s v="FACEBK *Q6TUN39RF2  MENLO PARK"/>
    <s v="1 HACKER WAY"/>
    <s v="MENLO PARK_x000a_CA"/>
    <n v="94025"/>
    <s v="UNITED STATES"/>
    <s v="'320252750372622502'"/>
    <s v="Business Services-Advertising Services"/>
    <s v="AMEXPLATINUM"/>
    <x v="3"/>
  </r>
  <r>
    <d v="2025-10-02T00:00:00"/>
    <s v="UBER EATS           help.uber.com       CA"/>
    <n v="261.27"/>
    <s v="9AZRNHMD   3P7AT4DJ         94103_x000a_UBER EATS_x000a_help.uber.com_x000a_CA_x000a_3P7AT4DJ         94103"/>
    <s v="UBER EATS           help.uber.com       CA"/>
    <s v="1455 MARKET ST_x000a_-"/>
    <s v="SAN FRANCISCO_x000a_CA"/>
    <n v="94103"/>
    <s v="UNITED STATES"/>
    <s v="'320252750374791842'"/>
    <s v="Restaurant-Restaurant"/>
    <s v="AMEXPLATINUM"/>
    <x v="3"/>
  </r>
  <r>
    <d v="2025-10-02T00:00:00"/>
    <s v="HUBSPOT INC.        CAMBRIDGE, MASSACHUSMA"/>
    <n v="21.4"/>
    <s v="37007385    COMPUTER PROGRAMMING_x000a_HUBSPOT INC._x000a_CAMBRIDGE, MASSACHUSE_x000a_MA_x000a_COMPUTER PROGRAMMING"/>
    <s v="HUBSPOT INC.        CAMBRIDGE, MASSACHUSMA"/>
    <s v="25 FIRST STREET_x000a_-"/>
    <s v="CAMBRIDGE_x000a_MA"/>
    <s v="02141"/>
    <s v="UNITED STATES"/>
    <s v="'320252750389565190'"/>
    <s v="Business Services-Employment Agencies"/>
    <s v="DELTARESERVE"/>
    <x v="1"/>
  </r>
  <r>
    <d v="2025-10-02T00:00:00"/>
    <s v="PRIME VIDEO *NV2WN5F888-802-3080        WA"/>
    <n v="19.989999999999998"/>
    <s v="3THMV2ON01S DIGITAL_x000a_PRIME VIDEO *NV2WN5F71_x000a_888-802-3080_x000a_WA_x000a_DIGITAL"/>
    <s v="PRIME VIDEO *NV2WN5F888-802-3080        WA"/>
    <s v="1512 2ND AVE"/>
    <s v="SEATTLE_x000a_WA"/>
    <s v="98101-1508"/>
    <s v="UNITED STATES"/>
    <s v="'320252750394745396'"/>
    <s v="Merchandise &amp; Supplies-Internet Purchase"/>
    <s v="DELTARESERVE"/>
    <x v="3"/>
  </r>
  <r>
    <d v="2025-10-02T00:00:00"/>
    <s v="BT*SUBMITHUB HOLDINGWILMINGTON          DE"/>
    <n v="45"/>
    <s v="31JJK3WA    2183964074_x000a_BT*SUBMITHUB HOLDINGS LLC_x000a_WILMINGTON_x000a_DE_x000a_2183964074"/>
    <s v="BT*SUBMITHUB HOLDINGWILMINGTON          DE"/>
    <s v="1007 NORTH ORANGE ST_x000a_4TH FLOOR 3"/>
    <s v="WILMINGTON_x000a_DE"/>
    <n v="19801"/>
    <s v="UNITED STATES"/>
    <s v="'320252760407419673'"/>
    <s v="Merchandise &amp; Supplies-Computer Supplies"/>
    <s v="AMEXPLATINUM"/>
    <x v="3"/>
  </r>
  <r>
    <d v="2025-10-02T00:00:00"/>
    <s v="TOPTAL.COM          SAN FRANCISCO       CA"/>
    <n v="79"/>
    <s v="CH_2SE1RIVY +18886043188_x000a_TOPTAL.COM_x000a_SAN FRANCISCO_x000a_CA_x000a_+18886043188"/>
    <s v="TOPTAL.COM          SAN FRANCISCO       CA"/>
    <s v="548 MARKET ST 36879"/>
    <s v="SAN FRANCISCO_x000a_CA"/>
    <n v="94104"/>
    <s v="UNITED STATES"/>
    <s v="'320252760418962076'"/>
    <s v="Merchandise &amp; Supplies-Computer Supplies"/>
    <s v="DELTARESERVE"/>
    <x v="6"/>
  </r>
  <r>
    <d v="2025-10-02T00:00:00"/>
    <s v="PAYPAL *LUCKINCOFFE 4029357733          DE"/>
    <n v="4.49"/>
    <s v="10191852648 4029357733_x000a_PAYPAL *LUCKINCOFFE_x000a_4029357733_x000a_DE_x000a_Description : FAST FOOD RESTAURAN Price : 0.00_x000a_4029357733"/>
    <s v="PAYPAL *LUCKINCOFFE 4029357733          DE"/>
    <s v="DELAWARE AVENUE"/>
    <s v="4029357733_x000a_DE"/>
    <n v="198"/>
    <s v="UNITED STATES OF AMERICA (THE)"/>
    <s v="'320252760422700615'"/>
    <s v="Restaurant-Bar &amp; CafÃ©"/>
    <s v="AMEXPLATINUM"/>
    <x v="3"/>
  </r>
  <r>
    <d v="2025-10-03T00:00:00"/>
    <s v="PRIME VIDEO *NV04D73888-802-3080        WA"/>
    <n v="3.99"/>
    <s v="4MEPIM3NXBU DIGITAL_x000a_PRIME VIDEO *NV04D7341_x000a_888-802-3080_x000a_WA_x000a_DIGITAL"/>
    <s v="PRIME VIDEO *NV04D73888-802-3080        WA"/>
    <s v="1512 2ND AVE"/>
    <s v="SEATTLE_x000a_WA"/>
    <s v="98101-1508"/>
    <s v="UNITED STATES"/>
    <s v="'320252760399134029'"/>
    <s v="Merchandise &amp; Supplies-Internet Purchase"/>
    <s v="DELTARESERVE"/>
    <x v="3"/>
  </r>
  <r>
    <d v="2025-10-03T00:00:00"/>
    <s v="IN *ERP BLOG LLC    ARDMORE             PA"/>
    <n v="175"/>
    <s v="276I1A9GFUJ68035            19003_x000a_IN *ERP BLOG LLC_x000a_ARDMORE_x000a_PA_x000a_68035            19003"/>
    <s v="IN *ERP BLOG LLC    ARDMORE             PA"/>
    <s v="1906 CHESTNUT CIR"/>
    <s v="ARDMORE_x000a_PA"/>
    <n v="19003"/>
    <s v="UNITED STATES"/>
    <s v="'320252760402474976'"/>
    <s v="Merchandise &amp; Supplies-General Retail"/>
    <s v="DELTARESERVE"/>
    <x v="4"/>
  </r>
  <r>
    <d v="2025-10-03T00:00:00"/>
    <s v="UBER EATS           help.uber.com       CA"/>
    <n v="150.34"/>
    <s v="8RJ7ENVT   AFOAKSNU         94103_x000a_UBER EATS_x000a_help.uber.com_x000a_CA_x000a_AFOAKSNU         94103"/>
    <s v="UBER EATS           help.uber.com       CA"/>
    <s v="1455 MARKET ST_x000a_-"/>
    <s v="SAN FRANCISCO_x000a_CA"/>
    <n v="94103"/>
    <s v="UNITED STATES"/>
    <s v="'320252760408073651'"/>
    <s v="Restaurant-Restaurant"/>
    <s v="AMEXPLATINUM"/>
    <x v="3"/>
  </r>
  <r>
    <d v="2025-10-03T00:00:00"/>
    <s v="MICROSOFT           MSBILL.INFO"/>
    <n v="25.84"/>
    <s v="Z728CPELLAHZ728CPELLAHN     98052_x000a_MICROSOFT_x000a_MSBILL.INFO_x000a_Z728CPELLAHN     98052"/>
    <s v="MICROSOFT           MSBILL.INFO"/>
    <s v="1 MICROSOFT WAY"/>
    <s v="REDMOND_x000a_WA"/>
    <n v="98052"/>
    <s v="UNITED STATES"/>
    <s v="'320252760418566308'"/>
    <s v="Other-Miscellaneous"/>
    <s v="DELTARESERVE"/>
    <x v="1"/>
  </r>
  <r>
    <d v="2025-10-03T00:00:00"/>
    <s v="UBER EATS           help.uber.com       CA"/>
    <n v="145.5"/>
    <s v="DVHTF1PA   TRZGYXIB         94103_x000a_UBER EATS_x000a_help.uber.com_x000a_CA_x000a_TRZGYXIB         94103"/>
    <s v="UBER EATS           help.uber.com       CA"/>
    <s v="1455 MARKET ST_x000a_-"/>
    <s v="SAN FRANCISCO_x000a_CA"/>
    <n v="94103"/>
    <s v="UNITED STATES"/>
    <s v="'320252770438327264'"/>
    <s v="Restaurant-Restaurant"/>
    <s v="AMEXPLATINUM"/>
    <x v="3"/>
  </r>
  <r>
    <d v="2025-10-03T00:00:00"/>
    <s v="CREDITSECURE        CostaMesa           CA"/>
    <n v="21.39"/>
    <s v="103649195   1-866-617-1893_x000a_CREDITSECURE_x000a_CostaMesa_x000a_CA_x000a_Description : $19.99+$1.40 NY TAX Price : 0.00_x000a_1-866-617-1893"/>
    <s v="CREDITSECURE        CostaMesa           CA"/>
    <s v="200 VESEY ST FL 7"/>
    <s v="NEW YORK_x000a_NY"/>
    <n v="10019"/>
    <s v="UNITED STATES"/>
    <s v="'320252770442091982'"/>
    <s v="Business Services-Other Services"/>
    <s v="AMEXPLATINUM"/>
    <x v="8"/>
  </r>
  <r>
    <d v="2025-10-03T00:00:00"/>
    <s v="AMAZON MARKEPLACE NA PA"/>
    <n v="16.32"/>
    <s v="4G4HHPXGNFZ MERCHANDISE_x000a_AMAZON MARKETPLACE NA PA_x000a_AMZN.COM/BILL_x000a_WA_x000a_MERCHANDISE"/>
    <s v="AMAZON MARKETPLACE NAMZN.COM/BILL       WA"/>
    <s v="410 TERRY AVE N"/>
    <s v="SEATTLE_x000a_WA"/>
    <n v="98109"/>
    <s v="UNITED STATES"/>
    <s v="'320252770450172472'"/>
    <s v="Merchandise &amp; Supplies-Internet Purchase"/>
    <s v="AMEXPLATINUM"/>
    <x v="3"/>
  </r>
  <r>
    <d v="2025-10-04T00:00:00"/>
    <s v="A1010BUSD01         MSBILL.INFO"/>
    <n v="42.8"/>
    <s v="Z72SCQV5UMEZ72SCQV5UMEV     98052_x000a_A1010BUSD01_x000a_MSBILL.INFO_x000a_Z72SCQV5UMEV     98052"/>
    <s v="A1010BUSD01         MSBILL.INFO"/>
    <s v="8TH FLOOR_x000a_91 MAIN ST"/>
    <s v="DALLAS_x000a_TX"/>
    <n v="75202"/>
    <s v="UNITED STATES"/>
    <s v="'320252760425274863'"/>
    <s v="Other-Miscellaneous"/>
    <s v="AMEXPLATINUM"/>
    <x v="1"/>
  </r>
  <r>
    <d v="2025-10-04T00:00:00"/>
    <s v="A1010BUSD01         MSBILL.INFO"/>
    <n v="32.07"/>
    <s v="Z72YCQIE6SRZ72YCQIE6SRN     98052_x000a_A1010BUSD01_x000a_MSBILL.INFO_x000a_Z72YCQIE6SRN     98052"/>
    <s v="A1010BUSD01         MSBILL.INFO"/>
    <s v="8TH FLOOR_x000a_91 MAIN ST"/>
    <s v="DALLAS_x000a_TX"/>
    <n v="75202"/>
    <s v="UNITED STATES"/>
    <s v="'320252760425286124'"/>
    <s v="Other-Miscellaneous"/>
    <s v="AMEXPLATINUM"/>
    <x v="1"/>
  </r>
  <r>
    <d v="2025-10-04T00:00:00"/>
    <s v="A1010BUSD01         MSBILL.INFO"/>
    <n v="68.48"/>
    <s v="Z731CREKZ8YZ731CREKZ8YO     98052_x000a_A1010BUSD01_x000a_MSBILL.INFO_x000a_Z731CREKZ8YO     98052"/>
    <s v="A1010BUSD01         MSBILL.INFO"/>
    <s v="8TH FLOOR_x000a_91 MAIN ST"/>
    <s v="DALLAS_x000a_TX"/>
    <n v="75202"/>
    <s v="UNITED STATES"/>
    <s v="'320252760425287061'"/>
    <s v="Other-Miscellaneous"/>
    <s v="AMEXPLATINUM"/>
    <x v="1"/>
  </r>
  <r>
    <d v="2025-10-04T00:00:00"/>
    <s v="A1010BUSD01         MSBILL.INFO"/>
    <n v="25.68"/>
    <s v="Z72VCQJI7J5Z72VCQJI7J5M     98052_x000a_A1010BUSD01_x000a_MSBILL.INFO_x000a_Z72VCQJI7J5M     98052"/>
    <s v="A1010BUSD01         MSBILL.INFO"/>
    <s v="8TH FLOOR_x000a_91 MAIN ST"/>
    <s v="DALLAS_x000a_TX"/>
    <n v="75202"/>
    <s v="UNITED STATES"/>
    <s v="'320252760425287179'"/>
    <s v="Other-Miscellaneous"/>
    <s v="AMEXPLATINUM"/>
    <x v="1"/>
  </r>
  <r>
    <d v="2025-10-04T00:00:00"/>
    <s v="A1010BUSD01         REDMOND"/>
    <n v="21.4"/>
    <s v="Z72UCPM7F3IZ72UCPM7F3IV     98052_x000a_A1010BUSD01_x000a_REDMOND_x000a_Z72UCPM7F3IV     98052"/>
    <s v="A1010BUSD01         REDMOND"/>
    <s v="8TH FLOOR_x000a_91 MAIN ST"/>
    <s v="DALLAS_x000a_TX"/>
    <n v="75202"/>
    <s v="UNITED STATES"/>
    <s v="'320252760425289150'"/>
    <s v="Other-Miscellaneous"/>
    <s v="AMEXPLATINUM"/>
    <x v="1"/>
  </r>
  <r>
    <d v="2025-10-04T00:00:00"/>
    <s v="A1010BUSD01         MSBILL.INFO"/>
    <n v="289.06"/>
    <s v="Z738CR28DWTZ738CR28DWT9     98052_x000a_A1010BUSD01_x000a_MSBILL.INFO_x000a_Z738CR28DWT9     98052"/>
    <s v="A1010BUSD01         MSBILL.INFO"/>
    <s v="8TH FLOOR_x000a_91 MAIN ST"/>
    <s v="DALLAS_x000a_TX"/>
    <n v="75202"/>
    <s v="UNITED STATES"/>
    <s v="'320252760425293244'"/>
    <s v="Other-Miscellaneous"/>
    <s v="AMEXPLATINUM"/>
    <x v="1"/>
  </r>
  <r>
    <d v="2025-10-04T00:00:00"/>
    <s v="PEACOCK             NEW YORK CITY       NY"/>
    <n v="10.99"/>
    <s v="US NBCU PG  CABLE &amp; PAY TV_x000a_PEACOCK_x000a_NEW YORK CITY_x000a_NY_x000a_CABLE &amp; PAY TV"/>
    <s v="PEACOCK             NEW YORK CITY       NY"/>
    <s v="100 UNIVERSAL CITY PLZ"/>
    <s v="UNIVERSAL CITY_x000a_CA"/>
    <n v="91608"/>
    <s v="UNITED STATES"/>
    <s v="'320252770435570793'"/>
    <s v="Communications-Cable &amp; Internet Comm"/>
    <s v="DELTARESERVE"/>
    <x v="3"/>
  </r>
  <r>
    <d v="2025-10-04T00:00:00"/>
    <s v="BT*CLV*VECTORMAGIC  EXCELSIOR           CA"/>
    <n v="9.9499999999999993"/>
    <s v="56NMZQNH    4152302377_x000a_BT*CLV*VECTORMAGIC_x000a_EXCELSIOR_x000a_CA_x000a_4152302377"/>
    <s v="BT*CLV*VECTORMAGIC  EXCELSIOR           CA"/>
    <s v="2500 SHADYWOOD RD_x000a_STE 510"/>
    <s v="EXCELSIOR_x000a_CA"/>
    <n v="55331"/>
    <s v="UNITED STATES"/>
    <s v="'320252770438009431'"/>
    <s v="Merchandise &amp; Supplies-Computer Supplies"/>
    <s v="AMEXPLATINUM"/>
    <x v="3"/>
  </r>
  <r>
    <d v="2025-10-04T00:00:00"/>
    <s v="MICROSOFT           MSBILL.INFO"/>
    <n v="25.84"/>
    <s v="Z72VCRKOTQWZ72VCRKOTQWW     98052_x000a_MICROSOFT_x000a_MSBILL.INFO_x000a_Z72VCRKOTQWW     98052"/>
    <s v="MICROSOFT           MSBILL.INFO"/>
    <s v="1 MICROSOFT WAY"/>
    <s v="REDMOND_x000a_WA"/>
    <n v="98052"/>
    <s v="UNITED STATES"/>
    <s v="'320252770450714760'"/>
    <s v="Other-Miscellaneous"/>
    <s v="DELTARESERVE"/>
    <x v="1"/>
  </r>
  <r>
    <d v="2025-10-05T00:00:00"/>
    <s v="GITHUB, INC.        SAN FRANCISCO       CA"/>
    <n v="4"/>
    <s v="CH_3SEVFXJF +18774484820_x000a_GITHUB, INC._x000a_SAN FRANCISCO_x000a_CA_x000a_+18774484820"/>
    <s v="GITHUB, INC.        SAN FRANCISCO       CA"/>
    <s v="275 BRANNAN ST"/>
    <s v="SAN FRANCISCO_x000a_CA"/>
    <n v="94107"/>
    <s v="UNITED STATES"/>
    <s v="'320252780460443936'"/>
    <s v="Other-Miscellaneous"/>
    <s v="AMEXPLATINUM"/>
    <x v="1"/>
  </r>
  <r>
    <d v="2025-10-05T00:00:00"/>
    <s v="GITHUB              SAN FRANCISCO       CA"/>
    <n v="300"/>
    <s v="CH_3SEVFYEQ +18774484820_x000a_GITHUB_x000a_SAN FRANCISCO_x000a_CA_x000a_+18774484820"/>
    <s v="GITHUB              SAN FRANCISCO       CA"/>
    <s v="275 BRANNAN ST"/>
    <s v="SAN FRANCISCO_x000a_CA"/>
    <n v="94107"/>
    <s v="UNITED STATES"/>
    <s v="'320252780461392466'"/>
    <s v="Other-Miscellaneous"/>
    <s v="AMEXPLATINUM"/>
    <x v="1"/>
  </r>
  <r>
    <d v="2025-10-05T00:00:00"/>
    <s v="UBER"/>
    <n v="61.37"/>
    <s v="BSWVB7Z5   GERFTUH3         10012_x000a_Uber Trip_x000a_help.uber.com_x000a_CA_x000a_GERFTUH3         10012"/>
    <s v="Uber Trip           help.uber.com       CA"/>
    <s v="1455 MARKET ST_x000a_4TH FLOOR"/>
    <s v="SAN FRANCISCO_x000a_CA"/>
    <n v="94103"/>
    <s v="UNITED STATES"/>
    <s v="'320252780462364788'"/>
    <s v="Transportation-Taxis &amp; Coach"/>
    <s v="AMEXPLATINUM"/>
    <x v="2"/>
  </r>
  <r>
    <d v="2025-10-05T00:00:00"/>
    <s v="UBER"/>
    <n v="65.44"/>
    <s v="2ES8QAR8   ESHCZJEG         10022_x000a_Uber Trip_x000a_help.uber.com_x000a_CA_x000a_ESHCZJEG         10022"/>
    <s v="Uber Trip           help.uber.com       CA"/>
    <s v="1455 MARKET ST_x000a_4TH FLOOR"/>
    <s v="SAN FRANCISCO_x000a_CA"/>
    <n v="94103"/>
    <s v="UNITED STATES"/>
    <s v="'320252780462861052'"/>
    <s v="Transportation-Taxis &amp; Coach"/>
    <s v="AMEXPLATINUM"/>
    <x v="2"/>
  </r>
  <r>
    <d v="2025-10-05T00:00:00"/>
    <s v="UBER EATS           help.uber.com       CA"/>
    <n v="434.88"/>
    <s v="831XW482   CPFPM3SR         94103_x000a_UBER EATS_x000a_help.uber.com_x000a_CA_x000a_CPFPM3SR         94103"/>
    <s v="UBER EATS           help.uber.com       CA"/>
    <s v="1455 MARKET ST_x000a_-"/>
    <s v="SAN FRANCISCO_x000a_CA"/>
    <n v="94103"/>
    <s v="UNITED STATES"/>
    <s v="'320252780465296680'"/>
    <s v="Restaurant-Restaurant"/>
    <s v="AMEXPLATINUM"/>
    <x v="3"/>
  </r>
  <r>
    <d v="2025-10-05T00:00:00"/>
    <s v="PRIME VIDEO *NV4FQ53888-802-3080        WA"/>
    <n v="19.989999999999998"/>
    <s v="52LODOW3Y73 DIGITAL_x000a_PRIME VIDEO *NV4FQ5372_x000a_888-802-3080_x000a_WA_x000a_DIGITAL"/>
    <s v="PRIME VIDEO *NV4FQ53888-802-3080        WA"/>
    <s v="1512 2ND AVE"/>
    <s v="SEATTLE_x000a_WA"/>
    <s v="98101-1508"/>
    <s v="UNITED STATES"/>
    <s v="'320252780481961186'"/>
    <s v="Merchandise &amp; Supplies-Internet Purchase"/>
    <s v="DELTARESERVE"/>
    <x v="3"/>
  </r>
  <r>
    <d v="2025-10-05T00:00:00"/>
    <s v="WEGMANS ASTOR PLACE NEW YORK            NY"/>
    <n v="20.45"/>
    <s v="W15640200445854293656_x000a_WEGMANS ASTOR PLACE 156 000000156_x000a_NEW YORK_x000a_NY_x000a_5854293656"/>
    <s v="WEGMANS ASTOR PLACE NEW YORK            NY"/>
    <s v="770 BROADWAY"/>
    <s v="NEW YORK_x000a_NY"/>
    <n v="10003"/>
    <s v="UNITED STATES"/>
    <s v="'320252790500187600'"/>
    <s v="Merchandise &amp; Supplies-Groceries"/>
    <s v="AMEXPLATINUM"/>
    <x v="3"/>
  </r>
  <r>
    <d v="2025-10-05T00:00:00"/>
    <s v="STARBUCKS           800-782-7282        WA"/>
    <n v="9.74"/>
    <s v="1MQGKN13U3J FOOD&amp;BEV_x000a_STARBUCKS_x000a_800-782-7282_x000a_WA_x000a_FOOD&amp;BEV"/>
    <s v="STARBUCKS           800-782-7282        WA"/>
    <s v="2401 UTAH AVE SOUTH STE 800"/>
    <s v="SEATTLE_x000a_WA"/>
    <n v="98134"/>
    <s v="UNITED STATES"/>
    <s v="'320252790500382274'"/>
    <s v="Restaurant-Bar &amp; CafÃ©"/>
    <s v="AMEXPLATINUM"/>
    <x v="3"/>
  </r>
  <r>
    <d v="2025-10-05T00:00:00"/>
    <s v="AMAZON MARKEPLACE NA PA"/>
    <n v="130.6"/>
    <s v="3WD3AJIZY58 MERCHANDISE_x000a_AMAZON MARKETPLACE NA PA_x000a_AMZN.COM/BILL_x000a_WA_x000a_MERCHANDISE"/>
    <s v="AMAZON MARKETPLACE NAMZN.COM/BILL       WA"/>
    <s v="410 TERRY AVE N"/>
    <s v="SEATTLE_x000a_WA"/>
    <n v="98109"/>
    <s v="UNITED STATES"/>
    <s v="'320252800515953987'"/>
    <s v="Merchandise &amp; Supplies-Internet Purchase"/>
    <s v="DELTARESERVE"/>
    <x v="3"/>
  </r>
  <r>
    <d v="2025-10-06T00:00:00"/>
    <s v="LEMONADE INSURANCE CNEW YORK            NY"/>
    <n v="9.42"/>
    <s v="######GGfgd INSURANCE SALES_x000a_LEMONADE INSURANCE COMPANY_x000a_NEW YORK_x000a_NY_x000a_INSURANCE SALES"/>
    <s v="LEMONADE INSURANCE CNEW YORK            NY"/>
    <s v="5 CROSBY ST FL 3"/>
    <s v="NEW YORK_x000a_NY"/>
    <n v="10013"/>
    <s v="UNITED STATES"/>
    <s v="'320252790485201184'"/>
    <s v="Business Services-Insurance Services"/>
    <s v="AMEXPLATINUM"/>
    <x v="3"/>
  </r>
  <r>
    <d v="2025-10-06T00:00:00"/>
    <s v="BASE44.COM          NEWARK              DE"/>
    <n v="50"/>
    <s v="CH_3SFHNQD5 +972549794698_x000a_BASE44.COM_x000a_NEWARK_x000a_DE_x000a_+972549794698"/>
    <s v="BASE44.COM          NEWARK              DE"/>
    <s v="131 CONTINENTAL DR SUITE 305"/>
    <s v="NEWARK_x000a_DE"/>
    <n v="19713"/>
    <s v="UNITED STATES"/>
    <s v="'320252790485358796'"/>
    <s v="Merchandise &amp; Supplies-Computer Supplies"/>
    <s v="AMEXPLATINUM"/>
    <x v="1"/>
  </r>
  <r>
    <d v="2025-10-06T00:00:00"/>
    <s v="SPECTRUM            855-707-7328        MO"/>
    <n v="115"/>
    <s v="RC126727549CABLE SVC_x000a_SPECTRUM_x000a_855-707-7328_x000a_MO_x000a_CABLE SVC"/>
    <s v="SPECTRUM            855-707-7328        MO"/>
    <s v="12405 POWERSCOURT DR"/>
    <s v="SAINT LOUIS_x000a_MO"/>
    <n v="63131"/>
    <s v="UNITED STATES"/>
    <s v="'320252790486979298'"/>
    <s v="Communications-Cable &amp; Internet Comm"/>
    <s v="AMEXPLATINUM"/>
    <x v="5"/>
  </r>
  <r>
    <d v="2025-10-06T00:00:00"/>
    <s v="FIGMA               SAN FRANCISCO       CA"/>
    <n v="21.4"/>
    <s v="CH_3SFILXIV +14158905404_x000a_FIGMA_x000a_SAN FRANCISCO_x000a_CA_x000a_+14158905404"/>
    <s v="FIGMA               SAN FRANCISCO       CA"/>
    <s v="760 MARKET ST_x000a_FLOOR 10"/>
    <s v="SAN FRANCISCO_x000a_CA"/>
    <n v="94102"/>
    <s v="UNITED STATES"/>
    <s v="'320252790488172217'"/>
    <s v="Business Services-Employment Agencies"/>
    <s v="AMEXPLATINUM"/>
    <x v="1"/>
  </r>
  <r>
    <d v="2025-10-06T00:00:00"/>
    <s v="APPLE.COM/BILL      INTERNET CHARGE     CA"/>
    <n v="48.24"/>
    <s v="MTK83J054Q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790489458329'"/>
    <s v="Merchandise &amp; Supplies-Internet Purchase"/>
    <s v="AMEXPLATINUM"/>
    <x v="3"/>
  </r>
  <r>
    <d v="2025-10-06T00:00:00"/>
    <s v="NOTION LABS, INC.   SAN FRANCISCO       CA"/>
    <n v="25.68"/>
    <s v="CH_3SFHPPCC +14154004291_x000a_NOTION LABS, INC._x000a_SAN FRANCISCO_x000a_CA_x000a_+14154004291"/>
    <s v="NOTION LABS, INC.   SAN FRANCISCO       CA"/>
    <s v="685 MARKET ST_x000a_SUITE 300"/>
    <s v="SAN FRANCISCO_x000a_CA"/>
    <n v="94105"/>
    <s v="UNITED STATES"/>
    <s v="'320252790490451565'"/>
    <s v="Business Services-Employment Agencies"/>
    <s v="DELTARESERVE"/>
    <x v="1"/>
  </r>
  <r>
    <d v="2025-10-06T00:00:00"/>
    <s v="UBER EATS           help.uber.com       CA"/>
    <n v="80.78"/>
    <s v="J9GT8NYH   SOWWYIXE         94103_x000a_UBER EATS_x000a_help.uber.com_x000a_CA_x000a_SOWWYIXE         94103"/>
    <s v="UBER EATS           help.uber.com       CA"/>
    <s v="1455 MARKET ST_x000a_-"/>
    <s v="SAN FRANCISCO_x000a_CA"/>
    <n v="94103"/>
    <s v="UNITED STATES"/>
    <s v="'320252790493481805'"/>
    <s v="Restaurant-Restaurant"/>
    <s v="AMEXPLATINUM"/>
    <x v="3"/>
  </r>
  <r>
    <d v="2025-10-06T00:00:00"/>
    <s v="FACEBK *MLDNQ75SF2  MENLO PARK"/>
    <n v="7.6"/>
    <s v="25238278272 ADVERTISING SERVICE_x000a_FACEBK *MLDNQ75SF2_x000a_MENLO PARK_x000a_ADVERTISING SERVICE"/>
    <s v="FACEBK *MLDNQ75SF2  MENLO PARK"/>
    <s v="1 HACKER WAY"/>
    <s v="MENLO PARK_x000a_CA"/>
    <n v="94025"/>
    <s v="UNITED STATES"/>
    <s v="'320252790494238236'"/>
    <s v="Business Services-Advertising Services"/>
    <s v="AMEXPLATINUM"/>
    <x v="3"/>
  </r>
  <r>
    <d v="2025-10-06T00:00:00"/>
    <s v="AIRTABLE.COM/BILL   SAN FRANCISCO       CA"/>
    <n v="25.68"/>
    <s v="CH_3SFUSEAC +14152002040_x000a_AIRTABLE.COM/BILL_x000a_SAN FRANCISCO_x000a_CA_x000a_+14152002040"/>
    <s v="AIRTABLE.COM/BILL   SAN FRANCISCO       CA"/>
    <s v="1 FRONT ST_x000a_FLOOR 28"/>
    <s v="SAN FRANCISCO_x000a_CA"/>
    <n v="94111"/>
    <s v="UNITED STATES"/>
    <s v="'320252800517519618'"/>
    <s v="Business Services-Employment Agencies"/>
    <s v="AMEXPLATINUM"/>
    <x v="3"/>
  </r>
  <r>
    <d v="2025-10-06T00:00:00"/>
    <s v="NYU LANGONE HEALTH  NEW YORK            NY"/>
    <n v="100"/>
    <s v="036-0275351 HEALTHCARE P_x000a_NYU LANGONE HEALTH_x000a_NEW YORK_x000a_NY_x000a_HEALTHCARE P"/>
    <s v="NYU LANGONE HEALTH  NEW YORK            NY"/>
    <s v="550 1ST AVE"/>
    <s v="NEW YORK_x000a_NY"/>
    <s v="10016-6402"/>
    <s v="UNITED STATES"/>
    <s v="'320252800522235016'"/>
    <s v="Business Services-Health Care Services"/>
    <s v="AMEXPLATINUM"/>
    <x v="3"/>
  </r>
  <r>
    <d v="2025-10-06T00:00:00"/>
    <s v="AMAZON.COM          AMZN.COM/BILL       WA"/>
    <n v="84.91"/>
    <s v="6T4U0TOLXP1 MERCHANDISE_x000a_AMAZON.COM_x000a_AMZN.COM/BILL_x000a_WA_x000a_MERCHANDISE"/>
    <s v="AMAZON.COM          AMZN.COM/BILL       WA"/>
    <s v="410 TERRY AVE N"/>
    <s v="SEATTLE_x000a_WA"/>
    <n v="98109"/>
    <s v="UNITED STATES"/>
    <s v="'320252800524555826'"/>
    <s v="Merchandise &amp; Supplies-Internet Purchase"/>
    <s v="DELTARESERVE"/>
    <x v="3"/>
  </r>
  <r>
    <d v="2025-10-06T00:00:00"/>
    <s v="ERACTOLL 9TWXMK     877-860-1258        NY"/>
    <n v="37.61"/>
    <s v="T210808024  877-860-1258_x000a_ERACTOLL 9TWXMK_x000a_877-860-1258_x000a_NY_x000a_Description : ERACTOLL 9TWXMK Price : 0.00_x000a_877-860-1258"/>
    <s v="ERACTOLL 9TWXMK     877-860-1258        NY"/>
    <s v="-"/>
    <e v="#NAME?"/>
    <n v="11577"/>
    <s v="UNITED STATES"/>
    <s v="'320252800524941061'"/>
    <s v="Transportation-Tolls &amp; Fees"/>
    <s v="DELTARESERVE"/>
    <x v="9"/>
  </r>
  <r>
    <d v="2025-10-06T00:00:00"/>
    <s v="WEGMANS ASTOR PLACE NEW YORK            NY"/>
    <n v="52.31"/>
    <s v="W15608501065854293656_x000a_WEGMANS ASTOR PLACE 156 000000156_x000a_NEW YORK_x000a_NY_x000a_5854293656"/>
    <s v="WEGMANS ASTOR PLACE NEW YORK            NY"/>
    <s v="770 BROADWAY"/>
    <s v="NEW YORK_x000a_NY"/>
    <n v="10003"/>
    <s v="UNITED STATES"/>
    <s v="'320252800525025395'"/>
    <s v="Merchandise &amp; Supplies-Groceries"/>
    <s v="AMEXPLATINUM"/>
    <x v="3"/>
  </r>
  <r>
    <d v="2025-10-06T00:00:00"/>
    <s v="KALL8 00089590000642SEATTLE             WA"/>
    <n v="18.079999999999998"/>
    <s v="73011005279 ANDY@KALL8.COM_x000a_KALL8 000895900006429_x000a_SEATTLE_x000a_WA_x000a_ANDY@KALL8.COM"/>
    <s v="KALL8 00089590000642SEATTLE             WA"/>
    <s v="200 WEST MERCER ST_x000a_SUITE E202"/>
    <s v="SEATTLE_x000a_WA"/>
    <n v="98119"/>
    <s v="UNITED STATES"/>
    <s v="'320252800531961035'"/>
    <s v="Other-Miscellaneous"/>
    <s v="AMEXPLATINUM"/>
    <x v="5"/>
  </r>
  <r>
    <d v="2025-10-06T00:00:00"/>
    <s v="STARBUCKS           800-782-7282        WA"/>
    <n v="9.74"/>
    <s v="30WFKENV1FS FOOD&amp;BEV_x000a_STARBUCKS_x000a_800-782-7282_x000a_WA_x000a_FOOD&amp;BEV"/>
    <s v="STARBUCKS           800-782-7282        WA"/>
    <s v="2401 UTAH AVE SOUTH STE 800"/>
    <s v="SEATTLE_x000a_WA"/>
    <n v="98134"/>
    <s v="UNITED STATES"/>
    <s v="'320252800534238563'"/>
    <s v="Restaurant-Bar &amp; CafÃ©"/>
    <s v="AMEXPLATINUM"/>
    <x v="3"/>
  </r>
  <r>
    <d v="2025-10-06T00:00:00"/>
    <s v="REPLIT, INC.        FOSTER CITY         CA"/>
    <n v="53.81"/>
    <s v="CH_3SFNJ1JA +16282002281_x000a_REPLIT, INC._x000a_FOSTER CITY_x000a_CA_x000a_+16282002281"/>
    <s v="REPLIT, INC.        FOSTER CITY         CA"/>
    <s v="1001 EAST HILLSDALE BLVD_x000a_SUITE 400W"/>
    <s v="FOSTER CITY_x000a_CA"/>
    <n v="94404"/>
    <s v="UNITED STATES"/>
    <s v="'320252800535077539'"/>
    <s v="Merchandise &amp; Supplies-Computer Supplies"/>
    <s v="AMEXPLATINUM"/>
    <x v="1"/>
  </r>
  <r>
    <d v="2025-10-07T00:00:00"/>
    <s v="LE CAFE COFFEE      New York            NY"/>
    <n v="7.26"/>
    <s v="vTWqBxDr1jf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800519361754'"/>
    <s v="Restaurant-Bar &amp; CafÃ©"/>
    <s v="AMEXPLATINUM"/>
    <x v="3"/>
  </r>
  <r>
    <d v="2025-10-07T00:00:00"/>
    <s v="A1010BUSD01         MSBILL.INFO"/>
    <n v="21.38"/>
    <s v="Z72XCWYXDJ9Z72XCWYXDJ9Q     98052_x000a_A1010BUSD01_x000a_MSBILL.INFO_x000a_Z72XCWYXDJ9Q     98052"/>
    <s v="A1010BUSD01         MSBILL.INFO"/>
    <s v="8TH FLOOR_x000a_91 MAIN ST"/>
    <s v="DALLAS_x000a_TX"/>
    <n v="75202"/>
    <s v="UNITED STATES"/>
    <s v="'320252800535302567'"/>
    <s v="Other-Miscellaneous"/>
    <s v="DELTARESERVE"/>
    <x v="1"/>
  </r>
  <r>
    <d v="2025-10-07T00:00:00"/>
    <s v="TST* IL BUCO - BOND NEW YORK            NY"/>
    <n v="630"/>
    <s v="00041760028 RESTAURANT_x000a_TST* IL BUCO - BOND ST 00041760_x000a_NEW YORK_x000a_NY_x000a_RESTAURANT"/>
    <s v="TST* IL BUCO - BOND NEW YORK            NY"/>
    <s v="47 BOND ST FRNT 1"/>
    <s v="NEW YORK_x000a_NY"/>
    <n v="10012"/>
    <s v="UNITED STATES"/>
    <s v="'320252810554114382'"/>
    <s v="Restaurant-Restaurant"/>
    <s v="DELTARESERVE"/>
    <x v="11"/>
  </r>
  <r>
    <d v="2025-10-07T00:00:00"/>
    <s v="IONOS               www.ionos.com       PA"/>
    <n v="44.86"/>
    <s v="00582723119 877-461-2631_x000a_IONOS_x000a_www.ionos.com_x000a_PA_x000a_877-461-2631"/>
    <s v="IONOS               www.ionos.com       PA"/>
    <s v="ATTN LOU LOMBARDO_x000a_701 LEE RD 300"/>
    <s v="CHESTERBROOK_x000a_PA"/>
    <s v="19087-5612"/>
    <s v="UNITED STATES"/>
    <s v="'320252810557088383'"/>
    <s v="Merchandise &amp; Supplies-Computer Supplies"/>
    <s v="AMEXPLATINUM"/>
    <x v="1"/>
  </r>
  <r>
    <d v="2025-10-07T00:00:00"/>
    <s v="ARLOTECHNOLOGIES INC408-638-3750        CA"/>
    <n v="21.39"/>
    <s v="224498192  224498192        12866_x000a_ARLOTECHNOLOGIES INC_x000a_408-638-3750_x000a_CA_x000a_224498192        12866"/>
    <s v="ARLOTECHNOLOGIES INC408-638-3750        CA"/>
    <s v="STE 200_x000a_480 N MCCARTHY BLVD"/>
    <s v="MILPITAS_x000a_CA"/>
    <n v="95035"/>
    <s v="UNITED STATES"/>
    <s v="'320252820573736904'"/>
    <s v="Merchandise &amp; Supplies-Wholesale Stores"/>
    <s v="DELTARESERVE"/>
    <x v="1"/>
  </r>
  <r>
    <d v="2025-10-07T00:00:00"/>
    <s v="KIMBERLY MEEHAN, NP NEW YORK            NY"/>
    <n v="200"/>
    <s v="1310136     KIMBERLY@KIMBERLYMEEH_x000a_KIMBERLY@KIMBERLYMEEHANNP_x000a_KIMBERLY MEEHAN, NP IN PS KIMBERLY MEE_x000a_NEW YORK_x000a_NY_x000a_Description : FB68DBADA3704B949DC Price : 0.00_x000a_KIMBERLY@KIMBERLYMEEHANNP"/>
    <s v="KIMBERLY MEEHAN, NP NEW YORK            NY"/>
    <s v="18 EAST 41ST ST"/>
    <s v="NEW YORK_x000a_NY"/>
    <n v="10017"/>
    <s v="UNITED STATES"/>
    <s v="'320252820590959891'"/>
    <s v="Business Services-Health Care Services"/>
    <s v="AMEXPLATINUM"/>
    <x v="3"/>
  </r>
  <r>
    <d v="2025-10-08T00:00:00"/>
    <s v="Interest Charge on Pay Over Time Purchases"/>
    <n v="848.33"/>
    <s v="Interest Charge on Pay Over Time Purchases"/>
    <s v="Interest Charge on Pay Over Time Purchases"/>
    <m/>
    <m/>
    <m/>
    <m/>
    <s v="'151009060000511106'"/>
    <s v="Fees &amp; Adjustments-Fees &amp; Adjustments"/>
    <s v="AMEXPLATINUM"/>
    <x v="13"/>
  </r>
  <r>
    <d v="2025-10-08T00:00:00"/>
    <s v="COVERGIRL.MAXIM.COM SAN ANTONIO         TX"/>
    <n v="20"/>
    <s v="CH_3SG1DJAC +12102014187_x000a_COVERGIRL.MAXIM.COM_x000a_SAN ANTONIO_x000a_TX_x000a_+12102014187"/>
    <s v="COVERGIRL.MAXIM.COM SAN ANTONIO         TX"/>
    <s v="19100 RIDGEWOOD PKWY_x000a_SUITE 1200"/>
    <s v="SAN ANTONIO_x000a_TX"/>
    <n v="78259"/>
    <s v="UNITED STATES"/>
    <s v="'320252810540470673'"/>
    <s v="Business Services-Office Supplies"/>
    <s v="AMEXPLATINUM"/>
    <x v="3"/>
  </r>
  <r>
    <d v="2025-10-08T00:00:00"/>
    <s v="UBER"/>
    <n v="25.39"/>
    <s v="6V3JE2KS    8005928996_x000a_Uber Trip_x000a_help.uber.com_x000a_CA_x000a_8005928996"/>
    <s v="Uber Trip           help.uber.com       CA"/>
    <s v="1455 MARKET ST_x000a_4TH FLOOR"/>
    <s v="SAN FRANCISCO_x000a_CA"/>
    <n v="94103"/>
    <s v="UNITED STATES"/>
    <s v="'320252810542545672'"/>
    <s v="Transportation-Taxis &amp; Coach"/>
    <s v="AMEXPLATINUM"/>
    <x v="2"/>
  </r>
  <r>
    <d v="2025-10-08T00:00:00"/>
    <s v="UBER"/>
    <n v="5.07"/>
    <s v="GB6366F6   5P6AWELG         10012_x000a_Uber Trip_x000a_help.uber.com_x000a_CA_x000a_5P6AWELG         10012"/>
    <s v="Uber Trip           help.uber.com       CA"/>
    <s v="1455 MARKET ST_x000a_4TH FLOOR"/>
    <s v="SAN FRANCISCO_x000a_CA"/>
    <n v="94103"/>
    <s v="UNITED STATES"/>
    <s v="'320252810542550007'"/>
    <s v="Transportation-Taxis &amp; Coach"/>
    <s v="AMEXPLATINUM"/>
    <x v="2"/>
  </r>
  <r>
    <d v="2025-10-08T00:00:00"/>
    <s v="WEGMANS ASTOR PLACE NEW YORK            NY"/>
    <n v="131.58000000000001"/>
    <s v="W15639900105854293656_x000a_WEGMANS ASTOR PLACE 156 000000156_x000a_NEW YORK_x000a_NY_x000a_5854293656"/>
    <s v="WEGMANS ASTOR PLACE NEW YORK            NY"/>
    <s v="770 BROADWAY"/>
    <s v="NEW YORK_x000a_NY"/>
    <n v="10003"/>
    <s v="UNITED STATES"/>
    <s v="'320252820582219145'"/>
    <s v="Merchandise &amp; Supplies-Groceries"/>
    <s v="AMEXPLATINUM"/>
    <x v="3"/>
  </r>
  <r>
    <d v="2025-10-09T00:00:00"/>
    <s v="GRUBHUB*JACKSWIFEFRENEW YORK            NY"/>
    <n v="133.53"/>
    <s v="3H9BY6PF    8775851085_x000a_GRUBHUB*JACKSWIFEFREDA_x000a_NEW YORK_x000a_NY_x000a_8775851085"/>
    <s v="GRUBHUB*JACKSWIFEFRENEW YORK            NY"/>
    <s v="SUITE 2100_x000a_111 W WASHINGTON"/>
    <s v="CHICAGO_x000a_IL"/>
    <n v="60602"/>
    <s v="UNITED STATES"/>
    <s v="'320252820571907581'"/>
    <s v="Restaurant-Restaurant"/>
    <s v="AMEXPLATINUM"/>
    <x v="3"/>
  </r>
  <r>
    <d v="2025-10-09T00:00:00"/>
    <s v="DISTROKID EXTRAS    NEW YORK            NY"/>
    <n v="1.06"/>
    <s v="CH_2SGP7BJS +14153666101_x000a_DISTROKID EXTRAS_x000a_NEW YORK_x000a_NY_x000a_+14153666101"/>
    <s v="DISTROKID EXTRAS    NEW YORK            NY"/>
    <s v="228 PARK AVE SOUTH"/>
    <s v="NEW YORK_x000a_NY"/>
    <n v="10003"/>
    <s v="UNITED STATES"/>
    <s v="'320252820572172300'"/>
    <s v="Other-Miscellaneous"/>
    <s v="AMEXPLATINUM"/>
    <x v="3"/>
  </r>
  <r>
    <d v="2025-10-09T00:00:00"/>
    <s v="BREADS BAKERY UNION New York            NY"/>
    <n v="42.3"/>
    <s v="pC9r06Hw60N squareup.com/receipts_x000a_BREADS BAKERY UNION SQUARE_x000a_New York_x000a_NY_x000a_squareup.com/receipts"/>
    <s v="BREADS BAKERY UNION New York            NY"/>
    <s v="18 EAST 16TH ST"/>
    <s v="NEW YORK_x000a_NY"/>
    <n v="10003"/>
    <s v="UNITED STATES"/>
    <s v="'320252820574639379'"/>
    <s v="Restaurant-Restaurant"/>
    <s v="AMEXPLATINUM"/>
    <x v="3"/>
  </r>
  <r>
    <d v="2025-10-09T00:00:00"/>
    <s v="LE CAFE COFFEE      New York            NY"/>
    <n v="9.06"/>
    <s v="zzRmmYyv3CR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820575642756'"/>
    <s v="Restaurant-Bar &amp; CafÃ©"/>
    <s v="AMEXPLATINUM"/>
    <x v="3"/>
  </r>
  <r>
    <d v="2025-10-09T00:00:00"/>
    <s v="LEVI.COM            SAN FRANCISCO       CA"/>
    <n v="105.95"/>
    <s v="70218528KG6 800-923-6245_x000a_LEVI.COM_x000a_SAN FRANCISCO_x000a_CA_x000a_Description : APPAREL/ACC Price : 0.00_x000a_800-923-6245"/>
    <s v="LEVI.COM            SAN FRANCISCO       CA"/>
    <s v="1155 BATTERY ST"/>
    <s v="SAN FRANCISCO_x000a_CA"/>
    <s v="94111-1203"/>
    <s v="UNITED STATES"/>
    <s v="'320252820577330523'"/>
    <s v="Merchandise &amp; Supplies-Internet Purchase"/>
    <s v="AMEXPLATINUM"/>
    <x v="3"/>
  </r>
  <r>
    <d v="2025-10-09T00:00:00"/>
    <s v="MICROSOFT           MSBILL.INFO"/>
    <n v="160.69"/>
    <s v="Z72ZD2O9QQCZ72ZD2O9QQCA     98052_x000a_MICROSOFT_x000a_MSBILL.INFO_x000a_Z72ZD2O9QQCA     98052"/>
    <s v="MICROSOFT           MSBILL.INFO"/>
    <s v="1 MICROSOFT WAY"/>
    <s v="REDMOND_x000a_WA"/>
    <n v="98052"/>
    <s v="UNITED STATES"/>
    <s v="'320252820578288346'"/>
    <s v="Other-Miscellaneous"/>
    <s v="DELTARESERVE"/>
    <x v="1"/>
  </r>
  <r>
    <d v="2025-10-09T00:00:00"/>
    <s v="MICROSOFT           MSBILL.INFO"/>
    <n v="216"/>
    <s v="Z730D3H4UTBZ730D3H4UTB2     98052_x000a_MICROSOFT_x000a_MSBILL.INFO_x000a_Z730D3H4UTB2     98052"/>
    <s v="MICROSOFT           MSBILL.INFO"/>
    <s v="1 MICROSOFT WAY"/>
    <s v="REDMOND_x000a_WA"/>
    <n v="98052"/>
    <s v="UNITED STATES"/>
    <s v="'320252820578358266'"/>
    <s v="Other-Miscellaneous"/>
    <s v="DELTARESERVE"/>
    <x v="1"/>
  </r>
  <r>
    <d v="2025-10-09T00:00:00"/>
    <s v="DUANE READE #14468 0NEW YORK            NY"/>
    <n v="28.74"/>
    <s v="99999995283 8002892273_x000a_DUANE READE #14468 000014468_x000a_NEW YORK_x000a_NY_x000a_Description : PHARMACIES Price : 0.2874_x000a_8002892273"/>
    <s v="DUANE READE #14468 0NEW YORK            NY"/>
    <s v="1 UN SQ SOUTH"/>
    <s v="NEW YORK_x000a_NY"/>
    <n v="10003"/>
    <s v="UNITED STATES"/>
    <s v="'320252830613714212'"/>
    <s v="Merchandise &amp; Supplies-Pharmacies"/>
    <s v="AMEXPLATINUM"/>
    <x v="3"/>
  </r>
  <r>
    <d v="2025-10-09T00:00:00"/>
    <s v="CVS PHARMACY        NEW YORK            NY"/>
    <n v="24.03"/>
    <s v="10183018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2830613768773'"/>
    <s v="Merchandise &amp; Supplies-Pharmacies"/>
    <s v="AMEXPLATINUM"/>
    <x v="3"/>
  </r>
  <r>
    <d v="2025-10-09T00:00:00"/>
    <s v="WWW.PERPLEXITY.AI   SAN FRANCISCO       CA"/>
    <n v="21.4"/>
    <s v="CH_3SGYYMGZ +15102700840_x000a_WWW.PERPLEXITY.AI_x000a_SAN FRANCISCO_x000a_CA_x000a_+15102700840"/>
    <s v="WWW.PERPLEXITY.AI   SAN FRANCISCO       CA"/>
    <s v="115 SANSOME ST_x000a_SUITE 900"/>
    <s v="SAN FRANCISCO_x000a_CA"/>
    <n v="94104"/>
    <s v="UNITED STATES"/>
    <s v="'320252830616486591'"/>
    <s v="Business Services-Office Supplies"/>
    <s v="DELTARESERVE"/>
    <x v="1"/>
  </r>
  <r>
    <d v="2025-10-10T00:00:00"/>
    <s v="APPLE.COM/BILL      INTERNET CHARGE     CA"/>
    <n v="4.26"/>
    <s v="MTK84Q19BW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840632578020'"/>
    <s v="Merchandise &amp; Supplies-Internet Purchase"/>
    <s v="AMEXPLATINUM"/>
    <x v="3"/>
  </r>
  <r>
    <d v="2025-10-10T00:00:00"/>
    <s v="Con Edison Bill Paym800-752-6633        NY"/>
    <n v="307.66000000000003"/>
    <s v="47309808143 UTILITIES_x000a_Con Edison Bill Payment_x000a_800-752-6633_x000a_NY_x000a_UTILITIES"/>
    <s v="Con Edison Bill Paym800-752-6633        NY"/>
    <s v="4 IRVING PLACE 2ND_x000a_FLOOR"/>
    <s v="NEW YORK_x000a_NY"/>
    <n v="10003"/>
    <s v="UNITED STATES"/>
    <s v="'320252840641165736'"/>
    <s v="Other-Utilities"/>
    <s v="AMEXPLATINUM"/>
    <x v="8"/>
  </r>
  <r>
    <d v="2025-10-10T00:00:00"/>
    <s v="STARBUCKS           800-782-7282        WA"/>
    <n v="25"/>
    <s v="2EM2LMTNL6H GIFT CARD_x000a_STARBUCKS_x000a_800-782-7282_x000a_WA_x000a_GIFT CARD"/>
    <s v="STARBUCKS           800-782-7282        WA"/>
    <s v="2401 UTAH AVE SOUTH STE 800"/>
    <s v="SEATTLE_x000a_WA"/>
    <n v="98134"/>
    <s v="UNITED STATES"/>
    <s v="'320252840648261668'"/>
    <s v="Restaurant-Bar &amp; CafÃ©"/>
    <s v="AMEXPLATINUM"/>
    <x v="3"/>
  </r>
  <r>
    <d v="2025-10-11T00:00:00"/>
    <s v="APPLE.COM/BILL      INTERNET CHARGE     CA"/>
    <n v="9.99"/>
    <s v="MTK84WJQ4Q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840634019258'"/>
    <s v="Merchandise &amp; Supplies-Internet Purchase"/>
    <s v="AMEXPLATINUM"/>
    <x v="3"/>
  </r>
  <r>
    <d v="2025-10-11T00:00:00"/>
    <s v="UBER EATS           help.uber.com       CA"/>
    <n v="109.56"/>
    <s v="HNA6QXES   MG72EWVQ         94103_x000a_UBER EATS_x000a_help.uber.com_x000a_CA_x000a_MG72EWVQ         94103"/>
    <s v="UBER EATS           help.uber.com       CA"/>
    <s v="1455 MARKET ST_x000a_-"/>
    <s v="SAN FRANCISCO_x000a_CA"/>
    <n v="94103"/>
    <s v="UNITED STATES"/>
    <s v="'320252840637856581'"/>
    <s v="Restaurant-Restaurant"/>
    <s v="AMEXPLATINUM"/>
    <x v="3"/>
  </r>
  <r>
    <d v="2025-10-11T00:00:00"/>
    <s v="ADOBE SYSTEMS Adobe SAN JOSE            CA"/>
    <n v="21.39"/>
    <s v="523788332   www.adobe.com_x000a_ADOBE SYSTEMS Adobe Systems_x000a_SAN JOSE_x000a_CA_x000a_Description : DEFAULT Price : 0.1999_x000a_www.adobe.com"/>
    <s v="ADOBE SYSTEMS Adobe SAN JOSE            CA"/>
    <s v="801 N 34TH ST"/>
    <s v="SEATTLE_x000a_WA"/>
    <n v="98103"/>
    <s v="UNITED STATES"/>
    <s v="'320252850665257425'"/>
    <s v="Merchandise &amp; Supplies-Mail Order"/>
    <s v="AMEXPLATINUM"/>
    <x v="1"/>
  </r>
  <r>
    <d v="2025-10-11T00:00:00"/>
    <s v="ILLUSTRATOR Adobe SySAN JOSE            CA"/>
    <n v="36.9"/>
    <s v="523788448   ADOBE.LY/ENUS_x000a_ILLUSTRATOR Adobe Systems_x000a_SAN JOSE_x000a_CA_x000a_Description : DEFAULT Price : 0.3449_x000a_ADOBE.LY/ENUS"/>
    <s v="ILLUSTRATOR Adobe SySAN JOSE            CA"/>
    <s v="801 N 34TH ST"/>
    <s v="SEATTLE_x000a_WA"/>
    <n v="98103"/>
    <s v="UNITED STATES"/>
    <s v="'320252850665257519'"/>
    <s v="Merchandise &amp; Supplies-Mail Order"/>
    <s v="AMEXPLATINUM"/>
    <x v="1"/>
  </r>
  <r>
    <d v="2025-10-11T00:00:00"/>
    <s v="ERACTOLL 9TWXMK     877-860-1258        NY"/>
    <n v="2.25"/>
    <s v="T211355747  877-860-1258_x000a_ERACTOLL 9TWXMK_x000a_877-860-1258_x000a_NY_x000a_Description : ERACTOLL 9TWXMK Price : 0.00_x000a_877-860-1258"/>
    <s v="ERACTOLL 9TWXMK     877-860-1258        NY"/>
    <s v="-"/>
    <e v="#NAME?"/>
    <n v="11577"/>
    <s v="UNITED STATES"/>
    <s v="'320252850665558920'"/>
    <s v="Transportation-Tolls &amp; Fees"/>
    <s v="DELTARESERVE"/>
    <x v="9"/>
  </r>
  <r>
    <d v="2025-10-11T00:00:00"/>
    <s v="FS *RAINDROP.IO     877-327-8914        CA"/>
    <n v="29.96"/>
    <s v="VACX9EPWRBYD96C5A1C612C7466 93101_x000a_FS *RAINDROP.IO_x000a_877-327-8914_x000a_CA_x000a_D96C5A1C612C7466 93101"/>
    <s v="FS *RAINDROP.IO     877-327-8914        CA"/>
    <s v="801 GDN ST 201"/>
    <s v="SANTA BARBARA_x000a_CA"/>
    <n v="93101"/>
    <s v="UNITED STATES"/>
    <s v="'320252850676841603'"/>
    <s v="Merchandise &amp; Supplies-Internet Purchase"/>
    <s v="DELTARESERVE"/>
    <x v="1"/>
  </r>
  <r>
    <d v="2025-10-11T00:00:00"/>
    <s v="AMAZON MARKEPLACE NA PA"/>
    <n v="71.3"/>
    <s v="59BJQ2HWIFN MERCHANDISE_x000a_AMAZON MARKETPLACE NA PA_x000a_AMZN.COM/BILL_x000a_WA_x000a_MERCHANDISE"/>
    <s v="AMAZON MARKETPLACE NAMZN.COM/BILL       WA"/>
    <s v="410 TERRY AVE N"/>
    <s v="SEATTLE_x000a_WA"/>
    <n v="98109"/>
    <s v="UNITED STATES"/>
    <s v="'320252860697034777'"/>
    <s v="Merchandise &amp; Supplies-Internet Purchase"/>
    <s v="DELTARESERVE"/>
    <x v="3"/>
  </r>
  <r>
    <d v="2025-10-12T00:00:00"/>
    <s v="MOBILE PAYMENT - THANK YOU"/>
    <n v="-3000"/>
    <s v="MOBILE PAYMENT - THANK YOU"/>
    <s v="MOBILE PAYMENT - THANK YOU"/>
    <m/>
    <m/>
    <m/>
    <m/>
    <s v="'320252850655835805'"/>
    <m/>
    <s v="DELTARESERVE"/>
    <x v="0"/>
  </r>
  <r>
    <d v="2025-10-12T00:00:00"/>
    <s v="APPLE.COM/BILL      INTERNET CHARGE     CA"/>
    <n v="17.09"/>
    <s v="MTK84V91H6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850658893344'"/>
    <s v="Merchandise &amp; Supplies-Internet Purchase"/>
    <s v="AMEXPLATINUM"/>
    <x v="3"/>
  </r>
  <r>
    <d v="2025-10-12T00:00:00"/>
    <s v="UBER EATS           help.uber.com       CA"/>
    <n v="203.47"/>
    <s v="HCEAZ7GR   3F7UC664         94103_x000a_UBER EATS_x000a_help.uber.com_x000a_CA_x000a_3F7UC664         94103"/>
    <s v="UBER EATS           help.uber.com       CA"/>
    <s v="1455 MARKET ST_x000a_-"/>
    <s v="SAN FRANCISCO_x000a_CA"/>
    <n v="94103"/>
    <s v="UNITED STATES"/>
    <s v="'320252850659856617'"/>
    <s v="Restaurant-Restaurant"/>
    <s v="AMEXPLATINUM"/>
    <x v="3"/>
  </r>
  <r>
    <d v="2025-10-12T00:00:00"/>
    <s v="UBER"/>
    <n v="28.88"/>
    <s v="EH3XNFRP   UFO2SE53         10013_x000a_Uber Trip_x000a_help.uber.com_x000a_CA_x000a_UFO2SE53         10013"/>
    <s v="Uber Trip           help.uber.com       CA"/>
    <s v="1455 MARKET ST_x000a_4TH FLOOR"/>
    <s v="SAN FRANCISCO_x000a_CA"/>
    <n v="94103"/>
    <s v="UNITED STATES"/>
    <s v="'320252850660225681'"/>
    <s v="Transportation-Taxis &amp; Coach"/>
    <s v="AMEXPLATINUM"/>
    <x v="2"/>
  </r>
  <r>
    <d v="2025-10-12T00:00:00"/>
    <s v="UBER"/>
    <n v="30.79"/>
    <s v="QNQ257B8   FJRJVJTG         10012_x000a_Uber Trip_x000a_help.uber.com_x000a_CA_x000a_FJRJVJTG         10012"/>
    <s v="Uber Trip           help.uber.com       CA"/>
    <s v="1455 MARKET ST_x000a_4TH FLOOR"/>
    <s v="SAN FRANCISCO_x000a_CA"/>
    <n v="94103"/>
    <s v="UNITED STATES"/>
    <s v="'320252850660879658'"/>
    <s v="Transportation-Taxis &amp; Coach"/>
    <s v="AMEXPLATINUM"/>
    <x v="2"/>
  </r>
  <r>
    <d v="2025-10-12T00:00:00"/>
    <s v="GOOGLE *ISHARING GPS G.CO/HELPPAY#      CA"/>
    <n v="16.04"/>
    <s v="A12YBMC1    DIGITAL GOODS: GAMES_x000a_GOOGLE *ISHARING GPS L_x000a_G.CO/HELPPAY#_x000a_CA_x000a_DIGITAL GOODS: GAMES"/>
    <s v="GOOGLE *ISHARING GPS G.CO/HELPPAY#      CA"/>
    <s v="1600 AMPHITHEATRE PKWY"/>
    <s v="MOUNTAIN VIEW_x000a_CA"/>
    <s v="94043-1351"/>
    <s v="UNITED STATES"/>
    <s v="'320252850669380148'"/>
    <s v="Business Services-Internet Services"/>
    <s v="DELTARESERVE"/>
    <x v="1"/>
  </r>
  <r>
    <d v="2025-10-12T00:00:00"/>
    <s v="UBER"/>
    <n v="40.51"/>
    <s v="PH1HBD6D   DTF6TTBE         10010_x000a_Uber Trip_x000a_help.uber.com_x000a_CA_x000a_DTF6TTBE         10010"/>
    <s v="Uber Trip           help.uber.com       CA"/>
    <s v="1455 MARKET ST_x000a_4TH FLOOR"/>
    <s v="SAN FRANCISCO_x000a_CA"/>
    <n v="94103"/>
    <s v="UNITED STATES"/>
    <s v="'320252860692077222'"/>
    <s v="Transportation-Taxis &amp; Coach"/>
    <s v="AMEXPLATINUM"/>
    <x v="2"/>
  </r>
  <r>
    <d v="2025-10-12T00:00:00"/>
    <s v="TST* BARCHEF 0023732MANHATTAN           NY"/>
    <n v="318.61"/>
    <s v="21105175286 RESTAURANT_x000a_TST* BARCHEF 00237326_x000a_MANHATTAN_x000a_NY_x000a_RESTAURANT"/>
    <s v="TST* BARCHEF 0023732MANHATTAN           NY"/>
    <s v="21W 35TH ST"/>
    <s v="NEW YORK_x000a_NY"/>
    <n v="10001"/>
    <s v="UNITED STATES"/>
    <s v="'320252860703375222'"/>
    <s v="Restaurant-Restaurant"/>
    <s v="DELTARESERVE"/>
    <x v="11"/>
  </r>
  <r>
    <d v="2025-10-12T00:00:00"/>
    <s v="FACEBK *META VERIFIEFB.ME/CC            CA"/>
    <n v="11.99"/>
    <s v="25040423512 DGTL CONTENT_x000a_FACEBK *META VERIFIED_x000a_FB.ME/CC_x000a_CA_x000a_DGTL CONTENT"/>
    <s v="FACEBK *META VERIFIEFB.ME/CC            CA"/>
    <s v="1 HACKER WAY"/>
    <s v="MENLO PARK_x000a_CA"/>
    <n v="94025"/>
    <s v="UNITED STATES"/>
    <s v="'320252860705220326'"/>
    <s v="Business Services-Office Supplies"/>
    <s v="AMEXPLATINUM"/>
    <x v="3"/>
  </r>
  <r>
    <d v="2025-10-13T00:00:00"/>
    <s v="LINKEDIN SN P8689996MOUNTAIN VIEW"/>
    <n v="106.99"/>
    <s v="P868999624  SUBSCRIPTIONS_x000a_LINKEDIN SN P868999624_x000a_MOUNTAIN VIEW_x000a_SUBSCRIPTIONS"/>
    <s v="LINKEDIN SN P8689996MOUNTAIN VIEW"/>
    <s v="2029 STIERLIN CT_x000a_STE 200"/>
    <s v="MOUNTAIN VIEW_x000a_CA"/>
    <s v="94043-4655"/>
    <s v="UNITED STATES"/>
    <s v="'320252860688157696'"/>
    <s v="Merchandise &amp; Supplies-Internet Purchase"/>
    <s v="AMEXPLATINUM"/>
    <x v="4"/>
  </r>
  <r>
    <d v="2025-10-13T00:00:00"/>
    <s v="UBER"/>
    <n v="44.11"/>
    <s v="2F28HWHB   BRAELUFX         10018_x000a_Uber Trip_x000a_help.uber.com_x000a_CA_x000a_BRAELUFX         10018"/>
    <s v="Uber Trip           help.uber.com       CA"/>
    <s v="1455 MARKET ST_x000a_4TH FLOOR"/>
    <s v="SAN FRANCISCO_x000a_CA"/>
    <n v="94103"/>
    <s v="UNITED STATES"/>
    <s v="'320252860693142969'"/>
    <s v="Transportation-Taxis &amp; Coach"/>
    <s v="AMEXPLATINUM"/>
    <x v="2"/>
  </r>
  <r>
    <d v="2025-10-13T00:00:00"/>
    <s v="UBER"/>
    <n v="33.61"/>
    <s v="1WQX1EC6   NSFHBG57         10012_x000a_Uber Trip_x000a_help.uber.com_x000a_CA_x000a_NSFHBG57         10012"/>
    <s v="Uber Trip           help.uber.com       CA"/>
    <s v="1455 MARKET ST_x000a_4TH FLOOR"/>
    <s v="SAN FRANCISCO_x000a_CA"/>
    <n v="94103"/>
    <s v="UNITED STATES"/>
    <s v="'320252860693258090'"/>
    <s v="Transportation-Taxis &amp; Coach"/>
    <s v="AMEXPLATINUM"/>
    <x v="2"/>
  </r>
  <r>
    <d v="2025-10-13T00:00:00"/>
    <s v="TST* UNION SQUARE - NEW YORK            NY"/>
    <n v="1764.46"/>
    <s v="NM4bis4bq00 2124770777_x000a_TST* UNION SQUARE - GRAME 300597599_x000a_NEW YORK_x000a_NY_x000a_Description : RESTAURANTS Price : 17.6446_x000a_2124770777"/>
    <s v="TST* UNION SQUARE - NEW YORK            NY"/>
    <s v="42 EAST 20TH ST_x000a_FRNT A"/>
    <s v="NEW YORK_x000a_NY"/>
    <n v="10003"/>
    <s v="UNITED STATES"/>
    <s v="'320252860695536053'"/>
    <s v="Restaurant-Restaurant"/>
    <s v="DELTARESERVE"/>
    <x v="11"/>
  </r>
  <r>
    <d v="2025-10-13T00:00:00"/>
    <s v="WEGMANS ASTOR PLACE NEW YORK            NY"/>
    <n v="48.56"/>
    <s v="W15608800595854293656_x000a_WEGMANS ASTOR PLACE 156 000000156_x000a_NEW YORK_x000a_NY_x000a_5854293656"/>
    <s v="WEGMANS ASTOR PLACE NEW YORK            NY"/>
    <s v="770 BROADWAY"/>
    <s v="NEW YORK_x000a_NY"/>
    <n v="10003"/>
    <s v="UNITED STATES"/>
    <s v="'320252870722143491'"/>
    <s v="Merchandise &amp; Supplies-Groceries"/>
    <s v="AMEXPLATINUM"/>
    <x v="3"/>
  </r>
  <r>
    <d v="2025-10-13T00:00:00"/>
    <s v="CVS PHARMACY        NEW YORK            NY"/>
    <n v="15.49"/>
    <s v="10177366    8007467287_x000a_CVS PHARMACY_x000a_NEW YORK_x000a_NY_x000a_Description : PHARMACIES Price : 0.1549_x000a_8007467287"/>
    <s v="CVS PHARMACY        NEW YORK            NY"/>
    <s v="158 BLEECKER ST"/>
    <s v="NEW YORK_x000a_NY"/>
    <n v="10012"/>
    <s v="UNITED STATES"/>
    <s v="'320252870722233675'"/>
    <s v="Merchandise &amp; Supplies-Pharmacies"/>
    <s v="AMEXPLATINUM"/>
    <x v="3"/>
  </r>
  <r>
    <d v="2025-10-13T00:00:00"/>
    <s v="PRIME VIDEO *NF4H44S888-802-3080        WA"/>
    <n v="9.99"/>
    <s v="4Y1ABXUJQ7G DIGITAL_x000a_PRIME VIDEO *NF4H44S92_x000a_888-802-3080_x000a_WA_x000a_DIGITAL"/>
    <s v="PRIME VIDEO *NF4H44S888-802-3080        WA"/>
    <s v="1512 2ND AVE"/>
    <s v="SEATTLE_x000a_WA"/>
    <s v="98101-1508"/>
    <s v="UNITED STATES"/>
    <s v="'320252870726270033'"/>
    <s v="Merchandise &amp; Supplies-Internet Purchase"/>
    <s v="DELTARESERVE"/>
    <x v="3"/>
  </r>
  <r>
    <d v="2025-10-14T00:00:00"/>
    <s v="ONLINE PAYMENT - THANK YOU"/>
    <n v="-2500"/>
    <s v="ONLINE PAYMENT - THANK YOU"/>
    <s v="ONLINE PAYMENT - THANK YOU"/>
    <m/>
    <m/>
    <m/>
    <m/>
    <s v="'320252870710944880'"/>
    <m/>
    <s v="DELTARESERVE"/>
    <x v="0"/>
  </r>
  <r>
    <d v="2025-10-14T00:00:00"/>
    <s v="ONLINE PAYMENT - THANK YOU"/>
    <n v="-2500"/>
    <s v="ONLINE PAYMENT - THANK YOU"/>
    <s v="ONLINE PAYMENT - THANK YOU"/>
    <m/>
    <m/>
    <m/>
    <m/>
    <s v="'320252870710946654'"/>
    <m/>
    <s v="AMEXPLATINUM"/>
    <x v="0"/>
  </r>
  <r>
    <d v="2025-10-14T00:00:00"/>
    <s v="PATREON* MEMBERSHIP SAN FRANCISCO       CA"/>
    <n v="20.18"/>
    <s v="8GPJEJ00103 SUPPORT@PATREON.COM_x000a_PATREON* MEMBERSHIP 523885_x000a_SAN FRANCISCO_x000a_CA_x000a_SUPPORT@PATREON.COM"/>
    <s v="PATREON* MEMBERSHIP SAN FRANCISCO       CA"/>
    <s v="600 TOWNSEND_x000a_5TH FLOOR"/>
    <s v="SAN FRANCISCO_x000a_CA"/>
    <n v="94103"/>
    <s v="UNITED STATES"/>
    <s v="'320252870713322525'"/>
    <s v="Business Services-Office Supplies"/>
    <s v="AMEXPLATINUM"/>
    <x v="3"/>
  </r>
  <r>
    <d v="2025-10-14T00:00:00"/>
    <s v="LEMONADE INSURANCE 5INTERNET            NY"/>
    <n v="50.67"/>
    <s v="NQFLFN00103 HELP@LEMONADE.COM_x000a_LEMONADE INSURANCE 529657_x000a_INTERNET_x000a_NY_x000a_HELP@LEMONADE.COM"/>
    <s v="LEMONADE INSURANCE 5INTERNET            NY"/>
    <s v="5 CROSBY ST FL 3"/>
    <s v="NEW YORK_x000a_NY"/>
    <n v="10013"/>
    <s v="UNITED STATES"/>
    <s v="'320252870713334912'"/>
    <s v="Business Services-Insurance Services"/>
    <s v="AMEXPLATINUM"/>
    <x v="3"/>
  </r>
  <r>
    <d v="2025-10-14T00:00:00"/>
    <s v="THE CLEANERS IO, LLCNEW YORK            NY"/>
    <n v="95.63"/>
    <s v="rLvEr3f4ORo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870716376398'"/>
    <s v="Business Services-Other Services"/>
    <s v="DELTARESERVE"/>
    <x v="8"/>
  </r>
  <r>
    <d v="2025-10-14T00:00:00"/>
    <s v="WEST VILLAGE EYECARENew York            NY"/>
    <n v="190"/>
    <s v="x2hnXIYi6Qo squareup.com/receipts_x000a_WEST VILLAGE EYECARE ON LAGUARDIA PLAC_x000a_New York_x000a_NY_x000a_squareup.com/receipts"/>
    <s v="WEST VILLAGE EYECARENew York            NY"/>
    <s v="542 LAGUARDIA PL"/>
    <s v="NEW YORK_x000a_NY"/>
    <s v="10012-1458"/>
    <s v="UNITED STATES"/>
    <s v="'320252870717349213'"/>
    <s v="Business Services-Health Care Services"/>
    <s v="DELTARESERVE"/>
    <x v="8"/>
  </r>
  <r>
    <d v="2025-10-14T00:00:00"/>
    <s v="WEST VILLAGE EYECARENew York            NY"/>
    <n v="600"/>
    <s v="LbzEatXo6uU squareup.com/receipts_x000a_WEST VILLAGE EYECARE ON LAGUARDIA PLAC_x000a_New York_x000a_NY_x000a_squareup.com/receipts"/>
    <s v="WEST VILLAGE EYECARENew York            NY"/>
    <s v="542 LAGUARDIA PL"/>
    <s v="NEW YORK_x000a_NY"/>
    <s v="10012-1458"/>
    <s v="UNITED STATES"/>
    <s v="'320252870717388119'"/>
    <s v="Business Services-Health Care Services"/>
    <s v="DELTARESERVE"/>
    <x v="8"/>
  </r>
  <r>
    <d v="2025-10-14T00:00:00"/>
    <s v="LE CAFE COFFEE      New York            NY"/>
    <n v="9.06"/>
    <s v="X7ylossmU0l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870717425544'"/>
    <s v="Restaurant-Bar &amp; CafÃ©"/>
    <s v="AMEXPLATINUM"/>
    <x v="3"/>
  </r>
  <r>
    <d v="2025-10-14T00:00:00"/>
    <s v="PRIME VIDEO *NF1SE8I888-802-3080        WA"/>
    <n v="3.99"/>
    <s v="5CUKBQ6B6PE DIGITAL_x000a_PRIME VIDEO *NF1SE8IF2_x000a_888-802-3080_x000a_WA_x000a_DIGITAL"/>
    <s v="PRIME VIDEO *NF1SE8I888-802-3080        WA"/>
    <s v="1512 2ND AVE"/>
    <s v="SEATTLE_x000a_WA"/>
    <s v="98101-1508"/>
    <s v="UNITED STATES"/>
    <s v="'320252870736291450'"/>
    <s v="Merchandise &amp; Supplies-Internet Purchase"/>
    <s v="DELTARESERVE"/>
    <x v="3"/>
  </r>
  <r>
    <d v="2025-10-14T00:00:00"/>
    <s v="AMAZON MARKEPLACE NA PA"/>
    <n v="67.650000000000006"/>
    <s v="6WA56BZ01SW MERCHANDISE_x000a_AMAZON MARKETPLACE NA PA_x000a_AMZN.COM/BILL_x000a_WA_x000a_MERCHANDISE"/>
    <s v="AMAZON MARKETPLACE NAMZN.COM/BILL       WA"/>
    <s v="410 TERRY AVE N"/>
    <s v="SEATTLE_x000a_WA"/>
    <n v="98109"/>
    <s v="UNITED STATES"/>
    <s v="'320252880748328905'"/>
    <s v="Merchandise &amp; Supplies-Internet Purchase"/>
    <s v="AMEXPLATINUM"/>
    <x v="3"/>
  </r>
  <r>
    <d v="2025-10-14T00:00:00"/>
    <s v="FOUNDER INSTITUTE   PALO ALTO           CA"/>
    <n v="199"/>
    <s v="CH_3SIM7RK6 +17077266310_x000a_FOUNDER INSTITUTE_x000a_PALO ALTO_x000a_CA_x000a_+17077266310"/>
    <s v="FOUNDER INSTITUTE   PALO ALTO           CA"/>
    <s v="265 CAMBRIDGE AVE"/>
    <s v="PALO ALTO_x000a_CA"/>
    <n v="94306"/>
    <s v="UNITED STATES"/>
    <s v="'320252880755794215'"/>
    <s v="Other-Miscellaneous"/>
    <s v="DELTARESERVE"/>
    <x v="1"/>
  </r>
  <r>
    <d v="2025-10-14T00:00:00"/>
    <s v="AT&amp;T"/>
    <n v="109.47"/>
    <s v="40878986    800-331-0500_x000a_AT&amp;T_x000a_800-288-2020_x000a_TX_x000a_Description : TELECOMMUNICATIONS Price : 0.00_x000a_800-331-0500"/>
    <s v="AT&amp;T                800-288-2020        TX"/>
    <s v="208 SOUTH AKARD ST_x000a_FL 10"/>
    <s v="DALLAS_x000a_TX"/>
    <s v="75202-4208"/>
    <s v="UNITED STATES"/>
    <s v="'320252880756013817'"/>
    <s v="Communications-Mobile Telecom"/>
    <s v="DELTARESERVE"/>
    <x v="5"/>
  </r>
  <r>
    <d v="2025-10-14T00:00:00"/>
    <s v="IDEA BROWSER        AVENTURA            FL"/>
    <n v="473.81"/>
    <s v="CH_3SILTXEK +14158890787_x000a_IDEA BROWSER_x000a_AVENTURA_x000a_FL_x000a_+14158890787"/>
    <s v="IDEA BROWSER        AVENTURA            FL"/>
    <s v="4000 IS BLVD_x000a_901"/>
    <s v="AVENTURA_x000a_FL"/>
    <n v="33160"/>
    <s v="UNITED STATES"/>
    <s v="'320252880757011722'"/>
    <s v="Other-Miscellaneous"/>
    <s v="DELTARESERVE"/>
    <x v="1"/>
  </r>
  <r>
    <d v="2025-10-14T00:00:00"/>
    <s v="VENMO *PETER D'ALESS8558124430          NY"/>
    <n v="126.9"/>
    <s v="10192845436 8558124430_x000a_VENMO *PETER D'ALESSANDR_x000a_8558124430_x000a_NY_x000a_&quot;Description : BUSINESS SERVICES, Price : 0.00&quot;_x000a_8558124430"/>
    <s v="VENMO *PETER D'ALESS8558124430          NY"/>
    <s v="2211 NORTH FIRST ST"/>
    <s v="SAN JOSE_x000a_CA"/>
    <n v="95131"/>
    <s v="UNITED STATES"/>
    <s v="'320252880760792916'"/>
    <s v="Business Services-Internet Services"/>
    <s v="AMEXPLATINUM"/>
    <x v="3"/>
  </r>
  <r>
    <d v="2025-10-15T00:00:00"/>
    <s v="GRUBHUB*19CLEVELAND NEW YORK            NY"/>
    <n v="103.54"/>
    <s v="GZB9Q7B5    8775851085_x000a_GRUBHUB*19CLEVELAND_x000a_NEW YORK_x000a_NY_x000a_8775851085"/>
    <s v="GRUBHUB*19CLEVELAND NEW YORK            NY"/>
    <s v="SUITE 2100_x000a_111 W WASHINGTON"/>
    <s v="CHICAGO_x000a_IL"/>
    <n v="60602"/>
    <s v="UNITED STATES"/>
    <s v="'320252880741027235'"/>
    <s v="Restaurant-Restaurant"/>
    <s v="AMEXPLATINUM"/>
    <x v="3"/>
  </r>
  <r>
    <d v="2025-10-15T00:00:00"/>
    <s v="APPLE.COM/BILL      INTERNET CHARGE     CA"/>
    <n v="7.48"/>
    <s v="MTK855VXBT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880741944962'"/>
    <s v="Merchandise &amp; Supplies-Internet Purchase"/>
    <s v="AMEXPLATINUM"/>
    <x v="3"/>
  </r>
  <r>
    <d v="2025-10-15T00:00:00"/>
    <s v="USPS PO BOXES ONLINE800-344-7779        DC"/>
    <n v="239"/>
    <s v="129525779898007826724_x000a_USPS PO BOXES ONLINE 660247000_x000a_800-344-7779_x000a_DC_x000a_8007826724"/>
    <s v="USPS PO BOXES ONLINE800-344-7779        DC"/>
    <s v="475 LENFANT PLZ SOUTH WEST RM 5540"/>
    <s v="WASHINGTON_x000a_DC"/>
    <n v="20260"/>
    <s v="UNITED STATES"/>
    <s v="'320252880762960371'"/>
    <s v="Business Services-Mailing &amp; Shipping"/>
    <s v="AMEXPLATINUM"/>
    <x v="19"/>
  </r>
  <r>
    <d v="2025-10-15T00:00:00"/>
    <s v="TABULAR EDITOR APS  NORDHAVN            DK"/>
    <n v="10"/>
    <s v="CH_3SIDYZAV +4535153137_x000a_TABULAR EDITOR APS_x000a_NORDHAVN_x000a_DK_x000a_+4535153137"/>
    <s v="TABULAR EDITOR APS  NORDHAVN            DK"/>
    <s v="SUNDKAJ 125_x000a_NORDHAVN"/>
    <m/>
    <n v="2150"/>
    <s v="DENMARK"/>
    <s v="'320252890777574526'"/>
    <s v="Merchandise &amp; Supplies-Computer Supplies"/>
    <s v="DELTARESERVE"/>
    <x v="1"/>
  </r>
  <r>
    <d v="2025-10-15T00:00:00"/>
    <s v="AMAZON MARKEPLACE NA PA"/>
    <n v="46.82"/>
    <s v="317HH1BL0Z7 MERCHANDISE_x000a_AMAZON MARKETPLACE NA PA_x000a_AMZN.COM/BILL_x000a_WA_x000a_MERCHANDISE"/>
    <s v="AMAZON MARKETPLACE NAMZN.COM/BILL       WA"/>
    <s v="410 TERRY AVE N"/>
    <s v="SEATTLE_x000a_WA"/>
    <n v="98109"/>
    <s v="UNITED STATES"/>
    <s v="'320252890778648478'"/>
    <s v="Merchandise &amp; Supplies-Internet Purchase"/>
    <s v="AMEXPLATINUM"/>
    <x v="3"/>
  </r>
  <r>
    <d v="2025-10-15T00:00:00"/>
    <s v="ERACTOLL 9FDL7T     877-860-1258        NY"/>
    <n v="9.15"/>
    <s v="T211802428  877-860-1258_x000a_ERACTOLL 9FDL7T_x000a_877-860-1258_x000a_NY_x000a_Description : ERACTOLL 9FDL7T Price : 0.00_x000a_877-860-1258"/>
    <s v="ERACTOLL 9FDL7T     877-860-1258        NY"/>
    <s v="-"/>
    <e v="#NAME?"/>
    <n v="11577"/>
    <s v="UNITED STATES"/>
    <s v="'320252890781298252'"/>
    <s v="Transportation-Tolls &amp; Fees"/>
    <s v="DELTARESERVE"/>
    <x v="9"/>
  </r>
  <r>
    <d v="2025-10-16T00:00:00"/>
    <s v="SPLICE.COM          NEW YORK            NY"/>
    <n v="27.99"/>
    <s v="CH_3SIUGYCF 3235775423_x000a_SPLICE.COM_x000a_NEW YORK_x000a_NY_x000a_3235775423"/>
    <s v="SPLICE.COM          NEW YORK            NY"/>
    <s v="817 BROADWAY FLOOR 4"/>
    <s v="NEW YORK_x000a_NY"/>
    <n v="10003"/>
    <s v="UNITED STATES"/>
    <s v="'320252890772331540'"/>
    <s v="Merchandise &amp; Supplies-Computer Supplies"/>
    <s v="AMEXPLATINUM"/>
    <x v="3"/>
  </r>
  <r>
    <d v="2025-10-16T00:00:00"/>
    <s v="LE CAFE COFFEE      New York            NY"/>
    <n v="6.99"/>
    <s v="pICwC0f0WK8 squareup.com/receipts_x000a_LE CAFE COFFEE_x000a_New York_x000a_NY_x000a_squareup.com/receipts"/>
    <s v="LE CAFE COFFEE      New York            NY"/>
    <s v="7 EAST 14TH ST FRNT 7"/>
    <s v="NEW YORK_x000a_NY"/>
    <n v="10003"/>
    <s v="UNITED STATES"/>
    <s v="'320252890773577902'"/>
    <s v="Restaurant-Bar &amp; CafÃ©"/>
    <s v="AMEXPLATINUM"/>
    <x v="3"/>
  </r>
  <r>
    <d v="2025-10-16T00:00:00"/>
    <s v="UBER EATS           help.uber.com       CA"/>
    <n v="87.98"/>
    <s v="RC2QFQGG   UEC3UIAC         94103_x000a_UBER EATS_x000a_help.uber.com_x000a_CA_x000a_UEC3UIAC         94103"/>
    <s v="UBER EATS           help.uber.com       CA"/>
    <s v="1455 MARKET ST_x000a_-"/>
    <s v="SAN FRANCISCO_x000a_CA"/>
    <n v="94103"/>
    <s v="UNITED STATES"/>
    <s v="'320252890774927399'"/>
    <s v="Restaurant-Restaurant"/>
    <s v="AMEXPLATINUM"/>
    <x v="3"/>
  </r>
  <r>
    <d v="2025-10-16T00:00:00"/>
    <s v="NANOGROUP           NEWHAVEN            E"/>
    <n v="1500"/>
    <s v="CH_3SIIWCAC +4407534745202_x000a_NANOGROUP_x000a_NEWHAVEN_x000a_E_x000a_+4407534745202"/>
    <s v="NANOGROUP           NEWHAVEN            E"/>
    <s v="51 SOUTH ROAD"/>
    <s v="NEWHAVEN_x000a_ENG"/>
    <s v="BN9"/>
    <s v="UNITED KINGDOM OF GB AND NI"/>
    <s v="'320252890785579709'"/>
    <s v="Merchandise &amp; Supplies-Internet Purchase"/>
    <s v="DELTARESERVE"/>
    <x v="0"/>
  </r>
  <r>
    <d v="2025-10-16T00:00:00"/>
    <s v="WHOLEFDS USQ 10162 0NEW YORK            NY"/>
    <n v="32.07"/>
    <s v="0ULLSDTGXUQ 2126735388_x000a_WHOLEFDS USQ 10162 000010162_x000a_NEW YORK_x000a_NY_x000a_Description : GROCERY STORES Price : 0.3207_x000a_2126735388"/>
    <s v="WHOLEFDS USQ 10162 0NEW YORK            NY"/>
    <s v="250 7TH AVE STE 511"/>
    <s v="NEW YORK_x000a_NY"/>
    <n v="10001"/>
    <s v="UNITED STATES"/>
    <s v="'320252900810298702'"/>
    <s v="Merchandise &amp; Supplies-Groceries"/>
    <s v="AMEXPLATINUM"/>
    <x v="3"/>
  </r>
  <r>
    <d v="2025-10-16T00:00:00"/>
    <s v="APPLE.COM/BILL      INTERNET CHARGE     CA"/>
    <n v="28.82"/>
    <s v="MTK84YY18MA RECORD STORE_x000a_APPLE.COM/BILL_x000a_INTERNET CHARGE_x000a_CA_x000a_RECORD STORE"/>
    <s v="APPLE.COM/BILL      INTERNET CHARGE     CA"/>
    <s v="MS-3RA_x000a_12545 RIATA VISTA CIRCLE"/>
    <s v="AUSTIN_x000a_TX"/>
    <s v="78727-5205"/>
    <s v="UNITED STATES"/>
    <s v="'320252900817561351'"/>
    <s v="Merchandise &amp; Supplies-Internet Purchase"/>
    <s v="AMEXPLATINUM"/>
    <x v="3"/>
  </r>
  <r>
    <d v="2025-10-16T00:00:00"/>
    <s v="DIRTY FRENCH        NEW YORK            NY"/>
    <n v="350"/>
    <s v="0000255449       10002_x000a_DIRTY FRENCH_x000a_NEW YORK_x000a_NY_x000a_0000255449       10002"/>
    <s v="DIRTY FRENCH        NEW YORK            NY"/>
    <s v="180 LUDLOW ST"/>
    <s v="NEW YORK_x000a_NY"/>
    <n v="10002"/>
    <s v="UNITED STATES"/>
    <s v="'320252910846731782'"/>
    <s v="Restaurant-Restaurant"/>
    <s v="AMEXPLATINUM"/>
    <x v="11"/>
  </r>
  <r>
    <d v="2025-10-17T00:00:00"/>
    <s v="ONLINE PAYMENT - THANK YOU"/>
    <n v="-2500"/>
    <s v="ONLINE PAYMENT - THANK YOU"/>
    <s v="ONLINE PAYMENT - THANK YOU"/>
    <m/>
    <m/>
    <m/>
    <m/>
    <s v="'320252900795935816'"/>
    <m/>
    <s v="DELTARESERVE"/>
    <x v="0"/>
  </r>
  <r>
    <d v="2025-10-17T00:00:00"/>
    <s v="PRIME VIDEO *NU0SI84888-802-3080        WA"/>
    <n v="5.99"/>
    <s v="A5TIG1SJOI1 DIGITAL_x000a_PRIME VIDEO *NU0SI84D0_x000a_888-802-3080_x000a_WA_x000a_DIGITAL"/>
    <s v="PRIME VIDEO *NU0SI84888-802-3080        WA"/>
    <s v="1512 2ND AVE"/>
    <s v="SEATTLE_x000a_WA"/>
    <s v="98101-1508"/>
    <s v="UNITED STATES"/>
    <s v="'320252900797526572'"/>
    <s v="Merchandise &amp; Supplies-Internet Purchase"/>
    <s v="DELTARESERVE"/>
    <x v="3"/>
  </r>
  <r>
    <d v="2025-10-17T00:00:00"/>
    <s v="VAGARO_*LOUNGE STUDINEW YORK            NY"/>
    <n v="127.5"/>
    <s v="######GamWD MISC PERSONAL SERVICE_x000a_VAGARO_*LOUNGE STUDIOS_x000a_NEW YORK_x000a_NY_x000a_MISC PERSONAL SERVICE"/>
    <s v="VAGARO_*LOUNGE STUDINEW YORK            NY"/>
    <s v="315 WEST 39TH STREET MANHATTAN"/>
    <s v="NEW YORK_x000a_NY"/>
    <n v="10018"/>
    <s v="UNITED STATES"/>
    <s v="'320252900798236588'"/>
    <s v="Entertainment-Associations"/>
    <s v="AMEXPLATINUM"/>
    <x v="3"/>
  </r>
  <r>
    <d v="2025-10-17T00:00:00"/>
    <s v="UBER"/>
    <n v="34.57"/>
    <s v="9SWPW2D4   EMYKPTUE         10002_x000a_Uber Trip_x000a_help.uber.com_x000a_CA_x000a_EMYKPTUE         10002"/>
    <s v="Uber Trip           help.uber.com       CA"/>
    <s v="1455 MARKET ST_x000a_4TH FLOOR"/>
    <s v="SAN FRANCISCO_x000a_CA"/>
    <n v="94103"/>
    <s v="UNITED STATES"/>
    <s v="'320252900804363451'"/>
    <s v="Transportation-Taxis &amp; Coach"/>
    <s v="AMEXPLATINUM"/>
    <x v="2"/>
  </r>
  <r>
    <d v="2025-10-17T00:00:00"/>
    <s v="TST* MARYS 00154055 NEW YORK            NY"/>
    <n v="21.14"/>
    <s v="21105175290 BAR/NIGHTCLUB_x000a_TST* MARYS 00154055_x000a_NEW YORK_x000a_NY_x000a_BAR/NIGHTCLUB"/>
    <s v="TST* MARYS 00154055 NEW YORK            NY"/>
    <s v="146 ORCH ST"/>
    <s v="NEW YORK_x000a_NY"/>
    <n v="10002"/>
    <s v="UNITED STATES"/>
    <s v="'320252900808754345'"/>
    <s v="Restaurant-Bar &amp; CafÃ©"/>
    <s v="AMEXPLATINUM"/>
    <x v="3"/>
  </r>
  <r>
    <d v="2025-10-17T00:00:00"/>
    <s v="UBER EATS           help.uber.com       CA"/>
    <n v="69.58"/>
    <s v="D3TGR594   6LSGETFS         94103_x000a_UBER EATS_x000a_help.uber.com_x000a_CA_x000a_6LSGETFS         94103"/>
    <s v="UBER EATS           help.uber.com       CA"/>
    <s v="1455 MARKET ST_x000a_-"/>
    <s v="SAN FRANCISCO_x000a_CA"/>
    <n v="94103"/>
    <s v="UNITED STATES"/>
    <s v="'320252910836508478'"/>
    <s v="Restaurant-Restaurant"/>
    <s v="AMEXPLATINUM"/>
    <x v="3"/>
  </r>
  <r>
    <d v="2025-10-17T00:00:00"/>
    <s v="LGA C COTTO MARKET 0EAST ELMHURST       NY"/>
    <n v="7.25"/>
    <s v="99999995291 8665083558_x000a_LGA C COTTO MARKET 000000008_x000a_EAST ELMHURST_x000a_NY_x000a_Description : TIP Price :0.00_x000a_8665083558"/>
    <s v="LGA C COTTO MARKET 0EAST ELMHURST       NY"/>
    <s v="94 00 GRAND CENTRAL PKWY"/>
    <s v="EAST ELMHURST_x000a_NY"/>
    <n v="11369"/>
    <s v="UNITED STATES"/>
    <s v="'320252910839741876'"/>
    <s v="Merchandise &amp; Supplies-Groceries"/>
    <s v="AMEXPLATINUM"/>
    <x v="3"/>
  </r>
  <r>
    <d v="2025-10-17T00:00:00"/>
    <s v="LGA BUBBYS DINER - EEAST ELMHURST       NY"/>
    <n v="66.290000000000006"/>
    <s v="99999995291 8665083558_x000a_LGA BUBBYS DINER - ECOM 000000059_x000a_EAST ELMHURST_x000a_NY_x000a_Description : RETAIL Price : 0.00_x000a_8665083558"/>
    <s v="LGA BUBBYS DINER - EEAST ELMHURST       NY"/>
    <s v="94 00 GRAND CENTRAL PKWY"/>
    <s v="EAST ELMHURST_x000a_NY"/>
    <n v="11369"/>
    <s v="UNITED STATES"/>
    <s v="'320252910840883305'"/>
    <s v="Restaurant-Restaurant"/>
    <s v="AMEXPLATINUM"/>
    <x v="3"/>
  </r>
  <r>
    <d v="2025-10-17T00:00:00"/>
    <s v="LGA C CIBO EXPRESS CEAST ELMHURST       NY"/>
    <n v="34.5"/>
    <s v="99999995291 8665083558_x000a_LGA C CIBO EXPRESS CENTER 000000009_x000a_EAST ELMHURST_x000a_NY_x000a_Description : TIP Price :0.00_x000a_8665083558"/>
    <s v="LGA C CIBO EXPRESS CEAST ELMHURST       NY"/>
    <s v="94 00 GRAND CENTRAL PKWY"/>
    <s v="EAST ELMHURST_x000a_NY"/>
    <n v="11369"/>
    <s v="UNITED STATES"/>
    <s v="'320252910840945238'"/>
    <s v="Merchandise &amp; Supplies-Groceries"/>
    <s v="AMEXPLATINUM"/>
    <x v="3"/>
  </r>
  <r>
    <d v="2025-10-17T00:00:00"/>
    <s v="ERACTOLL 9L9D62     877-860-1258        NY"/>
    <n v="9.15"/>
    <s v="T212065440  877-860-1258_x000a_ERACTOLL 9L9D62_x000a_877-860-1258_x000a_NY_x000a_Description : ERACTOLL 9L9D62 Price : 0.00_x000a_877-860-1258"/>
    <s v="ERACTOLL 9L9D62     877-860-1258        NY"/>
    <s v="-"/>
    <e v="#NAME?"/>
    <n v="11577"/>
    <s v="UNITED STATES"/>
    <s v="'320252910841999576'"/>
    <s v="Transportation-Tolls &amp; Fees"/>
    <s v="DELTARESERVE"/>
    <x v="9"/>
  </r>
  <r>
    <d v="2025-10-17T00:00:00"/>
    <s v="DUANE READE #14468 0NEW YORK            NY"/>
    <n v="4.2699999999999996"/>
    <s v="99999995291 8002892273_x000a_DUANE READE #14468 000014468_x000a_NEW YORK_x000a_NY_x000a_Description : PHARMACIES Price : 0.0427_x000a_8002892273"/>
    <s v="DUANE READE #14468 0NEW YORK            NY"/>
    <s v="1 UN SQ SOUTH"/>
    <s v="NEW YORK_x000a_NY"/>
    <n v="10003"/>
    <s v="UNITED STATES"/>
    <s v="'320252910842274395'"/>
    <s v="Merchandise &amp; Supplies-Pharmacies"/>
    <s v="AMEXPLATINUM"/>
    <x v="3"/>
  </r>
  <r>
    <d v="2025-10-17T00:00:00"/>
    <s v="CVS PHARMACY        NEW YORK            NY"/>
    <n v="11.75"/>
    <s v="10186271   8007467287_x000a_PHARMACIES_x000a_CVS PHARMACY_x000a_NEW YORK_x000a_NY_x000a_PHARMACIES_x000a_8007467287"/>
    <s v="CVS PHARMACY        NEW YORK            NY"/>
    <s v="158 BLEECKER ST"/>
    <s v="NEW YORK_x000a_NY"/>
    <n v="10012"/>
    <s v="UNITED STATES"/>
    <s v="'320252910842332921'"/>
    <s v="Merchandise &amp; Supplies-Pharmacies"/>
    <s v="AMEXPLATINUM"/>
    <x v="3"/>
  </r>
  <r>
    <d v="2025-10-17T00:00:00"/>
    <s v="D J*WSJ             800-568-7625        NJ"/>
    <n v="41.72"/>
    <s v="P-042908443 SUBSRIPTION_x000a_D J*WSJ_x000a_800-568-7625_x000a_NJ_x000a_SUBSRIPTION"/>
    <s v="D J*WSJ             800-568-7625        NJ"/>
    <s v="4300 RTE 1 NORTH"/>
    <s v="SOUTH BRUNSWICK_x000a_NJ"/>
    <s v="08852"/>
    <s v="UNITED STATES"/>
    <s v="'320252910845409315'"/>
    <s v="Merchandise &amp; Supplies-Mail Order"/>
    <s v="AMEXPLATINUM"/>
    <x v="8"/>
  </r>
  <r>
    <d v="2025-10-17T00:00:00"/>
    <s v="HASHI MARKET        NEW YORK            NY"/>
    <n v="13.04"/>
    <s v="00051252    646-558-9666_x000a_HASHI MARKET_x000a_NEW YORK_x000a_NY_x000a_Description : GROCERIES/SUNDRIES Price : 0.00_x000a_646-558-9666"/>
    <s v="HASHI MARKET        NEW YORK            NY"/>
    <s v="93 UNIVERSITY PLACE"/>
    <s v="NEW YORK_x000a_NY"/>
    <n v="10003"/>
    <s v="UNITED STATES"/>
    <s v="'320252910847237855'"/>
    <s v="Merchandise &amp; Supplies-Groceries"/>
    <s v="AMEXPLATINUM"/>
    <x v="3"/>
  </r>
  <r>
    <d v="2025-10-17T00:00:00"/>
    <s v="KIMBERLY MEEHAN, NP NEW YORK            NY"/>
    <n v="200"/>
    <s v="1390174     KIMBERLY@KIMBERLYMEEH_x000a_KIMBERLY@KIMBERLYMEEHANNP_x000a_KIMBERLY MEEHAN, NP IN PS KIMBERLY MEE_x000a_NEW YORK_x000a_NY_x000a_Description : AD6097A2407044EC90D Price : 0.00_x000a_KIMBERLY@KIMBERLYMEEHANNP"/>
    <s v="KIMBERLY MEEHAN, NP NEW YORK            NY"/>
    <s v="18 EAST 41ST ST"/>
    <s v="NEW YORK_x000a_NY"/>
    <n v="10017"/>
    <s v="UNITED STATES"/>
    <s v="'320252920879248815'"/>
    <s v="Business Services-Health Care Services"/>
    <s v="AMEXPLATINUM"/>
    <x v="3"/>
  </r>
  <r>
    <d v="2025-10-18T00:00:00"/>
    <s v="UBER"/>
    <n v="125.51"/>
    <s v="PN7Q4VJQ   YSRIGGWU         11371_x000a_Uber Trip_x000a_help.uber.com_x000a_CA_x000a_YSRIGGWU         11371"/>
    <s v="Uber Trip           help.uber.com       CA"/>
    <s v="1455 MARKET ST_x000a_4TH FLOOR"/>
    <s v="SAN FRANCISCO_x000a_CA"/>
    <n v="94103"/>
    <s v="UNITED STATES"/>
    <s v="'320252910835305100'"/>
    <s v="Transportation-Taxis &amp; Coach"/>
    <s v="AMEXPLATINUM"/>
    <x v="2"/>
  </r>
  <r>
    <d v="2025-10-19T00:00:00"/>
    <s v="STEWARTS ICE CREAM  SARATOGA SPRINGS    NY"/>
    <n v="65.42"/>
    <s v="00251600002 5185811201_x000a_STEWARTS ICE CREAM_x000a_SARATOGA SPRINGS_x000a_NY_x000a_Description : AUTOMATED FUEL Price : 0.6542_x000a_5185811201"/>
    <s v="STEWARTS ICE CREAM  SARATOGA SPRINGS    NY"/>
    <s v="402 LK AVE"/>
    <s v="SARATOGA SPRINGS_x000a_NY"/>
    <n v="12866"/>
    <s v="UNITED STATES"/>
    <s v="'320252920857020974'"/>
    <s v="Transportation-Fuel"/>
    <s v="DELTARESERVE"/>
    <x v="7"/>
  </r>
  <r>
    <d v="2025-10-19T00:00:00"/>
    <s v="PAYPAL *MRLOUSPAL   4029357733          NY"/>
    <n v="86"/>
    <s v="10193225540 4029357733_x000a_PAYPAL *MRLOUSPAL_x000a_4029357733_x000a_NY_x000a_Description : PROFESSIONAL SERVIC Price : 0.00_x000a_4029357733"/>
    <s v="PAYPAL *MRLOUSPAL   4029357733          NY"/>
    <s v="109 MIDDLE AVE"/>
    <s v="NY"/>
    <n v="128"/>
    <s v="UNITED STATES"/>
    <s v="'320252930905172692'"/>
    <s v="Business Services-Professional Services"/>
    <s v="DELTARESERVE"/>
    <x v="3"/>
  </r>
  <r>
    <d v="2025-10-19T00:00:00"/>
    <s v="TARGET              TULSA               OK"/>
    <n v="71.61"/>
    <s v="001745933   612-3044357_x000a_TARGET_x000a_TULSA_x000a_OK_x000a_Description : SEE INVOICE Price : 0.7161_x000a_612-3044357"/>
    <s v="TARGET              TULSA               OK"/>
    <s v="1701 SOUTH YALE AVE"/>
    <s v="TULSA_x000a_OK"/>
    <n v="74112"/>
    <s v="UNITED STATES"/>
    <s v="'320252930906057400'"/>
    <s v="Merchandise &amp; Supplies-Wholesale Stores"/>
    <s v="AMEXPLATINUM"/>
    <x v="3"/>
  </r>
  <r>
    <d v="2025-10-19T00:00:00"/>
    <s v="AMAZON MARKEPLACE NA PA"/>
    <n v="5.39"/>
    <s v="4KDYOB5LB4Q MERCHANDISE_x000a_AMAZON MARKETPLACE NA PA_x000a_AMZN.COM/BILL_x000a_WA_x000a_MERCHANDISE"/>
    <s v="AMAZON MARKETPLACE NAMZN.COM/BILL       WA"/>
    <s v="410 TERRY AVE N"/>
    <s v="SEATTLE_x000a_WA"/>
    <n v="98109"/>
    <s v="UNITED STATES"/>
    <s v="'320252940926609558'"/>
    <s v="Merchandise &amp; Supplies-Internet Purchase"/>
    <s v="AMEXPLATINUM"/>
    <x v="3"/>
  </r>
  <r>
    <d v="2025-10-20T00:00:00"/>
    <s v="NATIVELY            AUSTIN              TX"/>
    <n v="49"/>
    <s v="CH_3SKNAVBX +13072191144_x000a_NATIVELY_x000a_AUSTIN_x000a_TX_x000a_+13072191144"/>
    <s v="NATIVELY            AUSTIN              TX"/>
    <s v="9900 SPECTRUM DR"/>
    <s v="AUSTIN_x000a_TX"/>
    <n v="78717"/>
    <s v="UNITED STATES"/>
    <s v="'320252930885232863'"/>
    <s v="Business Services-Employment Agencies"/>
    <s v="AMEXPLATINUM"/>
    <x v="3"/>
  </r>
  <r>
    <d v="2025-10-20T00:00:00"/>
    <s v="SPLICE.COM          NEW YORK            NY"/>
    <n v="13.9"/>
    <s v="CH_3SKKGLCF 3235775423_x000a_SPLICE.COM_x000a_NEW YORK_x000a_NY_x000a_3235775423"/>
    <s v="SPLICE.COM          NEW YORK            NY"/>
    <s v="817 BROADWAY FLOOR 4"/>
    <s v="NEW YORK_x000a_NY"/>
    <n v="10003"/>
    <s v="UNITED STATES"/>
    <s v="'320252930891364838'"/>
    <s v="Merchandise &amp; Supplies-Computer Supplies"/>
    <s v="AMEXPLATINUM"/>
    <x v="3"/>
  </r>
  <r>
    <d v="2025-10-20T00:00:00"/>
    <s v="EMBASSY SUITES      SARATOGA SPRINGS    NY"/>
    <n v="808.61"/>
    <s v="87200766    518-290-9090_x000a_LODGING_x000a_EMBASSY SUITES_x000a_SARATOGA SPRINGS_x000a_NY"/>
    <s v="EMBASSY SUITES      SARATOGA SPRINGS    NY"/>
    <s v="86 CONGRESS ST"/>
    <s v="SARATOGA SPRINGS_x000a_NY"/>
    <s v="12866-4102"/>
    <s v="UNITED STATES"/>
    <s v="'320252930895065300'"/>
    <s v="Travel-Lodging"/>
    <s v="DELTARESERVE"/>
    <x v="17"/>
  </r>
  <r>
    <d v="2025-10-20T00:00:00"/>
    <s v="AMAZON MARKEPLACE NA PA"/>
    <n v="48.96"/>
    <s v="6QIQIHN768R MERCHANDISE_x000a_AMAZON MARKETPLACE NA PA_x000a_AMZN.COM/BILL_x000a_WA_x000a_MERCHANDISE"/>
    <s v="AMAZON MARKETPLACE NAMZN.COM/BILL       WA"/>
    <s v="410 TERRY AVE N"/>
    <s v="SEATTLE_x000a_WA"/>
    <n v="98109"/>
    <s v="UNITED STATES"/>
    <s v="'320252940922046717'"/>
    <s v="Merchandise &amp; Supplies-Internet Purchase"/>
    <s v="AMEXPLATINUM"/>
    <x v="3"/>
  </r>
  <r>
    <d v="2025-10-20T00:00:00"/>
    <s v="FRANCESCA'S COLLECTITULSA               OK"/>
    <n v="99.83"/>
    <s v="6009-600907 WOMEN'S CLOTHING_x000a_FRANCESCA'S COLLECTIONS_x000a_TULSA_x000a_OK_x000a_WOMEN'S CLOTHING"/>
    <s v="FRANCESCA'S COLLECTITULSA               OK"/>
    <s v="7021 SOUTH MEMORIAL DR 184A"/>
    <s v="TULSA_x000a_OK"/>
    <n v="74133"/>
    <s v="UNITED STATES"/>
    <s v="'320252940925637364'"/>
    <s v="Merchandise &amp; Supplies-General Retail"/>
    <s v="AMEXPLATINUM"/>
    <x v="3"/>
  </r>
  <r>
    <d v="2025-10-20T00:00:00"/>
    <s v="ALTAR'D STATE 140 WDTULSA               OK"/>
    <n v="70.540000000000006"/>
    <s v="57700009    800-284-7348_x000a_ALTAR'D STATE 140 WDHL_x000a_TULSA_x000a_OK_x000a_Description : APPAREL/ACCESSORIES Price : 0.00_x000a_800-284-7348"/>
    <s v="ALTAR'D STATE 140 WDTULSA               OK"/>
    <s v="7021 SOUTH MEMORIAL DR 126"/>
    <s v="TULSA_x000a_OK"/>
    <n v="74133"/>
    <s v="UNITED STATES"/>
    <s v="'320252940925676931'"/>
    <s v="Merchandise &amp; Supplies-Clothing Stores"/>
    <s v="AMEXPLATINUM"/>
    <x v="3"/>
  </r>
  <r>
    <d v="2025-10-20T00:00:00"/>
    <s v="VENMO *HEIDI KLING  8558124430          NY"/>
    <n v="2060"/>
    <s v="10193320667 8558124430_x000a_VENMO *HEIDI KLING_x000a_8558124430_x000a_NY_x000a_&quot;Description : BUSINESS SERVICES, Price : 0.00&quot;_x000a_8558124430"/>
    <s v="VENMO *HEIDI KLING  8558124430          NY"/>
    <s v="2211 NORTH FIRST ST"/>
    <s v="SAN JOSE_x000a_CA"/>
    <n v="95131"/>
    <s v="UNITED STATES"/>
    <s v="'320252960988424406'"/>
    <s v="Business Services-Internet Services"/>
    <s v="AMEXPLATINUM"/>
    <x v="3"/>
  </r>
  <r>
    <d v="2025-10-21T00:00:00"/>
    <s v="CANVA* I04676-584226CAMDEN              DE"/>
    <n v="15"/>
    <s v="CH_2SKN9HK8 +17372853388_x000a_CANVA* I04676-58422608_x000a_CAMDEN_x000a_DE_x000a_+17372853388"/>
    <s v="CANVA* I04676-584226CAMDEN              DE"/>
    <s v="2140 SOUTH DUPONT HWY"/>
    <s v="CAMDEN_x000a_DE"/>
    <n v="19934"/>
    <s v="UNITED STATES"/>
    <s v="'320252940913118061'"/>
    <s v="Business Services-Professional Services"/>
    <s v="AMEXPLATINUM"/>
    <x v="1"/>
  </r>
  <r>
    <d v="2025-10-21T00:00:00"/>
    <s v="REPLIT, INC.        FOSTER CITY         CA"/>
    <n v="38.130000000000003"/>
    <s v="CH_3SKF3XJA +16282002281_x000a_REPLIT, INC._x000a_FOSTER CITY_x000a_CA_x000a_+16282002281"/>
    <s v="REPLIT, INC.        FOSTER CITY         CA"/>
    <s v="1001 EAST HILLSDALE BLVD_x000a_SUITE 400W"/>
    <s v="FOSTER CITY_x000a_CA"/>
    <n v="94404"/>
    <s v="UNITED STATES"/>
    <s v="'320252940914561414'"/>
    <s v="Merchandise &amp; Supplies-Computer Supplies"/>
    <s v="AMEXPLATINUM"/>
    <x v="1"/>
  </r>
  <r>
    <d v="2025-10-21T00:00:00"/>
    <s v="UBER"/>
    <n v="25.1"/>
    <s v="KDSMHAP5   YSRIGGWU         11371_x000a_Uber Trip_x000a_help.uber.com_x000a_CA_x000a_YSRIGGWU         11371"/>
    <s v="Uber Trip           help.uber.com       CA"/>
    <s v="1455 MARKET ST_x000a_4TH FLOOR"/>
    <s v="SAN FRANCISCO_x000a_CA"/>
    <n v="94103"/>
    <s v="UNITED STATES"/>
    <s v="'320252940914681544'"/>
    <s v="Transportation-Taxis &amp; Coach"/>
    <s v="AMEXPLATINUM"/>
    <x v="2"/>
  </r>
  <r>
    <d v="2025-10-21T00:00:00"/>
    <s v="REPLIT, INC.        FOSTER CITY         CA"/>
    <n v="26.75"/>
    <s v="CH_3SKLKFJA +16282002281_x000a_REPLIT, INC._x000a_FOSTER CITY_x000a_CA_x000a_+16282002281"/>
    <s v="REPLIT, INC.        FOSTER CITY         CA"/>
    <s v="1001 EAST HILLSDALE BLVD_x000a_SUITE 400W"/>
    <s v="FOSTER CITY_x000a_CA"/>
    <n v="94404"/>
    <s v="UNITED STATES"/>
    <s v="'320252940934366500'"/>
    <s v="Merchandise &amp; Supplies-Computer Supplies"/>
    <s v="AMEXPLATINUM"/>
    <x v="1"/>
  </r>
  <r>
    <d v="2025-10-21T00:00:00"/>
    <s v="LGA CIBO EXPRESS C70EAST ELMHURST       NY"/>
    <n v="7.55"/>
    <s v="99999995295 8665083558_x000a_LGA CIBO EXPRESS C70 000000005_x000a_EAST ELMHURST_x000a_NY_x000a_Description : TIP Price :0.00_x000a_8665083558"/>
    <s v="LGA CIBO EXPRESS C70EAST ELMHURST       NY"/>
    <s v="94 00 GRAND CENTRAL PKWY"/>
    <s v="EAST ELMHURST_x000a_NY"/>
    <n v="11369"/>
    <s v="UNITED STATES"/>
    <s v="'320252950948513294'"/>
    <s v="Merchandise &amp; Supplies-Groceries"/>
    <s v="AMEXPLATINUM"/>
    <x v="3"/>
  </r>
  <r>
    <d v="2025-10-21T00:00:00"/>
    <s v="ENTERPRISE RENT-A-CANEW YORK            NY"/>
    <n v="914.8"/>
    <s v="036334944   212-5332900_x000a_ENTERPRISE RENT-A-CAR_x000a_NEW YORK_x000a_NY"/>
    <s v="ENTERPRISE RENT-A-CANEW YORK            NY"/>
    <s v="221 THOMPSON ST"/>
    <s v="NEW YORK_x000a_NY"/>
    <n v="10012"/>
    <s v="UNITED STATES"/>
    <s v="'320252950957686941'"/>
    <s v="Travel-Vehicle Rental"/>
    <s v="DELTARESERVE"/>
    <x v="9"/>
  </r>
  <r>
    <d v="2025-10-21T00:00:00"/>
    <s v="TULSA AIRPORT       TULSA               OK"/>
    <n v="22.46"/>
    <s v="18         18               74115_x000a_CAGEFREEEGGSWITHTURKEYSAUSSAUSAGE_x000a_TULSA AIRPORT_x000a_TULSA_x000a_OK_x000a_CAGEFREEEGGSWITHTURKEYSAUSSAUSAGE_x000a_18               74115"/>
    <s v="TULSA AIRPORT       TULSA               OK"/>
    <s v="7777 EAST APACHE ST STE A217"/>
    <s v="TULSA_x000a_OK"/>
    <n v="74115"/>
    <s v="UNITED STATES"/>
    <s v="'320252950959796483'"/>
    <s v="Business Services-Other Services"/>
    <s v="AMEXPLATINUM"/>
    <x v="3"/>
  </r>
  <r>
    <d v="2025-10-22T00:00:00"/>
    <s v="REPLIT, INC.        FOSTER CITY         CA"/>
    <n v="42.8"/>
    <s v="CH_3SL2QDJA +16282002281_x000a_REPLIT, INC._x000a_FOSTER CITY_x000a_CA_x000a_+16282002281"/>
    <s v="REPLIT, INC.        FOSTER CITY         CA"/>
    <s v="1001 EAST HILLSDALE BLVD_x000a_SUITE 400W"/>
    <s v="FOSTER CITY_x000a_CA"/>
    <n v="94404"/>
    <s v="UNITED STATES"/>
    <s v="'320252950940697457'"/>
    <s v="Merchandise &amp; Supplies-Computer Supplies"/>
    <s v="AMEXPLATINUM"/>
    <x v="1"/>
  </r>
  <r>
    <d v="2025-10-22T00:00:00"/>
    <s v="OPENAI *CHATGPT SUBSSAN FRANCISCO       CA"/>
    <n v="21.4"/>
    <s v="CH_3SL37PC6 +14158799686_x000a_OPENAI *CHATGPT SUBSCR_x000a_SAN FRANCISCO_x000a_CA_x000a_+14158799686"/>
    <s v="OPENAI *CHATGPT SUBSSAN FRANCISCO       CA"/>
    <s v="3180 18TH ST_x000a_STE 100"/>
    <s v="SAN FRANCISCO_x000a_CA"/>
    <n v="94110"/>
    <s v="UNITED STATES"/>
    <s v="'320252950944651462'"/>
    <s v="Merchandise &amp; Supplies-Computer Supplies"/>
    <s v="DELTARESERVE"/>
    <x v="1"/>
  </r>
  <r>
    <d v="2025-10-22T00:00:00"/>
    <s v="UBER"/>
    <n v="104.06"/>
    <s v="RC0KVR2Q   2GVVYHSJ         10012_x000a_Uber Trip_x000a_help.uber.com_x000a_CA_x000a_2GVVYHSJ         10012"/>
    <s v="Uber Trip           help.uber.com       CA"/>
    <s v="1455 MARKET ST_x000a_4TH FLOOR"/>
    <s v="SAN FRANCISCO_x000a_CA"/>
    <n v="94103"/>
    <s v="UNITED STATES"/>
    <s v="'320252950945784809'"/>
    <s v="Transportation-Taxis &amp; Coach"/>
    <s v="AMEXPLATINUM"/>
    <x v="2"/>
  </r>
  <r>
    <d v="2025-10-22T00:00:00"/>
    <s v="UBER EATS           help.uber.com       CA"/>
    <n v="153.53"/>
    <s v="KA7ZMQ31   GFDCFP7C         94103_x000a_UBER EATS_x000a_help.uber.com_x000a_CA_x000a_GFDCFP7C         94103"/>
    <s v="UBER EATS           help.uber.com       CA"/>
    <s v="1455 MARKET ST_x000a_-"/>
    <s v="SAN FRANCISCO_x000a_CA"/>
    <n v="94103"/>
    <s v="UNITED STATES"/>
    <s v="'320252950947058533'"/>
    <s v="Restaurant-Restaurant"/>
    <s v="AMEXPLATINUM"/>
    <x v="3"/>
  </r>
  <r>
    <d v="2025-10-22T00:00:00"/>
    <s v="DUANE READE #14468 0NEW YORK            NY"/>
    <n v="18.23"/>
    <s v="99999995296 8002892273_x000a_DUANE READE #14468 000014468_x000a_NEW YORK_x000a_NY_x000a_Description : PHARMACIES Price : 0.1823_x000a_8002892273"/>
    <s v="DUANE READE #14468 0NEW YORK            NY"/>
    <s v="1 UN SQ SOUTH"/>
    <s v="NEW YORK_x000a_NY"/>
    <n v="10003"/>
    <s v="UNITED STATES"/>
    <s v="'320252960979763555'"/>
    <s v="Merchandise &amp; Supplies-Pharmacies"/>
    <s v="AMEXPLATINUM"/>
    <x v="3"/>
  </r>
  <r>
    <d v="2025-10-22T00:00:00"/>
    <s v="ERACTOLL 9L9D62     877-860-1258        NY"/>
    <n v="9.15"/>
    <s v="T212569511  877-860-1258_x000a_ERACTOLL 9L9D62_x000a_877-860-1258_x000a_NY_x000a_Description : ERACTOLL 9L9D62 Price : 0.00_x000a_877-860-1258"/>
    <s v="ERACTOLL 9L9D62     877-860-1258        NY"/>
    <s v="-"/>
    <e v="#NAME?"/>
    <n v="11577"/>
    <s v="UNITED STATES"/>
    <s v="'320252960980482192'"/>
    <s v="Transportation-Tolls &amp; Fees"/>
    <s v="DELTARESERVE"/>
    <x v="9"/>
  </r>
  <r>
    <d v="2025-10-22T00:00:00"/>
    <s v="WHOLEFDS USQ 10162 0NEW YORK            NY"/>
    <n v="95.47"/>
    <s v="01K65F8WKZE 2126735388_x000a_WHOLEFDS USQ 10162 000010162_x000a_NEW YORK_x000a_NY_x000a_Description : GROCERY STORES Price : 0.9547_x000a_2126735388"/>
    <s v="WHOLEFDS USQ 10162 0NEW YORK            NY"/>
    <s v="250 7TH AVE STE 511"/>
    <s v="NEW YORK_x000a_NY"/>
    <n v="10001"/>
    <s v="UNITED STATES"/>
    <s v="'320252960981084975'"/>
    <s v="Merchandise &amp; Supplies-Groceries"/>
    <s v="AMEXPLATINUM"/>
    <x v="3"/>
  </r>
  <r>
    <d v="2025-10-22T00:00:00"/>
    <s v="STARBUCKS           800-782-7282        WA"/>
    <n v="25"/>
    <s v="MATEZHVZZRX GIFT CARD_x000a_STARBUCKS_x000a_800-782-7282_x000a_WA_x000a_GIFT CARD"/>
    <s v="STARBUCKS           800-782-7282        WA"/>
    <s v="2401 UTAH AVE SOUTH STE 800"/>
    <s v="SEATTLE_x000a_WA"/>
    <n v="98134"/>
    <s v="UNITED STATES"/>
    <s v="'320252960983460931'"/>
    <s v="Restaurant-Bar &amp; CafÃ©"/>
    <s v="AMEXPLATINUM"/>
    <x v="3"/>
  </r>
  <r>
    <d v="2025-10-23T00:00:00"/>
    <s v="AMAZON.COM          AMZN.COM/BILL       WA"/>
    <n v="37.46"/>
    <s v="23IKW8SM3KZ MERCHANDISE_x000a_AMAZON.COM_x000a_AMZN.COM/BILL_x000a_WA_x000a_MERCHANDISE"/>
    <s v="AMAZON.COM          AMZN.COM/BILL       WA"/>
    <s v="410 TERRY AVE N"/>
    <s v="SEATTLE_x000a_WA"/>
    <n v="98109"/>
    <s v="UNITED STATES"/>
    <s v="'320252960969132547'"/>
    <s v="Merchandise &amp; Supplies-Internet Purchase"/>
    <s v="AMEXPLATINUM"/>
    <x v="3"/>
  </r>
  <r>
    <d v="2025-10-23T00:00:00"/>
    <s v="UBER"/>
    <n v="55.51"/>
    <s v="53QHSHQ1   3FQPHPYR         11205_x000a_Uber Trip_x000a_help.uber.com_x000a_CA_x000a_3FQPHPYR         11205"/>
    <s v="Uber Trip           help.uber.com       CA"/>
    <s v="1455 MARKET ST_x000a_4TH FLOOR"/>
    <s v="SAN FRANCISCO_x000a_CA"/>
    <n v="94103"/>
    <s v="UNITED STATES"/>
    <s v="'320252970001584493'"/>
    <s v="Transportation-Taxis &amp; Coach"/>
    <s v="AMEXPLATINUM"/>
    <x v="2"/>
  </r>
  <r>
    <d v="2025-10-24T00:00:00"/>
    <s v="Interest Charge on Purchases"/>
    <n v="240.99"/>
    <s v="Interest Charge on Purchases"/>
    <s v="Interest Charge on Purchases"/>
    <m/>
    <m/>
    <m/>
    <m/>
    <s v="'151025060000077188'"/>
    <s v="Fees &amp; Adjustments-Fees &amp; Adjustments"/>
    <s v="DELTARESERVE"/>
    <x v="13"/>
  </r>
  <r>
    <d v="2025-10-24T00:00:00"/>
    <s v="UBER"/>
    <n v="38.54"/>
    <s v="HQFQN3GD   WAVCPRJB         10012_x000a_Uber Trip_x000a_help.uber.com_x000a_CA_x000a_WAVCPRJB         10012"/>
    <s v="Uber Trip           help.uber.com       CA"/>
    <s v="1455 MARKET ST_x000a_4TH FLOOR"/>
    <s v="SAN FRANCISCO_x000a_CA"/>
    <n v="94103"/>
    <s v="UNITED STATES"/>
    <s v="'320252970000876454'"/>
    <s v="Transportation-Taxis &amp; Coach"/>
    <s v="AMEXPLATINUM"/>
    <x v="2"/>
  </r>
  <r>
    <d v="2025-10-24T00:00:00"/>
    <s v="UBER"/>
    <n v="20.81"/>
    <s v="GPGFDTNQMPS TAXICAB &amp; LIMOUSINE_x000a_Uber Trip_x000a_help.uber.com_x000a_CA_x000a_TAXICAB &amp; LIMOUSINE"/>
    <s v="Uber Trip           help.uber.com       CA"/>
    <s v="1455 MARKET ST_x000a_4TH FLOOR"/>
    <s v="SAN FRANCISCO_x000a_CA"/>
    <n v="94103"/>
    <s v="UNITED STATES"/>
    <s v="'320252970018730329'"/>
    <s v="Transportation-Taxis &amp; Coach"/>
    <s v="AMEXPLATINUM"/>
    <x v="2"/>
  </r>
  <r>
    <d v="2025-10-24T00:00:00"/>
    <s v="ONLINE PAYMENT - THANK YOU"/>
    <n v="-2500"/>
    <s v="ONLINE PAYMENT - THANK YOU"/>
    <s v="ONLINE PAYMENT - THANK YOU"/>
    <m/>
    <m/>
    <m/>
    <m/>
    <s v="'320252970019749578'"/>
    <m/>
    <s v="DELTARESERVE"/>
    <x v="0"/>
  </r>
  <r>
    <d v="2025-10-24T00:00:00"/>
    <s v="VAGARO_*LOUNGE STUDINEW YORK            NY"/>
    <n v="127.5"/>
    <s v="######Tteaf MISC PERSONAL SERVICE_x000a_VAGARO_*LOUNGE STUDIOS_x000a_NEW YORK_x000a_NY_x000a_MISC PERSONAL SERVICE"/>
    <s v="VAGARO_*LOUNGE STUDINEW YORK            NY"/>
    <s v="315 WEST 39TH STREET MANHATTAN"/>
    <s v="NEW YORK_x000a_NY"/>
    <n v="10018"/>
    <s v="UNITED STATES"/>
    <s v="'320252970996268454'"/>
    <s v="Business Services-Other Services"/>
    <s v="AMEXPLATINUM"/>
    <x v="3"/>
  </r>
  <r>
    <d v="2025-10-24T00:00:00"/>
    <s v="UBER"/>
    <n v="50.19"/>
    <s v="GJSVKM3H   X2BZNFZ3         10018_x000a_Uber Trip_x000a_help.uber.com_x000a_CA_x000a_X2BZNFZ3         10018"/>
    <s v="Uber Trip           help.uber.com       CA"/>
    <s v="1455 MARKET ST_x000a_4TH FLOOR"/>
    <s v="SAN FRANCISCO_x000a_CA"/>
    <n v="94103"/>
    <s v="UNITED STATES"/>
    <s v="'320252970997142413'"/>
    <s v="Transportation-Taxis &amp; Coach"/>
    <s v="AMEXPLATINUM"/>
    <x v="2"/>
  </r>
  <r>
    <d v="2025-10-24T00:00:00"/>
    <s v="UBER"/>
    <n v="7.7"/>
    <s v="K970M5F8   WAVCPRJB         10012_x000a_Uber Trip_x000a_help.uber.com_x000a_CA_x000a_WAVCPRJB         10012"/>
    <s v="Uber Trip           help.uber.com       CA"/>
    <s v="1455 MARKET ST_x000a_4TH FLOOR"/>
    <s v="SAN FRANCISCO_x000a_CA"/>
    <n v="94103"/>
    <s v="UNITED STATES"/>
    <s v="'320252970997935456'"/>
    <s v="Transportation-Taxis &amp; Coach"/>
    <s v="AMEXPLATINUM"/>
    <x v="2"/>
  </r>
  <r>
    <d v="2025-10-24T00:00:00"/>
    <s v="PRIME VIDEO *NU6F775888-802-3080        WA"/>
    <n v="2.99"/>
    <s v="6X5MRC3GIW5 DIGITAL_x000a_PRIME VIDEO *NU6F775F2_x000a_888-802-3080_x000a_WA_x000a_DIGITAL"/>
    <s v="PRIME VIDEO *NU6F775888-802-3080        WA"/>
    <s v="1512 2ND AVE"/>
    <s v="SEATTLE_x000a_WA"/>
    <s v="98101-1508"/>
    <s v="UNITED STATES"/>
    <s v="'320252980048196154'"/>
    <s v="Merchandise &amp; Supplies-Internet Purchase"/>
    <s v="DELTARESERVE"/>
    <x v="3"/>
  </r>
  <r>
    <d v="2025-10-25T00:00:00"/>
    <s v="PRIME VIDEO *NU8SR16888-802-3080        WA"/>
    <n v="14.99"/>
    <s v="42KLI5WKSLR DIGITAL_x000a_PRIME VIDEO *NU8SR1662_x000a_888-802-3080_x000a_WA_x000a_DIGITAL"/>
    <s v="PRIME VIDEO *NU8SR16888-802-3080        WA"/>
    <s v="1512 2ND AVE"/>
    <s v="SEATTLE_x000a_WA"/>
    <s v="98101-1508"/>
    <s v="UNITED STATES"/>
    <s v="'320252980027719335'"/>
    <s v="Merchandise &amp; Supplies-Internet Purchase"/>
    <s v="DELTARESERVE"/>
    <x v="3"/>
  </r>
  <r>
    <d v="2025-10-25T00:00:00"/>
    <s v="THE CLEANERS IO, LLCNEW YORK            NY"/>
    <n v="74.94"/>
    <s v="B06AG1DiLaO squareup.com/receipts_x000a_THE CLEANERS IO, LLC_x000a_NEW YORK_x000a_NY_x000a_squareup.com/receipts"/>
    <s v="THE CLEANERS IO, LLCNEW YORK            NY"/>
    <s v="215 THOMPSON ST"/>
    <s v="NEW YORK_x000a_NY"/>
    <n v="10012"/>
    <s v="UNITED STATES"/>
    <s v="'320252980031620365'"/>
    <s v="Business Services-Other Services"/>
    <s v="AMEXPLATINUM"/>
    <x v="8"/>
  </r>
  <r>
    <d v="2025-10-25T00:00:00"/>
    <s v="UBER EATS           help.uber.com       CA"/>
    <n v="177.83"/>
    <s v="GTXRES8M   VJAZVJUU         94103_x000a_UBER EATS_x000a_help.uber.com_x000a_CA_x000a_VJAZVJUU         94103"/>
    <s v="UBER EATS           help.uber.com       CA"/>
    <s v="1455 MARKET ST_x000a_-"/>
    <s v="SAN FRANCISCO_x000a_CA"/>
    <n v="94103"/>
    <s v="UNITED STATES"/>
    <s v="'320252980032411278'"/>
    <s v="Restaurant-Restaurant"/>
    <s v="AMEXPLATINUM"/>
    <x v="3"/>
  </r>
  <r>
    <d v="2025-10-25T00:00:00"/>
    <s v="UBER"/>
    <n v="53.01"/>
    <s v="PA7ERJ41   SILSDR6I         10012_x000a_Uber Trip_x000a_help.uber.com_x000a_CA_x000a_SILSDR6I         10012"/>
    <s v="Uber Trip           help.uber.com       CA"/>
    <s v="1455 MARKET ST_x000a_4TH FLOOR"/>
    <s v="SAN FRANCISCO_x000a_CA"/>
    <n v="94103"/>
    <s v="UNITED STATES"/>
    <s v="'320252980032626229'"/>
    <s v="Transportation-Taxis &amp; Coach"/>
    <s v="AMEXPLATINUM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401EC-75A1-4298-A503-E3FCF97791D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3"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3"/>
        <item x="4"/>
        <item x="17"/>
        <item x="16"/>
        <item x="2"/>
        <item x="9"/>
        <item x="14"/>
        <item x="18"/>
        <item x="11"/>
        <item x="7"/>
        <item x="1"/>
        <item x="12"/>
        <item x="6"/>
        <item x="15"/>
        <item x="10"/>
        <item x="19"/>
        <item x="5"/>
        <item x="8"/>
        <item x="13"/>
        <item x="0"/>
        <item t="default"/>
      </items>
    </pivotField>
  </pivotFields>
  <rowFields count="1">
    <field x="1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D100-779E-420B-8713-17035B951B37}">
  <dimension ref="A1:M1811"/>
  <sheetViews>
    <sheetView tabSelected="1" workbookViewId="0">
      <pane ySplit="1" topLeftCell="A2" activePane="bottomLeft" state="frozen"/>
      <selection pane="bottomLeft" activeCell="D17" sqref="D17"/>
    </sheetView>
  </sheetViews>
  <sheetFormatPr defaultColWidth="10.07421875" defaultRowHeight="13.5" customHeight="1" x14ac:dyDescent="0.4"/>
  <cols>
    <col min="2" max="2" width="24.61328125" customWidth="1"/>
    <col min="3" max="3" width="9.4609375" bestFit="1" customWidth="1"/>
    <col min="4" max="4" width="14.53515625" customWidth="1"/>
    <col min="5" max="5" width="26" customWidth="1"/>
    <col min="6" max="6" width="22.921875" customWidth="1"/>
    <col min="8" max="8" width="10.4609375" bestFit="1" customWidth="1"/>
    <col min="9" max="9" width="13.53515625" customWidth="1"/>
    <col min="10" max="10" width="19.765625" bestFit="1" customWidth="1"/>
    <col min="11" max="11" width="12.84375" customWidth="1"/>
    <col min="12" max="12" width="13.3046875" bestFit="1" customWidth="1"/>
    <col min="13" max="13" width="19" bestFit="1" customWidth="1"/>
  </cols>
  <sheetData>
    <row r="1" spans="1:13" ht="13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2046</v>
      </c>
      <c r="M1" t="s">
        <v>6542</v>
      </c>
    </row>
    <row r="2" spans="1:13" ht="13.5" customHeight="1" x14ac:dyDescent="0.4">
      <c r="A2" s="1">
        <v>45668</v>
      </c>
      <c r="B2" t="s">
        <v>22</v>
      </c>
      <c r="C2">
        <v>-12021.51</v>
      </c>
      <c r="D2" t="s">
        <v>22</v>
      </c>
      <c r="E2" t="s">
        <v>22</v>
      </c>
      <c r="J2" t="s">
        <v>2045</v>
      </c>
      <c r="L2" t="s">
        <v>2047</v>
      </c>
      <c r="M2" t="e">
        <f>VLOOKUP(SUBSTITUTE(J2,"'",""),Sheet1!L:M,2,FALSE)</f>
        <v>#N/A</v>
      </c>
    </row>
    <row r="3" spans="1:13" ht="13.5" customHeight="1" x14ac:dyDescent="0.4">
      <c r="A3" s="1">
        <v>45668</v>
      </c>
      <c r="B3" t="s">
        <v>2259</v>
      </c>
      <c r="C3">
        <v>21.64</v>
      </c>
      <c r="D3" s="2" t="s">
        <v>4671</v>
      </c>
      <c r="E3" t="s">
        <v>2259</v>
      </c>
      <c r="F3" t="s">
        <v>2261</v>
      </c>
      <c r="G3" s="2" t="s">
        <v>14</v>
      </c>
      <c r="H3">
        <v>98103</v>
      </c>
      <c r="I3" t="s">
        <v>16</v>
      </c>
      <c r="J3" t="s">
        <v>4672</v>
      </c>
      <c r="K3" t="s">
        <v>1904</v>
      </c>
      <c r="L3" t="s">
        <v>4673</v>
      </c>
      <c r="M3">
        <f>VLOOKUP(SUBSTITUTE(J3,"'",""),Sheet1!L:M,2,FALSE)</f>
        <v>64100</v>
      </c>
    </row>
    <row r="4" spans="1:13" ht="13.5" customHeight="1" x14ac:dyDescent="0.4">
      <c r="A4" s="1">
        <v>45668</v>
      </c>
      <c r="B4" t="s">
        <v>458</v>
      </c>
      <c r="C4">
        <v>16.04</v>
      </c>
      <c r="D4" s="2" t="s">
        <v>2043</v>
      </c>
      <c r="E4" t="s">
        <v>458</v>
      </c>
      <c r="F4" t="s">
        <v>129</v>
      </c>
      <c r="G4" s="2" t="s">
        <v>130</v>
      </c>
      <c r="H4" t="s">
        <v>131</v>
      </c>
      <c r="I4" t="s">
        <v>16</v>
      </c>
      <c r="J4" s="3" t="s">
        <v>6536</v>
      </c>
      <c r="K4" t="s">
        <v>133</v>
      </c>
      <c r="L4" t="s">
        <v>2047</v>
      </c>
      <c r="M4">
        <f>VLOOKUP(SUBSTITUTE(J4,"'",""),Sheet1!L:M,2,FALSE)</f>
        <v>64100</v>
      </c>
    </row>
    <row r="5" spans="1:13" ht="13.5" customHeight="1" x14ac:dyDescent="0.4">
      <c r="A5" s="1">
        <v>45669</v>
      </c>
      <c r="B5" t="s">
        <v>478</v>
      </c>
      <c r="C5">
        <v>28.32</v>
      </c>
      <c r="D5" s="2" t="s">
        <v>2041</v>
      </c>
      <c r="E5" t="s">
        <v>480</v>
      </c>
      <c r="F5" s="2" t="s">
        <v>481</v>
      </c>
      <c r="G5" s="2" t="s">
        <v>35</v>
      </c>
      <c r="H5">
        <v>94103</v>
      </c>
      <c r="I5" t="s">
        <v>16</v>
      </c>
      <c r="J5" t="s">
        <v>2042</v>
      </c>
      <c r="K5" t="s">
        <v>483</v>
      </c>
      <c r="L5" t="s">
        <v>2047</v>
      </c>
      <c r="M5">
        <f>VLOOKUP(SUBSTITUTE(J5,"'",""),Sheet1!L:M,2,FALSE)</f>
        <v>61130</v>
      </c>
    </row>
    <row r="6" spans="1:13" ht="13.5" customHeight="1" x14ac:dyDescent="0.4">
      <c r="A6" s="1">
        <v>45669</v>
      </c>
      <c r="B6" t="s">
        <v>2246</v>
      </c>
      <c r="C6">
        <v>11.99</v>
      </c>
      <c r="D6" s="2" t="s">
        <v>4667</v>
      </c>
      <c r="E6" t="s">
        <v>2246</v>
      </c>
      <c r="F6" t="s">
        <v>2248</v>
      </c>
      <c r="G6" s="2" t="s">
        <v>2249</v>
      </c>
      <c r="H6">
        <v>94025</v>
      </c>
      <c r="I6" t="s">
        <v>16</v>
      </c>
      <c r="J6" t="s">
        <v>4668</v>
      </c>
      <c r="K6" t="s">
        <v>164</v>
      </c>
      <c r="L6" t="s">
        <v>4673</v>
      </c>
      <c r="M6">
        <f>VLOOKUP(SUBSTITUTE(J6,"'",""),Sheet1!L:M,2,FALSE)</f>
        <v>54820</v>
      </c>
    </row>
    <row r="7" spans="1:13" ht="13.5" customHeight="1" x14ac:dyDescent="0.4">
      <c r="A7" s="1">
        <v>45669</v>
      </c>
      <c r="B7" t="s">
        <v>2240</v>
      </c>
      <c r="C7">
        <v>63.09</v>
      </c>
      <c r="D7" s="2" t="s">
        <v>4669</v>
      </c>
      <c r="E7" t="s">
        <v>2240</v>
      </c>
      <c r="F7" t="s">
        <v>2242</v>
      </c>
      <c r="G7" s="2" t="s">
        <v>41</v>
      </c>
      <c r="H7">
        <v>10003</v>
      </c>
      <c r="I7" t="s">
        <v>16</v>
      </c>
      <c r="J7" t="s">
        <v>4670</v>
      </c>
      <c r="K7" t="s">
        <v>1218</v>
      </c>
      <c r="L7" t="s">
        <v>4673</v>
      </c>
      <c r="M7">
        <f>VLOOKUP(SUBSTITUTE(J7,"'",""),Sheet1!L:M,2,FALSE)</f>
        <v>54820</v>
      </c>
    </row>
    <row r="8" spans="1:13" ht="13.5" customHeight="1" x14ac:dyDescent="0.4">
      <c r="A8" s="1">
        <v>45670</v>
      </c>
      <c r="B8" t="s">
        <v>22</v>
      </c>
      <c r="C8">
        <v>-3000</v>
      </c>
      <c r="D8" t="s">
        <v>22</v>
      </c>
      <c r="E8" t="s">
        <v>22</v>
      </c>
      <c r="J8" t="s">
        <v>4666</v>
      </c>
      <c r="L8" t="s">
        <v>4673</v>
      </c>
      <c r="M8" t="e">
        <f>VLOOKUP(SUBSTITUTE(J8,"'",""),Sheet1!L:M,2,FALSE)</f>
        <v>#N/A</v>
      </c>
    </row>
    <row r="9" spans="1:13" ht="13.5" customHeight="1" x14ac:dyDescent="0.4">
      <c r="A9" s="1">
        <v>45670</v>
      </c>
      <c r="B9" t="s">
        <v>4663</v>
      </c>
      <c r="C9">
        <v>40.58</v>
      </c>
      <c r="D9" s="2" t="s">
        <v>4664</v>
      </c>
      <c r="E9" t="s">
        <v>4663</v>
      </c>
      <c r="F9" s="2" t="s">
        <v>2233</v>
      </c>
      <c r="G9" s="2" t="s">
        <v>130</v>
      </c>
      <c r="H9" t="s">
        <v>2234</v>
      </c>
      <c r="I9" t="s">
        <v>16</v>
      </c>
      <c r="J9" t="s">
        <v>4665</v>
      </c>
      <c r="K9" t="s">
        <v>18</v>
      </c>
      <c r="L9" t="s">
        <v>4673</v>
      </c>
      <c r="M9">
        <f>VLOOKUP(SUBSTITUTE(J9,"'",""),Sheet1!L:M,2,FALSE)</f>
        <v>61100</v>
      </c>
    </row>
    <row r="10" spans="1:13" ht="13.5" customHeight="1" x14ac:dyDescent="0.4">
      <c r="A10" s="1">
        <v>45671</v>
      </c>
      <c r="B10" t="s">
        <v>4325</v>
      </c>
      <c r="C10">
        <v>300</v>
      </c>
      <c r="D10" s="2" t="s">
        <v>4657</v>
      </c>
      <c r="E10" t="s">
        <v>4325</v>
      </c>
      <c r="F10" s="2" t="s">
        <v>4327</v>
      </c>
      <c r="G10" s="2" t="s">
        <v>41</v>
      </c>
      <c r="H10" t="s">
        <v>4328</v>
      </c>
      <c r="I10" t="s">
        <v>16</v>
      </c>
      <c r="J10" t="s">
        <v>4658</v>
      </c>
      <c r="K10" t="s">
        <v>116</v>
      </c>
      <c r="L10" t="s">
        <v>4673</v>
      </c>
      <c r="M10">
        <f>VLOOKUP(SUBSTITUTE(J10,"'",""),Sheet1!L:M,2,FALSE)</f>
        <v>54820</v>
      </c>
    </row>
    <row r="11" spans="1:13" ht="13.5" customHeight="1" x14ac:dyDescent="0.4">
      <c r="A11" s="1">
        <v>45671</v>
      </c>
      <c r="B11" t="s">
        <v>2222</v>
      </c>
      <c r="C11">
        <v>20.18</v>
      </c>
      <c r="D11" s="2" t="s">
        <v>4661</v>
      </c>
      <c r="E11" t="s">
        <v>2222</v>
      </c>
      <c r="F11" s="2" t="s">
        <v>2224</v>
      </c>
      <c r="G11" s="2" t="s">
        <v>35</v>
      </c>
      <c r="H11">
        <v>94103</v>
      </c>
      <c r="I11" t="s">
        <v>16</v>
      </c>
      <c r="J11" t="s">
        <v>4662</v>
      </c>
      <c r="K11" t="s">
        <v>164</v>
      </c>
      <c r="L11" t="s">
        <v>4673</v>
      </c>
      <c r="M11">
        <f>VLOOKUP(SUBSTITUTE(J11,"'",""),Sheet1!L:M,2,FALSE)</f>
        <v>54820</v>
      </c>
    </row>
    <row r="12" spans="1:13" ht="13.5" customHeight="1" x14ac:dyDescent="0.4">
      <c r="A12" s="1">
        <v>45671</v>
      </c>
      <c r="B12" t="s">
        <v>2217</v>
      </c>
      <c r="C12">
        <v>50.67</v>
      </c>
      <c r="D12" s="2" t="s">
        <v>4659</v>
      </c>
      <c r="E12" t="s">
        <v>2217</v>
      </c>
      <c r="F12" t="s">
        <v>2219</v>
      </c>
      <c r="G12" s="2" t="s">
        <v>41</v>
      </c>
      <c r="H12">
        <v>10013</v>
      </c>
      <c r="I12" t="s">
        <v>16</v>
      </c>
      <c r="J12" t="s">
        <v>4660</v>
      </c>
      <c r="K12" t="s">
        <v>321</v>
      </c>
      <c r="L12" t="s">
        <v>4673</v>
      </c>
      <c r="M12">
        <f>VLOOKUP(SUBSTITUTE(J12,"'",""),Sheet1!L:M,2,FALSE)</f>
        <v>54820</v>
      </c>
    </row>
    <row r="13" spans="1:13" ht="13.5" customHeight="1" x14ac:dyDescent="0.4">
      <c r="A13" s="1">
        <v>45671</v>
      </c>
      <c r="B13" t="s">
        <v>4302</v>
      </c>
      <c r="C13">
        <v>65.36</v>
      </c>
      <c r="D13" s="2" t="s">
        <v>4617</v>
      </c>
      <c r="E13" t="s">
        <v>4302</v>
      </c>
      <c r="F13" t="s">
        <v>4304</v>
      </c>
      <c r="G13" s="2" t="s">
        <v>4305</v>
      </c>
      <c r="H13">
        <v>60510</v>
      </c>
      <c r="I13" t="s">
        <v>16</v>
      </c>
      <c r="J13" t="s">
        <v>4656</v>
      </c>
      <c r="K13" t="s">
        <v>1218</v>
      </c>
      <c r="L13" t="s">
        <v>4673</v>
      </c>
      <c r="M13">
        <f>VLOOKUP(SUBSTITUTE(J13,"'",""),Sheet1!L:M,2,FALSE)</f>
        <v>54820</v>
      </c>
    </row>
    <row r="14" spans="1:13" ht="13.5" customHeight="1" x14ac:dyDescent="0.4">
      <c r="A14" s="1">
        <v>45671</v>
      </c>
      <c r="B14" t="s">
        <v>4302</v>
      </c>
      <c r="C14">
        <v>29.99</v>
      </c>
      <c r="D14" s="2" t="s">
        <v>4619</v>
      </c>
      <c r="E14" t="s">
        <v>4302</v>
      </c>
      <c r="F14" t="s">
        <v>4304</v>
      </c>
      <c r="G14" s="2" t="s">
        <v>4305</v>
      </c>
      <c r="H14">
        <v>60510</v>
      </c>
      <c r="I14" t="s">
        <v>16</v>
      </c>
      <c r="J14" t="s">
        <v>4655</v>
      </c>
      <c r="K14" t="s">
        <v>1218</v>
      </c>
      <c r="L14" t="s">
        <v>4673</v>
      </c>
      <c r="M14">
        <f>VLOOKUP(SUBSTITUTE(J14,"'",""),Sheet1!L:M,2,FALSE)</f>
        <v>54820</v>
      </c>
    </row>
    <row r="15" spans="1:13" ht="13.5" customHeight="1" x14ac:dyDescent="0.4">
      <c r="A15" s="1">
        <v>45671</v>
      </c>
      <c r="B15" t="s">
        <v>83</v>
      </c>
      <c r="C15">
        <v>104.33</v>
      </c>
      <c r="D15" s="2" t="s">
        <v>2039</v>
      </c>
      <c r="E15" t="s">
        <v>315</v>
      </c>
      <c r="F15" s="2" t="s">
        <v>86</v>
      </c>
      <c r="G15" s="2" t="s">
        <v>87</v>
      </c>
      <c r="H15" t="s">
        <v>88</v>
      </c>
      <c r="I15" t="s">
        <v>16</v>
      </c>
      <c r="J15" t="s">
        <v>2040</v>
      </c>
      <c r="K15" t="s">
        <v>90</v>
      </c>
      <c r="L15" t="s">
        <v>2047</v>
      </c>
      <c r="M15">
        <f>VLOOKUP(SUBSTITUTE(J15,"'",""),Sheet1!L:M,2,FALSE)</f>
        <v>65700</v>
      </c>
    </row>
    <row r="16" spans="1:13" ht="13.5" customHeight="1" x14ac:dyDescent="0.4">
      <c r="A16" s="1">
        <v>45672</v>
      </c>
      <c r="B16" t="s">
        <v>4650</v>
      </c>
      <c r="C16">
        <v>20.9</v>
      </c>
      <c r="D16" s="2" t="s">
        <v>4651</v>
      </c>
      <c r="E16" t="s">
        <v>4650</v>
      </c>
      <c r="F16" t="s">
        <v>4652</v>
      </c>
      <c r="G16" s="2" t="s">
        <v>41</v>
      </c>
      <c r="H16">
        <v>10075</v>
      </c>
      <c r="I16" t="s">
        <v>16</v>
      </c>
      <c r="J16" t="s">
        <v>4653</v>
      </c>
      <c r="K16" t="s">
        <v>126</v>
      </c>
      <c r="L16" t="s">
        <v>4673</v>
      </c>
      <c r="M16">
        <f>VLOOKUP(SUBSTITUTE(J16,"'",""),Sheet1!L:M,2,FALSE)</f>
        <v>54820</v>
      </c>
    </row>
    <row r="17" spans="1:13" ht="13.5" customHeight="1" x14ac:dyDescent="0.4">
      <c r="A17" s="1">
        <v>45672</v>
      </c>
      <c r="B17" t="s">
        <v>4650</v>
      </c>
      <c r="C17">
        <v>20.9</v>
      </c>
      <c r="D17" s="2" t="s">
        <v>4651</v>
      </c>
      <c r="E17" t="s">
        <v>4650</v>
      </c>
      <c r="F17" t="s">
        <v>4652</v>
      </c>
      <c r="G17" s="2" t="s">
        <v>41</v>
      </c>
      <c r="H17">
        <v>10075</v>
      </c>
      <c r="I17" t="s">
        <v>16</v>
      </c>
      <c r="J17" t="s">
        <v>4654</v>
      </c>
      <c r="K17" t="s">
        <v>126</v>
      </c>
      <c r="L17" t="s">
        <v>4673</v>
      </c>
      <c r="M17">
        <f>VLOOKUP(SUBSTITUTE(J17,"'",""),Sheet1!L:M,2,FALSE)</f>
        <v>54820</v>
      </c>
    </row>
    <row r="18" spans="1:13" ht="13.5" customHeight="1" x14ac:dyDescent="0.4">
      <c r="A18" s="1">
        <v>45672</v>
      </c>
      <c r="B18" t="s">
        <v>437</v>
      </c>
      <c r="C18">
        <v>10</v>
      </c>
      <c r="D18" s="2" t="s">
        <v>2037</v>
      </c>
      <c r="E18" t="s">
        <v>437</v>
      </c>
      <c r="F18" s="2" t="s">
        <v>80</v>
      </c>
      <c r="H18">
        <v>2150</v>
      </c>
      <c r="I18" t="s">
        <v>81</v>
      </c>
      <c r="J18" t="s">
        <v>2038</v>
      </c>
      <c r="K18" t="s">
        <v>37</v>
      </c>
      <c r="L18" t="s">
        <v>2047</v>
      </c>
      <c r="M18">
        <f>VLOOKUP(SUBSTITUTE(J18,"'",""),Sheet1!L:M,2,FALSE)</f>
        <v>64100</v>
      </c>
    </row>
    <row r="19" spans="1:13" ht="13.5" customHeight="1" x14ac:dyDescent="0.4">
      <c r="A19" s="1">
        <v>45673</v>
      </c>
      <c r="B19" t="s">
        <v>3894</v>
      </c>
      <c r="C19">
        <v>27.99</v>
      </c>
      <c r="D19" s="2" t="s">
        <v>4645</v>
      </c>
      <c r="E19" t="s">
        <v>3894</v>
      </c>
      <c r="F19" s="2" t="s">
        <v>4646</v>
      </c>
      <c r="G19" s="2" t="s">
        <v>41</v>
      </c>
      <c r="H19">
        <v>10003</v>
      </c>
      <c r="I19" t="s">
        <v>16</v>
      </c>
      <c r="J19" t="s">
        <v>4647</v>
      </c>
      <c r="K19" t="s">
        <v>37</v>
      </c>
      <c r="L19" t="s">
        <v>4673</v>
      </c>
      <c r="M19">
        <f>VLOOKUP(SUBSTITUTE(J19,"'",""),Sheet1!L:M,2,FALSE)</f>
        <v>54820</v>
      </c>
    </row>
    <row r="20" spans="1:13" ht="13.5" customHeight="1" x14ac:dyDescent="0.4">
      <c r="A20" s="1">
        <v>45673</v>
      </c>
      <c r="B20" t="s">
        <v>583</v>
      </c>
      <c r="C20">
        <v>91.19</v>
      </c>
      <c r="D20" s="2" t="s">
        <v>2033</v>
      </c>
      <c r="E20" t="s">
        <v>583</v>
      </c>
      <c r="F20" s="2" t="s">
        <v>585</v>
      </c>
      <c r="G20" s="2" t="s">
        <v>35</v>
      </c>
      <c r="H20">
        <v>94103</v>
      </c>
      <c r="I20" t="s">
        <v>16</v>
      </c>
      <c r="J20" t="s">
        <v>2034</v>
      </c>
      <c r="K20" t="s">
        <v>126</v>
      </c>
      <c r="L20" t="s">
        <v>2047</v>
      </c>
      <c r="M20">
        <f>VLOOKUP(SUBSTITUTE(J20,"'",""),Sheet1!L:M,2,FALSE)</f>
        <v>54820</v>
      </c>
    </row>
    <row r="21" spans="1:13" ht="13.5" customHeight="1" x14ac:dyDescent="0.4">
      <c r="A21" s="1">
        <v>45673</v>
      </c>
      <c r="B21" t="s">
        <v>1975</v>
      </c>
      <c r="C21">
        <v>378.72</v>
      </c>
      <c r="D21" s="2" t="s">
        <v>2035</v>
      </c>
      <c r="E21" t="s">
        <v>1975</v>
      </c>
      <c r="F21" t="s">
        <v>1977</v>
      </c>
      <c r="G21" s="2" t="s">
        <v>35</v>
      </c>
      <c r="H21">
        <v>94107</v>
      </c>
      <c r="I21" t="s">
        <v>16</v>
      </c>
      <c r="J21" t="s">
        <v>2036</v>
      </c>
      <c r="K21" t="s">
        <v>96</v>
      </c>
      <c r="L21" t="s">
        <v>2047</v>
      </c>
      <c r="M21">
        <f>VLOOKUP(SUBSTITUTE(J21,"'",""),Sheet1!L:M,2,FALSE)</f>
        <v>64200</v>
      </c>
    </row>
    <row r="22" spans="1:13" ht="13.5" customHeight="1" x14ac:dyDescent="0.4">
      <c r="A22" s="1">
        <v>45673</v>
      </c>
      <c r="B22" t="s">
        <v>2240</v>
      </c>
      <c r="C22">
        <v>49.57</v>
      </c>
      <c r="D22" s="2" t="s">
        <v>4648</v>
      </c>
      <c r="E22" t="s">
        <v>2240</v>
      </c>
      <c r="F22" t="s">
        <v>2242</v>
      </c>
      <c r="G22" s="2" t="s">
        <v>41</v>
      </c>
      <c r="H22">
        <v>10003</v>
      </c>
      <c r="I22" t="s">
        <v>16</v>
      </c>
      <c r="J22" t="s">
        <v>4649</v>
      </c>
      <c r="K22" t="s">
        <v>1218</v>
      </c>
      <c r="L22" t="s">
        <v>4673</v>
      </c>
      <c r="M22">
        <f>VLOOKUP(SUBSTITUTE(J22,"'",""),Sheet1!L:M,2,FALSE)</f>
        <v>54820</v>
      </c>
    </row>
    <row r="23" spans="1:13" ht="13.5" customHeight="1" x14ac:dyDescent="0.4">
      <c r="A23" s="1">
        <v>45673</v>
      </c>
      <c r="B23" t="s">
        <v>4641</v>
      </c>
      <c r="C23">
        <v>15.41</v>
      </c>
      <c r="D23" s="2" t="s">
        <v>4642</v>
      </c>
      <c r="E23" t="s">
        <v>4641</v>
      </c>
      <c r="F23" t="s">
        <v>4643</v>
      </c>
      <c r="G23" s="2" t="s">
        <v>14</v>
      </c>
      <c r="H23">
        <v>98119</v>
      </c>
      <c r="I23" t="s">
        <v>16</v>
      </c>
      <c r="J23" t="s">
        <v>4644</v>
      </c>
      <c r="K23" t="s">
        <v>96</v>
      </c>
      <c r="L23" t="s">
        <v>4673</v>
      </c>
      <c r="M23">
        <f>VLOOKUP(SUBSTITUTE(J23,"'",""),Sheet1!L:M,2,FALSE)</f>
        <v>65700</v>
      </c>
    </row>
    <row r="24" spans="1:13" ht="13.5" customHeight="1" x14ac:dyDescent="0.4">
      <c r="A24" s="1">
        <v>45674</v>
      </c>
      <c r="B24" t="s">
        <v>2142</v>
      </c>
      <c r="C24">
        <v>16.829999999999998</v>
      </c>
      <c r="D24" s="2" t="s">
        <v>4639</v>
      </c>
      <c r="E24" t="s">
        <v>2142</v>
      </c>
      <c r="F24" t="s">
        <v>2144</v>
      </c>
      <c r="G24" s="2" t="s">
        <v>41</v>
      </c>
      <c r="H24">
        <v>10012</v>
      </c>
      <c r="I24" t="s">
        <v>16</v>
      </c>
      <c r="J24" t="s">
        <v>4640</v>
      </c>
      <c r="K24" t="s">
        <v>1304</v>
      </c>
      <c r="L24" t="s">
        <v>4673</v>
      </c>
      <c r="M24">
        <f>VLOOKUP(SUBSTITUTE(J24,"'",""),Sheet1!L:M,2,FALSE)</f>
        <v>54820</v>
      </c>
    </row>
    <row r="25" spans="1:13" ht="13.5" customHeight="1" x14ac:dyDescent="0.4">
      <c r="A25" s="1">
        <v>45675</v>
      </c>
      <c r="B25" t="s">
        <v>4630</v>
      </c>
      <c r="C25">
        <v>83.99</v>
      </c>
      <c r="D25" s="2" t="s">
        <v>4631</v>
      </c>
      <c r="E25" t="s">
        <v>4630</v>
      </c>
      <c r="F25" t="s">
        <v>4632</v>
      </c>
      <c r="G25" s="2" t="s">
        <v>4633</v>
      </c>
      <c r="H25">
        <v>15206</v>
      </c>
      <c r="I25" t="s">
        <v>16</v>
      </c>
      <c r="J25" t="s">
        <v>4634</v>
      </c>
      <c r="K25" t="s">
        <v>4299</v>
      </c>
      <c r="L25" t="s">
        <v>4673</v>
      </c>
      <c r="M25">
        <f>VLOOKUP(SUBSTITUTE(J25,"'",""),Sheet1!L:M,2,FALSE)</f>
        <v>54820</v>
      </c>
    </row>
    <row r="26" spans="1:13" ht="13.5" customHeight="1" x14ac:dyDescent="0.4">
      <c r="A26" s="1">
        <v>45675</v>
      </c>
      <c r="B26" t="s">
        <v>4635</v>
      </c>
      <c r="C26">
        <v>61.75</v>
      </c>
      <c r="D26" s="2" t="s">
        <v>4636</v>
      </c>
      <c r="E26" t="s">
        <v>4635</v>
      </c>
      <c r="F26" t="s">
        <v>4637</v>
      </c>
      <c r="G26" s="2" t="s">
        <v>4228</v>
      </c>
      <c r="H26">
        <v>92127</v>
      </c>
      <c r="I26" t="s">
        <v>16</v>
      </c>
      <c r="J26" t="s">
        <v>4638</v>
      </c>
      <c r="K26" t="s">
        <v>18</v>
      </c>
      <c r="L26" t="s">
        <v>4673</v>
      </c>
      <c r="M26">
        <f>VLOOKUP(SUBSTITUTE(J26,"'",""),Sheet1!L:M,2,FALSE)</f>
        <v>54820</v>
      </c>
    </row>
    <row r="27" spans="1:13" ht="13.5" customHeight="1" x14ac:dyDescent="0.4">
      <c r="A27" s="1">
        <v>45675</v>
      </c>
      <c r="B27" t="s">
        <v>2030</v>
      </c>
      <c r="C27">
        <v>43.18</v>
      </c>
      <c r="D27" s="2" t="s">
        <v>2031</v>
      </c>
      <c r="E27" t="s">
        <v>2030</v>
      </c>
      <c r="F27" t="s">
        <v>29</v>
      </c>
      <c r="G27" s="2" t="s">
        <v>414</v>
      </c>
      <c r="H27">
        <v>77389</v>
      </c>
      <c r="I27" t="s">
        <v>16</v>
      </c>
      <c r="J27" t="s">
        <v>2032</v>
      </c>
      <c r="K27" t="s">
        <v>61</v>
      </c>
      <c r="L27" t="s">
        <v>2047</v>
      </c>
      <c r="M27">
        <f>VLOOKUP(SUBSTITUTE(J27,"'",""),Sheet1!L:M,2,FALSE)</f>
        <v>63100</v>
      </c>
    </row>
    <row r="28" spans="1:13" ht="13.5" customHeight="1" x14ac:dyDescent="0.4">
      <c r="A28" s="1">
        <v>45676</v>
      </c>
      <c r="B28" t="s">
        <v>4625</v>
      </c>
      <c r="C28">
        <v>124.3</v>
      </c>
      <c r="D28" s="2" t="s">
        <v>4626</v>
      </c>
      <c r="E28" t="s">
        <v>4625</v>
      </c>
      <c r="F28" s="2" t="s">
        <v>4627</v>
      </c>
      <c r="G28" s="2" t="s">
        <v>41</v>
      </c>
      <c r="H28" t="s">
        <v>4628</v>
      </c>
      <c r="I28" t="s">
        <v>16</v>
      </c>
      <c r="J28" t="s">
        <v>4629</v>
      </c>
      <c r="K28" t="s">
        <v>2114</v>
      </c>
      <c r="L28" t="s">
        <v>4673</v>
      </c>
      <c r="M28">
        <f>VLOOKUP(SUBSTITUTE(J28,"'",""),Sheet1!L:M,2,FALSE)</f>
        <v>54820</v>
      </c>
    </row>
    <row r="29" spans="1:13" ht="13.5" customHeight="1" x14ac:dyDescent="0.4">
      <c r="A29" s="1">
        <v>45676</v>
      </c>
      <c r="B29" t="s">
        <v>4621</v>
      </c>
      <c r="C29">
        <v>608.6</v>
      </c>
      <c r="D29" s="2" t="s">
        <v>4622</v>
      </c>
      <c r="E29" t="s">
        <v>4621</v>
      </c>
      <c r="F29" t="s">
        <v>4623</v>
      </c>
      <c r="G29" s="2" t="s">
        <v>41</v>
      </c>
      <c r="H29">
        <v>10003</v>
      </c>
      <c r="I29" t="s">
        <v>16</v>
      </c>
      <c r="J29" t="s">
        <v>4624</v>
      </c>
      <c r="K29" t="s">
        <v>2114</v>
      </c>
      <c r="L29" t="s">
        <v>4673</v>
      </c>
      <c r="M29">
        <f>VLOOKUP(SUBSTITUTE(J29,"'",""),Sheet1!L:M,2,FALSE)</f>
        <v>54820</v>
      </c>
    </row>
    <row r="30" spans="1:13" ht="13.5" customHeight="1" x14ac:dyDescent="0.4">
      <c r="A30" s="1">
        <v>45676</v>
      </c>
      <c r="B30" t="s">
        <v>2025</v>
      </c>
      <c r="C30">
        <v>29.94</v>
      </c>
      <c r="D30" s="2" t="s">
        <v>2026</v>
      </c>
      <c r="E30" t="s">
        <v>2025</v>
      </c>
      <c r="F30" t="s">
        <v>740</v>
      </c>
      <c r="G30" s="2" t="s">
        <v>2027</v>
      </c>
      <c r="H30" s="3" t="s">
        <v>742</v>
      </c>
      <c r="I30" t="s">
        <v>16</v>
      </c>
      <c r="J30" t="s">
        <v>2028</v>
      </c>
      <c r="K30" t="s">
        <v>2029</v>
      </c>
      <c r="L30" t="s">
        <v>2047</v>
      </c>
      <c r="M30">
        <f>VLOOKUP(SUBSTITUTE(J30,"'",""),Sheet1!L:M,2,FALSE)</f>
        <v>64100</v>
      </c>
    </row>
    <row r="31" spans="1:13" ht="13.5" customHeight="1" x14ac:dyDescent="0.4">
      <c r="A31" s="1">
        <v>45677</v>
      </c>
      <c r="B31" t="s">
        <v>885</v>
      </c>
      <c r="C31">
        <v>46.9</v>
      </c>
      <c r="D31" s="2" t="s">
        <v>4615</v>
      </c>
      <c r="E31" t="s">
        <v>885</v>
      </c>
      <c r="F31" t="s">
        <v>108</v>
      </c>
      <c r="G31" s="2" t="s">
        <v>41</v>
      </c>
      <c r="H31">
        <v>10012</v>
      </c>
      <c r="I31" t="s">
        <v>16</v>
      </c>
      <c r="J31" t="s">
        <v>4616</v>
      </c>
      <c r="K31" t="s">
        <v>110</v>
      </c>
      <c r="L31" t="s">
        <v>4673</v>
      </c>
      <c r="M31">
        <f>VLOOKUP(SUBSTITUTE(J31,"'",""),Sheet1!L:M,2,FALSE)</f>
        <v>67500</v>
      </c>
    </row>
    <row r="32" spans="1:13" ht="13.5" customHeight="1" x14ac:dyDescent="0.4">
      <c r="A32" s="1">
        <v>45677</v>
      </c>
      <c r="B32" t="s">
        <v>3894</v>
      </c>
      <c r="C32">
        <v>8.5500000000000007</v>
      </c>
      <c r="D32" s="2" t="s">
        <v>4613</v>
      </c>
      <c r="E32" t="s">
        <v>3894</v>
      </c>
      <c r="F32" t="s">
        <v>2127</v>
      </c>
      <c r="G32" s="2" t="s">
        <v>41</v>
      </c>
      <c r="H32">
        <v>10003</v>
      </c>
      <c r="I32" t="s">
        <v>16</v>
      </c>
      <c r="J32" t="s">
        <v>4614</v>
      </c>
      <c r="K32" t="s">
        <v>37</v>
      </c>
      <c r="L32" t="s">
        <v>4673</v>
      </c>
      <c r="M32">
        <f>VLOOKUP(SUBSTITUTE(J32,"'",""),Sheet1!L:M,2,FALSE)</f>
        <v>54820</v>
      </c>
    </row>
    <row r="33" spans="1:13" ht="13.5" customHeight="1" x14ac:dyDescent="0.4">
      <c r="A33" s="1">
        <v>45677</v>
      </c>
      <c r="B33" t="s">
        <v>478</v>
      </c>
      <c r="C33">
        <v>41.72</v>
      </c>
      <c r="D33" s="2" t="s">
        <v>2023</v>
      </c>
      <c r="E33" t="s">
        <v>480</v>
      </c>
      <c r="F33" s="2" t="s">
        <v>481</v>
      </c>
      <c r="G33" s="2" t="s">
        <v>35</v>
      </c>
      <c r="H33">
        <v>94103</v>
      </c>
      <c r="I33" t="s">
        <v>16</v>
      </c>
      <c r="J33" t="s">
        <v>2024</v>
      </c>
      <c r="K33" t="s">
        <v>483</v>
      </c>
      <c r="L33" t="s">
        <v>2047</v>
      </c>
      <c r="M33">
        <f>VLOOKUP(SUBSTITUTE(J33,"'",""),Sheet1!L:M,2,FALSE)</f>
        <v>61130</v>
      </c>
    </row>
    <row r="34" spans="1:13" ht="13.5" customHeight="1" x14ac:dyDescent="0.4">
      <c r="A34" s="1">
        <v>45677</v>
      </c>
      <c r="B34" t="s">
        <v>478</v>
      </c>
      <c r="C34">
        <v>35.67</v>
      </c>
      <c r="D34" s="2" t="s">
        <v>2021</v>
      </c>
      <c r="E34" t="s">
        <v>480</v>
      </c>
      <c r="F34" s="2" t="s">
        <v>481</v>
      </c>
      <c r="G34" s="2" t="s">
        <v>35</v>
      </c>
      <c r="H34">
        <v>94103</v>
      </c>
      <c r="I34" t="s">
        <v>16</v>
      </c>
      <c r="J34" t="s">
        <v>2022</v>
      </c>
      <c r="K34" t="s">
        <v>483</v>
      </c>
      <c r="L34" t="s">
        <v>2047</v>
      </c>
      <c r="M34">
        <f>VLOOKUP(SUBSTITUTE(J34,"'",""),Sheet1!L:M,2,FALSE)</f>
        <v>61130</v>
      </c>
    </row>
    <row r="35" spans="1:13" ht="13.5" customHeight="1" x14ac:dyDescent="0.4">
      <c r="A35" s="1">
        <v>45677</v>
      </c>
      <c r="B35" t="s">
        <v>4572</v>
      </c>
      <c r="C35">
        <v>30</v>
      </c>
      <c r="D35" s="2" t="s">
        <v>4611</v>
      </c>
      <c r="E35" t="s">
        <v>4572</v>
      </c>
      <c r="F35" t="s">
        <v>4574</v>
      </c>
      <c r="G35" s="2" t="s">
        <v>4575</v>
      </c>
      <c r="H35" t="s">
        <v>4576</v>
      </c>
      <c r="I35" t="s">
        <v>16</v>
      </c>
      <c r="J35" t="s">
        <v>4612</v>
      </c>
      <c r="K35" t="s">
        <v>31</v>
      </c>
      <c r="L35" t="s">
        <v>4673</v>
      </c>
      <c r="M35">
        <f>VLOOKUP(SUBSTITUTE(J35,"'",""),Sheet1!L:M,2,FALSE)</f>
        <v>61131</v>
      </c>
    </row>
    <row r="36" spans="1:13" ht="13.5" customHeight="1" x14ac:dyDescent="0.4">
      <c r="A36" s="1">
        <v>45677</v>
      </c>
      <c r="B36" t="s">
        <v>4302</v>
      </c>
      <c r="C36">
        <v>-29.99</v>
      </c>
      <c r="D36" s="2" t="s">
        <v>4619</v>
      </c>
      <c r="E36" t="s">
        <v>4302</v>
      </c>
      <c r="F36" t="s">
        <v>4304</v>
      </c>
      <c r="G36" s="2" t="s">
        <v>4305</v>
      </c>
      <c r="H36">
        <v>60510</v>
      </c>
      <c r="I36" t="s">
        <v>16</v>
      </c>
      <c r="J36" t="s">
        <v>4620</v>
      </c>
      <c r="K36" t="s">
        <v>1218</v>
      </c>
      <c r="L36" t="s">
        <v>4673</v>
      </c>
      <c r="M36">
        <f>VLOOKUP(SUBSTITUTE(J36,"'",""),Sheet1!L:M,2,FALSE)</f>
        <v>54820</v>
      </c>
    </row>
    <row r="37" spans="1:13" ht="13.5" customHeight="1" x14ac:dyDescent="0.4">
      <c r="A37" s="1">
        <v>45677</v>
      </c>
      <c r="B37" t="s">
        <v>4302</v>
      </c>
      <c r="C37">
        <v>-65.36</v>
      </c>
      <c r="D37" s="2" t="s">
        <v>4617</v>
      </c>
      <c r="E37" t="s">
        <v>4302</v>
      </c>
      <c r="F37" t="s">
        <v>4304</v>
      </c>
      <c r="G37" s="2" t="s">
        <v>4305</v>
      </c>
      <c r="H37">
        <v>60510</v>
      </c>
      <c r="I37" t="s">
        <v>16</v>
      </c>
      <c r="J37" t="s">
        <v>4618</v>
      </c>
      <c r="K37" t="s">
        <v>1218</v>
      </c>
      <c r="L37" t="s">
        <v>4673</v>
      </c>
      <c r="M37">
        <f>VLOOKUP(SUBSTITUTE(J37,"'",""),Sheet1!L:M,2,FALSE)</f>
        <v>54820</v>
      </c>
    </row>
    <row r="38" spans="1:13" ht="13.5" customHeight="1" x14ac:dyDescent="0.4">
      <c r="A38" s="1">
        <v>45677</v>
      </c>
      <c r="B38" t="s">
        <v>4606</v>
      </c>
      <c r="C38">
        <v>37.83</v>
      </c>
      <c r="D38" s="2" t="s">
        <v>4607</v>
      </c>
      <c r="E38" t="s">
        <v>4606</v>
      </c>
      <c r="F38" s="2" t="s">
        <v>4608</v>
      </c>
      <c r="G38" s="2" t="s">
        <v>4609</v>
      </c>
      <c r="H38">
        <v>91789</v>
      </c>
      <c r="I38" t="s">
        <v>16</v>
      </c>
      <c r="J38" t="s">
        <v>4610</v>
      </c>
      <c r="K38" t="s">
        <v>2114</v>
      </c>
      <c r="L38" t="s">
        <v>4673</v>
      </c>
      <c r="M38">
        <f>VLOOKUP(SUBSTITUTE(J38,"'",""),Sheet1!L:M,2,FALSE)</f>
        <v>54820</v>
      </c>
    </row>
    <row r="39" spans="1:13" ht="13.5" customHeight="1" x14ac:dyDescent="0.4">
      <c r="A39" s="1">
        <v>45677</v>
      </c>
      <c r="B39" t="s">
        <v>2018</v>
      </c>
      <c r="C39">
        <v>38.94</v>
      </c>
      <c r="D39" s="2" t="s">
        <v>2019</v>
      </c>
      <c r="E39" t="s">
        <v>2018</v>
      </c>
      <c r="F39" t="s">
        <v>29</v>
      </c>
      <c r="G39" s="2" t="s">
        <v>414</v>
      </c>
      <c r="H39">
        <v>77389</v>
      </c>
      <c r="I39" t="s">
        <v>16</v>
      </c>
      <c r="J39" t="s">
        <v>2020</v>
      </c>
      <c r="K39" t="s">
        <v>61</v>
      </c>
      <c r="L39" t="s">
        <v>2047</v>
      </c>
      <c r="M39">
        <f>VLOOKUP(SUBSTITUTE(J39,"'",""),Sheet1!L:M,2,FALSE)</f>
        <v>63100</v>
      </c>
    </row>
    <row r="40" spans="1:13" ht="13.5" customHeight="1" x14ac:dyDescent="0.4">
      <c r="A40" s="1">
        <v>45678</v>
      </c>
      <c r="B40" t="s">
        <v>22</v>
      </c>
      <c r="C40">
        <v>-3000</v>
      </c>
      <c r="D40" t="s">
        <v>22</v>
      </c>
      <c r="E40" t="s">
        <v>22</v>
      </c>
      <c r="J40" t="s">
        <v>4604</v>
      </c>
      <c r="L40" t="s">
        <v>4673</v>
      </c>
      <c r="M40" t="e">
        <f>VLOOKUP(SUBSTITUTE(J40,"'",""),Sheet1!L:M,2,FALSE)</f>
        <v>#N/A</v>
      </c>
    </row>
    <row r="41" spans="1:13" ht="13.5" customHeight="1" x14ac:dyDescent="0.4">
      <c r="A41" s="1">
        <v>45678</v>
      </c>
      <c r="B41" t="s">
        <v>22</v>
      </c>
      <c r="C41">
        <v>-3000</v>
      </c>
      <c r="D41" t="s">
        <v>22</v>
      </c>
      <c r="E41" t="s">
        <v>22</v>
      </c>
      <c r="J41" t="s">
        <v>4605</v>
      </c>
      <c r="L41" t="s">
        <v>4673</v>
      </c>
      <c r="M41" t="e">
        <f>VLOOKUP(SUBSTITUTE(J41,"'",""),Sheet1!L:M,2,FALSE)</f>
        <v>#N/A</v>
      </c>
    </row>
    <row r="42" spans="1:13" ht="13.5" customHeight="1" x14ac:dyDescent="0.4">
      <c r="A42" s="1">
        <v>45678</v>
      </c>
      <c r="B42" t="s">
        <v>4302</v>
      </c>
      <c r="C42">
        <v>65.36</v>
      </c>
      <c r="D42" s="2" t="s">
        <v>4602</v>
      </c>
      <c r="E42" t="s">
        <v>4302</v>
      </c>
      <c r="F42" t="s">
        <v>4304</v>
      </c>
      <c r="G42" s="2" t="s">
        <v>4305</v>
      </c>
      <c r="H42">
        <v>60510</v>
      </c>
      <c r="I42" t="s">
        <v>16</v>
      </c>
      <c r="J42" t="s">
        <v>4603</v>
      </c>
      <c r="K42" t="s">
        <v>1218</v>
      </c>
      <c r="L42" t="s">
        <v>4673</v>
      </c>
      <c r="M42">
        <f>VLOOKUP(SUBSTITUTE(J42,"'",""),Sheet1!L:M,2,FALSE)</f>
        <v>54820</v>
      </c>
    </row>
    <row r="43" spans="1:13" ht="13.5" customHeight="1" x14ac:dyDescent="0.4">
      <c r="A43" s="1">
        <v>45679</v>
      </c>
      <c r="B43" t="s">
        <v>2012</v>
      </c>
      <c r="C43">
        <v>2500</v>
      </c>
      <c r="D43" s="2" t="s">
        <v>2013</v>
      </c>
      <c r="E43" t="s">
        <v>2012</v>
      </c>
      <c r="F43" t="s">
        <v>2014</v>
      </c>
      <c r="G43" s="2" t="s">
        <v>41</v>
      </c>
      <c r="H43">
        <v>10016</v>
      </c>
      <c r="I43" t="s">
        <v>16</v>
      </c>
      <c r="J43" t="s">
        <v>2015</v>
      </c>
      <c r="K43" t="s">
        <v>56</v>
      </c>
      <c r="L43" t="s">
        <v>2047</v>
      </c>
      <c r="M43">
        <f>VLOOKUP(SUBSTITUTE(J43,"'",""),Sheet1!L:M,2,FALSE)</f>
        <v>65505</v>
      </c>
    </row>
    <row r="44" spans="1:13" ht="13.5" customHeight="1" x14ac:dyDescent="0.4">
      <c r="A44" s="1">
        <v>45679</v>
      </c>
      <c r="B44" t="s">
        <v>32</v>
      </c>
      <c r="C44">
        <v>21.4</v>
      </c>
      <c r="D44" s="2" t="s">
        <v>2010</v>
      </c>
      <c r="E44" t="s">
        <v>32</v>
      </c>
      <c r="F44" s="2" t="s">
        <v>34</v>
      </c>
      <c r="G44" s="2" t="s">
        <v>35</v>
      </c>
      <c r="H44">
        <v>94110</v>
      </c>
      <c r="I44" t="s">
        <v>16</v>
      </c>
      <c r="J44" t="s">
        <v>2011</v>
      </c>
      <c r="K44" t="s">
        <v>37</v>
      </c>
      <c r="L44" t="s">
        <v>2047</v>
      </c>
      <c r="M44">
        <f>VLOOKUP(SUBSTITUTE(J44,"'",""),Sheet1!L:M,2,FALSE)</f>
        <v>64100</v>
      </c>
    </row>
    <row r="45" spans="1:13" ht="13.5" customHeight="1" x14ac:dyDescent="0.4">
      <c r="A45" s="1">
        <v>45679</v>
      </c>
      <c r="B45" t="s">
        <v>478</v>
      </c>
      <c r="C45">
        <v>29.62</v>
      </c>
      <c r="D45" s="2" t="s">
        <v>2016</v>
      </c>
      <c r="E45" t="s">
        <v>480</v>
      </c>
      <c r="F45" s="2" t="s">
        <v>481</v>
      </c>
      <c r="G45" s="2" t="s">
        <v>35</v>
      </c>
      <c r="H45">
        <v>94103</v>
      </c>
      <c r="I45" t="s">
        <v>16</v>
      </c>
      <c r="J45" t="s">
        <v>2017</v>
      </c>
      <c r="K45" t="s">
        <v>483</v>
      </c>
      <c r="L45" t="s">
        <v>2047</v>
      </c>
      <c r="M45">
        <f>VLOOKUP(SUBSTITUTE(J45,"'",""),Sheet1!L:M,2,FALSE)</f>
        <v>61130</v>
      </c>
    </row>
    <row r="46" spans="1:13" ht="13.5" customHeight="1" x14ac:dyDescent="0.4">
      <c r="A46" s="1">
        <v>45680</v>
      </c>
      <c r="B46" t="s">
        <v>2005</v>
      </c>
      <c r="C46">
        <v>320</v>
      </c>
      <c r="D46" s="2" t="s">
        <v>2006</v>
      </c>
      <c r="E46" t="s">
        <v>2005</v>
      </c>
      <c r="F46" t="s">
        <v>2007</v>
      </c>
      <c r="G46" s="2" t="s">
        <v>47</v>
      </c>
      <c r="H46" t="s">
        <v>2008</v>
      </c>
      <c r="I46" t="s">
        <v>16</v>
      </c>
      <c r="J46" t="s">
        <v>2009</v>
      </c>
      <c r="K46" t="s">
        <v>126</v>
      </c>
      <c r="L46" t="s">
        <v>2047</v>
      </c>
      <c r="M46">
        <f>VLOOKUP(SUBSTITUTE(J46,"'",""),Sheet1!L:M,2,FALSE)</f>
        <v>61215</v>
      </c>
    </row>
    <row r="47" spans="1:13" ht="13.5" customHeight="1" x14ac:dyDescent="0.4">
      <c r="A47" s="1">
        <v>45680</v>
      </c>
      <c r="B47" t="s">
        <v>3558</v>
      </c>
      <c r="C47">
        <v>29.64</v>
      </c>
      <c r="D47" s="2" t="s">
        <v>4600</v>
      </c>
      <c r="E47" t="s">
        <v>3558</v>
      </c>
      <c r="F47" s="2" t="s">
        <v>2785</v>
      </c>
      <c r="G47" s="2" t="s">
        <v>2786</v>
      </c>
      <c r="H47">
        <v>10011</v>
      </c>
      <c r="I47" t="s">
        <v>16</v>
      </c>
      <c r="J47" t="s">
        <v>4601</v>
      </c>
      <c r="K47" t="s">
        <v>1304</v>
      </c>
      <c r="L47" t="s">
        <v>4673</v>
      </c>
      <c r="M47">
        <f>VLOOKUP(SUBSTITUTE(J47,"'",""),Sheet1!L:M,2,FALSE)</f>
        <v>54820</v>
      </c>
    </row>
    <row r="48" spans="1:13" ht="13.5" customHeight="1" x14ac:dyDescent="0.4">
      <c r="A48" s="1">
        <v>45681</v>
      </c>
      <c r="B48" t="s">
        <v>1998</v>
      </c>
      <c r="C48">
        <v>816.56</v>
      </c>
      <c r="D48" s="2" t="s">
        <v>1999</v>
      </c>
      <c r="E48" t="s">
        <v>1998</v>
      </c>
      <c r="F48" t="s">
        <v>2000</v>
      </c>
      <c r="G48" s="2" t="s">
        <v>41</v>
      </c>
      <c r="H48">
        <v>10036</v>
      </c>
      <c r="I48" t="s">
        <v>16</v>
      </c>
      <c r="J48" t="s">
        <v>2001</v>
      </c>
      <c r="K48" t="s">
        <v>126</v>
      </c>
      <c r="L48" t="s">
        <v>2047</v>
      </c>
      <c r="M48">
        <f>VLOOKUP(SUBSTITUTE(J48,"'",""),Sheet1!L:M,2,FALSE)</f>
        <v>61215</v>
      </c>
    </row>
    <row r="49" spans="1:13" ht="13.5" customHeight="1" x14ac:dyDescent="0.4">
      <c r="A49" s="1">
        <v>45681</v>
      </c>
      <c r="B49" t="s">
        <v>2142</v>
      </c>
      <c r="C49">
        <v>99.96</v>
      </c>
      <c r="D49" s="2" t="s">
        <v>4594</v>
      </c>
      <c r="E49" t="s">
        <v>2142</v>
      </c>
      <c r="F49" t="s">
        <v>2144</v>
      </c>
      <c r="G49" s="2" t="s">
        <v>41</v>
      </c>
      <c r="H49">
        <v>10012</v>
      </c>
      <c r="I49" t="s">
        <v>16</v>
      </c>
      <c r="J49" t="s">
        <v>4595</v>
      </c>
      <c r="K49" t="s">
        <v>1304</v>
      </c>
      <c r="L49" t="s">
        <v>4673</v>
      </c>
      <c r="M49">
        <f>VLOOKUP(SUBSTITUTE(J49,"'",""),Sheet1!L:M,2,FALSE)</f>
        <v>54820</v>
      </c>
    </row>
    <row r="50" spans="1:13" ht="13.5" customHeight="1" x14ac:dyDescent="0.4">
      <c r="A50" s="1">
        <v>45681</v>
      </c>
      <c r="B50" t="s">
        <v>2002</v>
      </c>
      <c r="C50">
        <v>43.68</v>
      </c>
      <c r="D50" s="2" t="s">
        <v>2003</v>
      </c>
      <c r="E50" t="s">
        <v>2002</v>
      </c>
      <c r="F50" t="s">
        <v>29</v>
      </c>
      <c r="G50" t="e">
        <f>-
TX</f>
        <v>#NAME?</v>
      </c>
      <c r="H50">
        <v>75231</v>
      </c>
      <c r="I50" t="s">
        <v>16</v>
      </c>
      <c r="J50" t="s">
        <v>2004</v>
      </c>
      <c r="K50" t="s">
        <v>61</v>
      </c>
      <c r="L50" t="s">
        <v>2047</v>
      </c>
      <c r="M50">
        <f>VLOOKUP(SUBSTITUTE(J50,"'",""),Sheet1!L:M,2,FALSE)</f>
        <v>63100</v>
      </c>
    </row>
    <row r="51" spans="1:13" ht="13.5" customHeight="1" x14ac:dyDescent="0.4">
      <c r="A51" s="1">
        <v>45681</v>
      </c>
      <c r="B51" t="s">
        <v>4470</v>
      </c>
      <c r="C51">
        <v>1045</v>
      </c>
      <c r="D51" s="2" t="s">
        <v>4598</v>
      </c>
      <c r="E51" t="s">
        <v>4470</v>
      </c>
      <c r="F51" t="s">
        <v>2936</v>
      </c>
      <c r="G51" s="2" t="s">
        <v>41</v>
      </c>
      <c r="H51">
        <v>10003</v>
      </c>
      <c r="I51" t="s">
        <v>16</v>
      </c>
      <c r="J51" t="s">
        <v>4599</v>
      </c>
      <c r="K51" t="s">
        <v>532</v>
      </c>
      <c r="L51" t="s">
        <v>4673</v>
      </c>
      <c r="M51">
        <f>VLOOKUP(SUBSTITUTE(J51,"'",""),Sheet1!L:M,2,FALSE)</f>
        <v>54820</v>
      </c>
    </row>
    <row r="52" spans="1:13" ht="13.5" customHeight="1" x14ac:dyDescent="0.4">
      <c r="A52" s="1">
        <v>45681</v>
      </c>
      <c r="B52" t="s">
        <v>2158</v>
      </c>
      <c r="C52">
        <v>200</v>
      </c>
      <c r="D52" s="2" t="s">
        <v>4596</v>
      </c>
      <c r="E52" t="s">
        <v>2158</v>
      </c>
      <c r="F52" s="2" t="s">
        <v>3032</v>
      </c>
      <c r="G52" s="2" t="s">
        <v>41</v>
      </c>
      <c r="H52">
        <v>10017</v>
      </c>
      <c r="I52" t="s">
        <v>16</v>
      </c>
      <c r="J52" t="s">
        <v>4597</v>
      </c>
      <c r="K52" t="s">
        <v>116</v>
      </c>
      <c r="L52" t="s">
        <v>4673</v>
      </c>
      <c r="M52">
        <f>VLOOKUP(SUBSTITUTE(J52,"'",""),Sheet1!L:M,2,FALSE)</f>
        <v>54820</v>
      </c>
    </row>
    <row r="53" spans="1:13" ht="13.5" customHeight="1" x14ac:dyDescent="0.4">
      <c r="A53" s="1">
        <v>45682</v>
      </c>
      <c r="B53" t="s">
        <v>2240</v>
      </c>
      <c r="C53">
        <v>152.76</v>
      </c>
      <c r="D53" s="2" t="s">
        <v>4592</v>
      </c>
      <c r="E53" t="s">
        <v>2240</v>
      </c>
      <c r="F53" t="s">
        <v>2242</v>
      </c>
      <c r="G53" s="2" t="s">
        <v>41</v>
      </c>
      <c r="H53">
        <v>10003</v>
      </c>
      <c r="I53" t="s">
        <v>16</v>
      </c>
      <c r="J53" t="s">
        <v>4593</v>
      </c>
      <c r="K53" t="s">
        <v>1218</v>
      </c>
      <c r="L53" t="s">
        <v>4673</v>
      </c>
      <c r="M53">
        <f>VLOOKUP(SUBSTITUTE(J53,"'",""),Sheet1!L:M,2,FALSE)</f>
        <v>54820</v>
      </c>
    </row>
    <row r="54" spans="1:13" ht="13.5" customHeight="1" x14ac:dyDescent="0.4">
      <c r="A54" s="1">
        <v>45682</v>
      </c>
      <c r="B54" t="s">
        <v>57</v>
      </c>
      <c r="C54">
        <v>35.619999999999997</v>
      </c>
      <c r="D54" s="2" t="s">
        <v>1996</v>
      </c>
      <c r="E54" t="s">
        <v>57</v>
      </c>
      <c r="F54" t="s">
        <v>59</v>
      </c>
      <c r="G54" s="2" t="s">
        <v>47</v>
      </c>
      <c r="H54">
        <v>12866</v>
      </c>
      <c r="I54" t="s">
        <v>16</v>
      </c>
      <c r="J54" t="s">
        <v>1997</v>
      </c>
      <c r="K54" t="s">
        <v>61</v>
      </c>
      <c r="L54" t="s">
        <v>2047</v>
      </c>
      <c r="M54">
        <f>VLOOKUP(SUBSTITUTE(J54,"'",""),Sheet1!L:M,2,FALSE)</f>
        <v>63100</v>
      </c>
    </row>
    <row r="55" spans="1:13" ht="13.5" customHeight="1" x14ac:dyDescent="0.4">
      <c r="A55" s="1">
        <v>45683</v>
      </c>
      <c r="B55" t="s">
        <v>22</v>
      </c>
      <c r="C55">
        <v>-21000</v>
      </c>
      <c r="D55" t="s">
        <v>22</v>
      </c>
      <c r="E55" t="s">
        <v>22</v>
      </c>
      <c r="J55" t="s">
        <v>4591</v>
      </c>
      <c r="L55" t="s">
        <v>4673</v>
      </c>
      <c r="M55" t="e">
        <f>VLOOKUP(SUBSTITUTE(J55,"'",""),Sheet1!L:M,2,FALSE)</f>
        <v>#N/A</v>
      </c>
    </row>
    <row r="56" spans="1:13" ht="13.5" customHeight="1" x14ac:dyDescent="0.4">
      <c r="A56" s="1">
        <v>45683</v>
      </c>
      <c r="B56" t="s">
        <v>1989</v>
      </c>
      <c r="C56">
        <v>9.99</v>
      </c>
      <c r="D56" s="2" t="s">
        <v>1990</v>
      </c>
      <c r="E56" t="s">
        <v>1989</v>
      </c>
      <c r="F56" t="s">
        <v>13</v>
      </c>
      <c r="G56" s="2" t="s">
        <v>14</v>
      </c>
      <c r="H56" t="s">
        <v>15</v>
      </c>
      <c r="I56" t="s">
        <v>16</v>
      </c>
      <c r="J56" t="s">
        <v>1991</v>
      </c>
      <c r="K56" t="s">
        <v>18</v>
      </c>
      <c r="L56" t="s">
        <v>2047</v>
      </c>
      <c r="M56">
        <f>VLOOKUP(SUBSTITUTE(J56,"'",""),Sheet1!L:M,2,FALSE)</f>
        <v>54820</v>
      </c>
    </row>
    <row r="57" spans="1:13" ht="13.5" customHeight="1" x14ac:dyDescent="0.4">
      <c r="A57" s="1">
        <v>45683</v>
      </c>
      <c r="B57" t="s">
        <v>1992</v>
      </c>
      <c r="C57">
        <v>338.76</v>
      </c>
      <c r="D57" s="2" t="s">
        <v>1993</v>
      </c>
      <c r="E57" t="s">
        <v>1992</v>
      </c>
      <c r="F57" t="s">
        <v>1994</v>
      </c>
      <c r="G57" s="2" t="s">
        <v>47</v>
      </c>
      <c r="H57">
        <v>12866</v>
      </c>
      <c r="I57" t="s">
        <v>16</v>
      </c>
      <c r="J57" t="s">
        <v>1995</v>
      </c>
      <c r="K57" t="s">
        <v>43</v>
      </c>
      <c r="L57" t="s">
        <v>2047</v>
      </c>
      <c r="M57">
        <f>VLOOKUP(SUBSTITUTE(J57,"'",""),Sheet1!L:M,2,FALSE)</f>
        <v>61131</v>
      </c>
    </row>
    <row r="58" spans="1:13" ht="13.5" customHeight="1" x14ac:dyDescent="0.4">
      <c r="A58" s="1">
        <v>45683</v>
      </c>
      <c r="B58" t="s">
        <v>1792</v>
      </c>
      <c r="C58">
        <v>16.05</v>
      </c>
      <c r="D58" s="2" t="s">
        <v>4589</v>
      </c>
      <c r="E58" t="s">
        <v>1792</v>
      </c>
      <c r="F58" t="s">
        <v>1794</v>
      </c>
      <c r="G58" s="2" t="s">
        <v>35</v>
      </c>
      <c r="H58">
        <v>94105</v>
      </c>
      <c r="I58" t="s">
        <v>16</v>
      </c>
      <c r="J58" t="s">
        <v>4590</v>
      </c>
      <c r="K58" t="s">
        <v>37</v>
      </c>
      <c r="L58" t="s">
        <v>4673</v>
      </c>
      <c r="M58">
        <f>VLOOKUP(SUBSTITUTE(J58,"'",""),Sheet1!L:M,2,FALSE)</f>
        <v>64100</v>
      </c>
    </row>
    <row r="59" spans="1:13" ht="13.5" customHeight="1" x14ac:dyDescent="0.4">
      <c r="A59" s="1">
        <v>45685</v>
      </c>
      <c r="B59" t="s">
        <v>4586</v>
      </c>
      <c r="C59">
        <v>65.36</v>
      </c>
      <c r="D59" s="2" t="s">
        <v>4587</v>
      </c>
      <c r="E59" t="s">
        <v>4586</v>
      </c>
      <c r="F59" t="s">
        <v>4304</v>
      </c>
      <c r="G59" s="2" t="s">
        <v>4305</v>
      </c>
      <c r="H59">
        <v>60510</v>
      </c>
      <c r="I59" t="s">
        <v>16</v>
      </c>
      <c r="J59" t="s">
        <v>4588</v>
      </c>
      <c r="K59" t="s">
        <v>1218</v>
      </c>
      <c r="L59" t="s">
        <v>4673</v>
      </c>
      <c r="M59">
        <f>VLOOKUP(SUBSTITUTE(J59,"'",""),Sheet1!L:M,2,FALSE)</f>
        <v>54820</v>
      </c>
    </row>
    <row r="60" spans="1:13" ht="13.5" customHeight="1" x14ac:dyDescent="0.4">
      <c r="A60" s="1">
        <v>45685</v>
      </c>
      <c r="B60" t="s">
        <v>1666</v>
      </c>
      <c r="C60">
        <v>24.95</v>
      </c>
      <c r="D60" s="2" t="s">
        <v>1983</v>
      </c>
      <c r="E60" t="s">
        <v>1666</v>
      </c>
      <c r="F60" s="2" t="s">
        <v>319</v>
      </c>
      <c r="G60" s="2" t="s">
        <v>41</v>
      </c>
      <c r="H60">
        <v>10285</v>
      </c>
      <c r="I60" t="s">
        <v>16</v>
      </c>
      <c r="J60" t="s">
        <v>1984</v>
      </c>
      <c r="K60" t="s">
        <v>321</v>
      </c>
      <c r="L60" t="s">
        <v>2047</v>
      </c>
      <c r="M60">
        <f>VLOOKUP(SUBSTITUTE(J60,"'",""),Sheet1!L:M,2,FALSE)</f>
        <v>61131</v>
      </c>
    </row>
    <row r="61" spans="1:13" ht="13.5" customHeight="1" x14ac:dyDescent="0.4">
      <c r="A61" s="1">
        <v>45685</v>
      </c>
      <c r="B61" t="s">
        <v>3558</v>
      </c>
      <c r="C61">
        <v>56.82</v>
      </c>
      <c r="D61" s="2" t="s">
        <v>4584</v>
      </c>
      <c r="E61" t="s">
        <v>3558</v>
      </c>
      <c r="F61" s="2" t="s">
        <v>2785</v>
      </c>
      <c r="G61" s="2" t="s">
        <v>2786</v>
      </c>
      <c r="H61">
        <v>10011</v>
      </c>
      <c r="I61" t="s">
        <v>16</v>
      </c>
      <c r="J61" t="s">
        <v>4585</v>
      </c>
      <c r="K61" t="s">
        <v>1304</v>
      </c>
      <c r="L61" t="s">
        <v>4673</v>
      </c>
      <c r="M61">
        <f>VLOOKUP(SUBSTITUTE(J61,"'",""),Sheet1!L:M,2,FALSE)</f>
        <v>54820</v>
      </c>
    </row>
    <row r="62" spans="1:13" ht="13.5" customHeight="1" x14ac:dyDescent="0.4">
      <c r="A62" s="1">
        <v>45685</v>
      </c>
      <c r="B62" t="s">
        <v>1985</v>
      </c>
      <c r="C62">
        <v>22.3</v>
      </c>
      <c r="D62" s="2" t="s">
        <v>1986</v>
      </c>
      <c r="E62" t="s">
        <v>1985</v>
      </c>
      <c r="F62" s="2" t="s">
        <v>1987</v>
      </c>
      <c r="G62" s="2" t="s">
        <v>41</v>
      </c>
      <c r="H62">
        <v>10001</v>
      </c>
      <c r="I62" t="s">
        <v>16</v>
      </c>
      <c r="J62" t="s">
        <v>1988</v>
      </c>
      <c r="K62" t="s">
        <v>126</v>
      </c>
      <c r="L62" t="s">
        <v>2047</v>
      </c>
      <c r="M62">
        <f>VLOOKUP(SUBSTITUTE(J62,"'",""),Sheet1!L:M,2,FALSE)</f>
        <v>61215</v>
      </c>
    </row>
    <row r="63" spans="1:13" ht="13.5" customHeight="1" x14ac:dyDescent="0.4">
      <c r="A63" s="1">
        <v>45686</v>
      </c>
      <c r="B63" t="s">
        <v>478</v>
      </c>
      <c r="C63">
        <v>31.2</v>
      </c>
      <c r="D63" s="2" t="s">
        <v>1981</v>
      </c>
      <c r="E63" t="s">
        <v>480</v>
      </c>
      <c r="F63" s="2" t="s">
        <v>481</v>
      </c>
      <c r="G63" s="2" t="s">
        <v>35</v>
      </c>
      <c r="H63">
        <v>94103</v>
      </c>
      <c r="I63" t="s">
        <v>16</v>
      </c>
      <c r="J63" t="s">
        <v>1982</v>
      </c>
      <c r="K63" t="s">
        <v>483</v>
      </c>
      <c r="L63" t="s">
        <v>2047</v>
      </c>
      <c r="M63">
        <f>VLOOKUP(SUBSTITUTE(J63,"'",""),Sheet1!L:M,2,FALSE)</f>
        <v>61130</v>
      </c>
    </row>
    <row r="64" spans="1:13" ht="13.5" customHeight="1" x14ac:dyDescent="0.4">
      <c r="A64" s="1">
        <v>45686</v>
      </c>
      <c r="B64" t="s">
        <v>2158</v>
      </c>
      <c r="C64">
        <v>200</v>
      </c>
      <c r="D64" s="2" t="s">
        <v>4582</v>
      </c>
      <c r="E64" t="s">
        <v>2158</v>
      </c>
      <c r="F64" s="2" t="s">
        <v>3032</v>
      </c>
      <c r="G64" s="2" t="s">
        <v>41</v>
      </c>
      <c r="H64">
        <v>10017</v>
      </c>
      <c r="I64" t="s">
        <v>16</v>
      </c>
      <c r="J64" t="s">
        <v>4583</v>
      </c>
      <c r="K64" t="s">
        <v>116</v>
      </c>
      <c r="L64" t="s">
        <v>4673</v>
      </c>
      <c r="M64">
        <f>VLOOKUP(SUBSTITUTE(J64,"'",""),Sheet1!L:M,2,FALSE)</f>
        <v>54820</v>
      </c>
    </row>
    <row r="65" spans="1:13" ht="13.5" customHeight="1" x14ac:dyDescent="0.4">
      <c r="A65" s="1">
        <v>45687</v>
      </c>
      <c r="B65" t="s">
        <v>1975</v>
      </c>
      <c r="C65">
        <v>29.99</v>
      </c>
      <c r="D65" s="2" t="s">
        <v>1976</v>
      </c>
      <c r="E65" t="s">
        <v>1975</v>
      </c>
      <c r="F65" t="s">
        <v>1977</v>
      </c>
      <c r="G65" s="2" t="s">
        <v>35</v>
      </c>
      <c r="H65">
        <v>94107</v>
      </c>
      <c r="I65" t="s">
        <v>16</v>
      </c>
      <c r="J65" t="s">
        <v>1978</v>
      </c>
      <c r="K65" t="s">
        <v>96</v>
      </c>
      <c r="L65" t="s">
        <v>2047</v>
      </c>
      <c r="M65">
        <f>VLOOKUP(SUBSTITUTE(J65,"'",""),Sheet1!L:M,2,FALSE)</f>
        <v>64200</v>
      </c>
    </row>
    <row r="66" spans="1:13" ht="13.5" customHeight="1" x14ac:dyDescent="0.4">
      <c r="A66" s="1">
        <v>45687</v>
      </c>
      <c r="B66" t="s">
        <v>885</v>
      </c>
      <c r="C66">
        <v>42.88</v>
      </c>
      <c r="D66" s="2" t="s">
        <v>4580</v>
      </c>
      <c r="E66" t="s">
        <v>885</v>
      </c>
      <c r="F66" t="s">
        <v>108</v>
      </c>
      <c r="G66" s="2" t="s">
        <v>41</v>
      </c>
      <c r="H66">
        <v>10012</v>
      </c>
      <c r="I66" t="s">
        <v>16</v>
      </c>
      <c r="J66" t="s">
        <v>4581</v>
      </c>
      <c r="K66" t="s">
        <v>110</v>
      </c>
      <c r="L66" t="s">
        <v>4673</v>
      </c>
      <c r="M66">
        <f>VLOOKUP(SUBSTITUTE(J66,"'",""),Sheet1!L:M,2,FALSE)</f>
        <v>67500</v>
      </c>
    </row>
    <row r="67" spans="1:13" ht="13.5" customHeight="1" x14ac:dyDescent="0.4">
      <c r="A67" s="1">
        <v>45687</v>
      </c>
      <c r="B67" t="s">
        <v>4572</v>
      </c>
      <c r="C67">
        <v>30</v>
      </c>
      <c r="D67" s="2" t="s">
        <v>4573</v>
      </c>
      <c r="E67" t="s">
        <v>4572</v>
      </c>
      <c r="F67" t="s">
        <v>4574</v>
      </c>
      <c r="G67" s="2" t="s">
        <v>4575</v>
      </c>
      <c r="H67" t="s">
        <v>4576</v>
      </c>
      <c r="I67" t="s">
        <v>16</v>
      </c>
      <c r="J67" t="s">
        <v>4577</v>
      </c>
      <c r="K67" t="s">
        <v>31</v>
      </c>
      <c r="L67" t="s">
        <v>4673</v>
      </c>
      <c r="M67">
        <f>VLOOKUP(SUBSTITUTE(J67,"'",""),Sheet1!L:M,2,FALSE)</f>
        <v>61131</v>
      </c>
    </row>
    <row r="68" spans="1:13" ht="13.5" customHeight="1" x14ac:dyDescent="0.4">
      <c r="A68" s="1">
        <v>45687</v>
      </c>
      <c r="B68" t="s">
        <v>478</v>
      </c>
      <c r="C68">
        <v>51.51</v>
      </c>
      <c r="D68" s="2" t="s">
        <v>1979</v>
      </c>
      <c r="E68" t="s">
        <v>480</v>
      </c>
      <c r="F68" s="2" t="s">
        <v>481</v>
      </c>
      <c r="G68" s="2" t="s">
        <v>35</v>
      </c>
      <c r="H68">
        <v>94103</v>
      </c>
      <c r="I68" t="s">
        <v>16</v>
      </c>
      <c r="J68" t="s">
        <v>1980</v>
      </c>
      <c r="K68" t="s">
        <v>483</v>
      </c>
      <c r="L68" t="s">
        <v>2047</v>
      </c>
      <c r="M68">
        <f>VLOOKUP(SUBSTITUTE(J68,"'",""),Sheet1!L:M,2,FALSE)</f>
        <v>61130</v>
      </c>
    </row>
    <row r="69" spans="1:13" ht="13.5" customHeight="1" x14ac:dyDescent="0.4">
      <c r="A69" s="1">
        <v>45687</v>
      </c>
      <c r="B69" t="s">
        <v>3151</v>
      </c>
      <c r="C69">
        <v>112.98</v>
      </c>
      <c r="D69" s="2" t="s">
        <v>4578</v>
      </c>
      <c r="E69" t="s">
        <v>3151</v>
      </c>
      <c r="F69" t="s">
        <v>2743</v>
      </c>
      <c r="G69" s="2" t="s">
        <v>41</v>
      </c>
      <c r="H69">
        <v>10003</v>
      </c>
      <c r="I69" t="s">
        <v>16</v>
      </c>
      <c r="J69" t="s">
        <v>4579</v>
      </c>
      <c r="K69" t="s">
        <v>207</v>
      </c>
      <c r="L69" t="s">
        <v>4673</v>
      </c>
      <c r="M69">
        <f>VLOOKUP(SUBSTITUTE(J69,"'",""),Sheet1!L:M,2,FALSE)</f>
        <v>54820</v>
      </c>
    </row>
    <row r="70" spans="1:13" ht="13.5" customHeight="1" x14ac:dyDescent="0.4">
      <c r="A70" s="1">
        <v>45688</v>
      </c>
      <c r="B70" t="s">
        <v>1431</v>
      </c>
      <c r="C70">
        <v>541</v>
      </c>
      <c r="D70" s="2" t="s">
        <v>1973</v>
      </c>
      <c r="E70" t="s">
        <v>1431</v>
      </c>
      <c r="F70" t="s">
        <v>1433</v>
      </c>
      <c r="G70" s="2" t="s">
        <v>41</v>
      </c>
      <c r="H70">
        <v>10013</v>
      </c>
      <c r="I70" t="s">
        <v>16</v>
      </c>
      <c r="J70" t="s">
        <v>1974</v>
      </c>
      <c r="K70" t="s">
        <v>126</v>
      </c>
      <c r="L70" t="s">
        <v>2047</v>
      </c>
      <c r="M70">
        <f>VLOOKUP(SUBSTITUTE(J70,"'",""),Sheet1!L:M,2,FALSE)</f>
        <v>61215</v>
      </c>
    </row>
    <row r="71" spans="1:13" ht="13.5" customHeight="1" x14ac:dyDescent="0.4">
      <c r="A71" s="1">
        <v>45689</v>
      </c>
      <c r="B71" t="s">
        <v>478</v>
      </c>
      <c r="C71">
        <v>28.96</v>
      </c>
      <c r="D71" s="2" t="s">
        <v>1969</v>
      </c>
      <c r="E71" t="s">
        <v>480</v>
      </c>
      <c r="F71" s="2" t="s">
        <v>481</v>
      </c>
      <c r="G71" s="2" t="s">
        <v>35</v>
      </c>
      <c r="H71">
        <v>94103</v>
      </c>
      <c r="I71" t="s">
        <v>16</v>
      </c>
      <c r="J71" t="s">
        <v>1970</v>
      </c>
      <c r="K71" t="s">
        <v>483</v>
      </c>
      <c r="L71" t="s">
        <v>2047</v>
      </c>
      <c r="M71">
        <f>VLOOKUP(SUBSTITUTE(J71,"'",""),Sheet1!L:M,2,FALSE)</f>
        <v>61130</v>
      </c>
    </row>
    <row r="72" spans="1:13" ht="13.5" customHeight="1" x14ac:dyDescent="0.4">
      <c r="A72" s="1">
        <v>45689</v>
      </c>
      <c r="B72" t="s">
        <v>234</v>
      </c>
      <c r="C72">
        <v>223.34</v>
      </c>
      <c r="D72" s="2" t="s">
        <v>1971</v>
      </c>
      <c r="E72" t="s">
        <v>236</v>
      </c>
      <c r="F72" t="s">
        <v>237</v>
      </c>
      <c r="G72" s="2" t="s">
        <v>238</v>
      </c>
      <c r="H72" t="s">
        <v>239</v>
      </c>
      <c r="I72" t="s">
        <v>16</v>
      </c>
      <c r="J72" t="s">
        <v>1972</v>
      </c>
      <c r="K72" t="s">
        <v>90</v>
      </c>
      <c r="L72" t="s">
        <v>2047</v>
      </c>
      <c r="M72">
        <f>VLOOKUP(SUBSTITUTE(J72,"'",""),Sheet1!L:M,2,FALSE)</f>
        <v>65700</v>
      </c>
    </row>
    <row r="73" spans="1:13" ht="13.5" customHeight="1" x14ac:dyDescent="0.4">
      <c r="A73" s="1">
        <v>45689</v>
      </c>
      <c r="B73" t="s">
        <v>2429</v>
      </c>
      <c r="C73">
        <v>2067.61</v>
      </c>
      <c r="D73" s="2" t="s">
        <v>4570</v>
      </c>
      <c r="E73" t="s">
        <v>2429</v>
      </c>
      <c r="F73" t="s">
        <v>13</v>
      </c>
      <c r="G73" s="2" t="s">
        <v>14</v>
      </c>
      <c r="H73">
        <v>98101</v>
      </c>
      <c r="I73" t="s">
        <v>16</v>
      </c>
      <c r="J73" t="s">
        <v>4571</v>
      </c>
      <c r="K73" t="s">
        <v>18</v>
      </c>
      <c r="L73" t="s">
        <v>4673</v>
      </c>
      <c r="M73">
        <f>VLOOKUP(SUBSTITUTE(J73,"'",""),Sheet1!L:M,2,FALSE)</f>
        <v>64101</v>
      </c>
    </row>
    <row r="74" spans="1:13" ht="13.5" customHeight="1" x14ac:dyDescent="0.4">
      <c r="A74" s="1">
        <v>45690</v>
      </c>
      <c r="B74" t="s">
        <v>478</v>
      </c>
      <c r="C74">
        <v>83.98</v>
      </c>
      <c r="D74" s="2" t="s">
        <v>1967</v>
      </c>
      <c r="E74" t="s">
        <v>480</v>
      </c>
      <c r="F74" s="2" t="s">
        <v>481</v>
      </c>
      <c r="G74" s="2" t="s">
        <v>35</v>
      </c>
      <c r="H74">
        <v>94103</v>
      </c>
      <c r="I74" t="s">
        <v>16</v>
      </c>
      <c r="J74" t="s">
        <v>1968</v>
      </c>
      <c r="K74" t="s">
        <v>483</v>
      </c>
      <c r="L74" t="s">
        <v>2047</v>
      </c>
      <c r="M74">
        <f>VLOOKUP(SUBSTITUTE(J74,"'",""),Sheet1!L:M,2,FALSE)</f>
        <v>61130</v>
      </c>
    </row>
    <row r="75" spans="1:13" ht="13.5" customHeight="1" x14ac:dyDescent="0.4">
      <c r="A75" s="1">
        <v>45690</v>
      </c>
      <c r="B75" t="s">
        <v>478</v>
      </c>
      <c r="C75">
        <v>62.63</v>
      </c>
      <c r="D75" s="2" t="s">
        <v>1965</v>
      </c>
      <c r="E75" t="s">
        <v>480</v>
      </c>
      <c r="F75" s="2" t="s">
        <v>481</v>
      </c>
      <c r="G75" s="2" t="s">
        <v>35</v>
      </c>
      <c r="H75">
        <v>94103</v>
      </c>
      <c r="I75" t="s">
        <v>16</v>
      </c>
      <c r="J75" t="s">
        <v>1966</v>
      </c>
      <c r="K75" t="s">
        <v>483</v>
      </c>
      <c r="L75" t="s">
        <v>2047</v>
      </c>
      <c r="M75">
        <f>VLOOKUP(SUBSTITUTE(J75,"'",""),Sheet1!L:M,2,FALSE)</f>
        <v>61130</v>
      </c>
    </row>
    <row r="76" spans="1:13" ht="13.5" customHeight="1" x14ac:dyDescent="0.4">
      <c r="A76" s="1">
        <v>45690</v>
      </c>
      <c r="B76" t="s">
        <v>1837</v>
      </c>
      <c r="C76">
        <v>23.75</v>
      </c>
      <c r="D76" s="2" t="s">
        <v>1963</v>
      </c>
      <c r="E76" t="s">
        <v>1837</v>
      </c>
      <c r="F76" t="s">
        <v>29</v>
      </c>
      <c r="G76" t="e">
        <f>-
NY</f>
        <v>#NAME?</v>
      </c>
      <c r="H76">
        <v>11577</v>
      </c>
      <c r="I76" t="s">
        <v>16</v>
      </c>
      <c r="J76" t="s">
        <v>1964</v>
      </c>
      <c r="K76" t="s">
        <v>31</v>
      </c>
      <c r="L76" t="s">
        <v>2047</v>
      </c>
      <c r="M76">
        <f>VLOOKUP(SUBSTITUTE(J76,"'",""),Sheet1!L:M,2,FALSE)</f>
        <v>61131</v>
      </c>
    </row>
    <row r="77" spans="1:13" ht="13.5" customHeight="1" x14ac:dyDescent="0.4">
      <c r="A77" s="1">
        <v>45690</v>
      </c>
      <c r="B77" t="s">
        <v>3428</v>
      </c>
      <c r="C77">
        <v>42.79</v>
      </c>
      <c r="D77" s="2" t="s">
        <v>4568</v>
      </c>
      <c r="E77" t="s">
        <v>3428</v>
      </c>
      <c r="F77" t="s">
        <v>3430</v>
      </c>
      <c r="G77" s="2" t="s">
        <v>3431</v>
      </c>
      <c r="H77">
        <v>94065</v>
      </c>
      <c r="I77" t="s">
        <v>16</v>
      </c>
      <c r="J77" t="s">
        <v>4569</v>
      </c>
      <c r="K77" t="s">
        <v>188</v>
      </c>
      <c r="L77" t="s">
        <v>4673</v>
      </c>
      <c r="M77">
        <f>VLOOKUP(SUBSTITUTE(J77,"'",""),Sheet1!L:M,2,FALSE)</f>
        <v>54820</v>
      </c>
    </row>
    <row r="78" spans="1:13" ht="13.5" customHeight="1" x14ac:dyDescent="0.4">
      <c r="A78" s="1">
        <v>45691</v>
      </c>
      <c r="B78" t="s">
        <v>478</v>
      </c>
      <c r="C78">
        <v>27.68</v>
      </c>
      <c r="D78" s="2" t="s">
        <v>1961</v>
      </c>
      <c r="E78" t="s">
        <v>480</v>
      </c>
      <c r="F78" s="2" t="s">
        <v>481</v>
      </c>
      <c r="G78" s="2" t="s">
        <v>35</v>
      </c>
      <c r="H78">
        <v>94103</v>
      </c>
      <c r="I78" t="s">
        <v>16</v>
      </c>
      <c r="J78" t="s">
        <v>1962</v>
      </c>
      <c r="K78" t="s">
        <v>483</v>
      </c>
      <c r="L78" t="s">
        <v>2047</v>
      </c>
      <c r="M78">
        <f>VLOOKUP(SUBSTITUTE(J78,"'",""),Sheet1!L:M,2,FALSE)</f>
        <v>61130</v>
      </c>
    </row>
    <row r="79" spans="1:13" ht="13.5" customHeight="1" x14ac:dyDescent="0.4">
      <c r="A79" s="1">
        <v>45691</v>
      </c>
      <c r="B79" t="s">
        <v>2400</v>
      </c>
      <c r="C79">
        <v>21.39</v>
      </c>
      <c r="D79" s="2" t="s">
        <v>2401</v>
      </c>
      <c r="E79" t="s">
        <v>2400</v>
      </c>
      <c r="F79" t="s">
        <v>2402</v>
      </c>
      <c r="G79" s="2" t="s">
        <v>41</v>
      </c>
      <c r="H79">
        <v>10019</v>
      </c>
      <c r="I79" t="s">
        <v>16</v>
      </c>
      <c r="J79" t="s">
        <v>4563</v>
      </c>
      <c r="K79" t="s">
        <v>110</v>
      </c>
      <c r="L79" t="s">
        <v>4673</v>
      </c>
      <c r="M79">
        <f>VLOOKUP(SUBSTITUTE(J79,"'",""),Sheet1!L:M,2,FALSE)</f>
        <v>67500</v>
      </c>
    </row>
    <row r="80" spans="1:13" ht="13.5" customHeight="1" x14ac:dyDescent="0.4">
      <c r="A80" s="1">
        <v>45691</v>
      </c>
      <c r="B80" t="s">
        <v>2240</v>
      </c>
      <c r="C80">
        <v>143.78</v>
      </c>
      <c r="D80" s="2" t="s">
        <v>4566</v>
      </c>
      <c r="E80" t="s">
        <v>2240</v>
      </c>
      <c r="F80" t="s">
        <v>2242</v>
      </c>
      <c r="G80" s="2" t="s">
        <v>41</v>
      </c>
      <c r="H80">
        <v>10003</v>
      </c>
      <c r="I80" t="s">
        <v>16</v>
      </c>
      <c r="J80" t="s">
        <v>4567</v>
      </c>
      <c r="K80" t="s">
        <v>1218</v>
      </c>
      <c r="L80" t="s">
        <v>4673</v>
      </c>
      <c r="M80">
        <f>VLOOKUP(SUBSTITUTE(J80,"'",""),Sheet1!L:M,2,FALSE)</f>
        <v>54820</v>
      </c>
    </row>
    <row r="81" spans="1:13" ht="13.5" customHeight="1" x14ac:dyDescent="0.4">
      <c r="A81" s="1">
        <v>45691</v>
      </c>
      <c r="B81" t="s">
        <v>2340</v>
      </c>
      <c r="C81">
        <v>9.3800000000000008</v>
      </c>
      <c r="D81" s="2" t="s">
        <v>4564</v>
      </c>
      <c r="E81" t="s">
        <v>2340</v>
      </c>
      <c r="F81" s="2" t="s">
        <v>2342</v>
      </c>
      <c r="G81" s="2" t="s">
        <v>14</v>
      </c>
      <c r="H81">
        <v>98119</v>
      </c>
      <c r="I81" t="s">
        <v>16</v>
      </c>
      <c r="J81" t="s">
        <v>4565</v>
      </c>
      <c r="K81" t="s">
        <v>96</v>
      </c>
      <c r="L81" t="s">
        <v>4673</v>
      </c>
      <c r="M81">
        <f>VLOOKUP(SUBSTITUTE(J81,"'",""),Sheet1!L:M,2,FALSE)</f>
        <v>65700</v>
      </c>
    </row>
    <row r="82" spans="1:13" ht="13.5" customHeight="1" x14ac:dyDescent="0.4">
      <c r="A82" s="1">
        <v>45691</v>
      </c>
      <c r="B82" t="s">
        <v>222</v>
      </c>
      <c r="C82">
        <v>79</v>
      </c>
      <c r="D82" s="2" t="s">
        <v>1959</v>
      </c>
      <c r="E82" t="s">
        <v>222</v>
      </c>
      <c r="F82" t="s">
        <v>224</v>
      </c>
      <c r="G82" s="2" t="s">
        <v>35</v>
      </c>
      <c r="H82">
        <v>94104</v>
      </c>
      <c r="I82" t="s">
        <v>16</v>
      </c>
      <c r="J82" t="s">
        <v>1960</v>
      </c>
      <c r="K82" t="s">
        <v>37</v>
      </c>
      <c r="L82" t="s">
        <v>2047</v>
      </c>
      <c r="M82">
        <f>VLOOKUP(SUBSTITUTE(J82,"'",""),Sheet1!L:M,2,FALSE)</f>
        <v>64200</v>
      </c>
    </row>
    <row r="83" spans="1:13" ht="13.5" customHeight="1" x14ac:dyDescent="0.4">
      <c r="A83" s="1">
        <v>45692</v>
      </c>
      <c r="B83" t="s">
        <v>478</v>
      </c>
      <c r="C83">
        <v>56.35</v>
      </c>
      <c r="D83" s="2" t="s">
        <v>1957</v>
      </c>
      <c r="E83" t="s">
        <v>480</v>
      </c>
      <c r="F83" s="2" t="s">
        <v>481</v>
      </c>
      <c r="G83" s="2" t="s">
        <v>35</v>
      </c>
      <c r="H83">
        <v>94103</v>
      </c>
      <c r="I83" t="s">
        <v>16</v>
      </c>
      <c r="J83" t="s">
        <v>1958</v>
      </c>
      <c r="K83" t="s">
        <v>483</v>
      </c>
      <c r="L83" t="s">
        <v>2047</v>
      </c>
      <c r="M83">
        <f>VLOOKUP(SUBSTITUTE(J83,"'",""),Sheet1!L:M,2,FALSE)</f>
        <v>61130</v>
      </c>
    </row>
    <row r="84" spans="1:13" ht="13.5" customHeight="1" x14ac:dyDescent="0.4">
      <c r="A84" s="1">
        <v>45692</v>
      </c>
      <c r="B84" t="s">
        <v>196</v>
      </c>
      <c r="C84">
        <v>7.99</v>
      </c>
      <c r="D84" s="2" t="s">
        <v>197</v>
      </c>
      <c r="E84" t="s">
        <v>196</v>
      </c>
      <c r="F84" t="s">
        <v>198</v>
      </c>
      <c r="G84" s="2" t="s">
        <v>199</v>
      </c>
      <c r="H84">
        <v>91608</v>
      </c>
      <c r="I84" t="s">
        <v>16</v>
      </c>
      <c r="J84" t="s">
        <v>1956</v>
      </c>
      <c r="K84" t="s">
        <v>201</v>
      </c>
      <c r="L84" t="s">
        <v>2047</v>
      </c>
      <c r="M84">
        <f>VLOOKUP(SUBSTITUTE(J84,"'",""),Sheet1!L:M,2,FALSE)</f>
        <v>54820</v>
      </c>
    </row>
    <row r="85" spans="1:13" ht="13.5" customHeight="1" x14ac:dyDescent="0.4">
      <c r="A85" s="1">
        <v>45692</v>
      </c>
      <c r="B85" t="s">
        <v>4302</v>
      </c>
      <c r="C85">
        <v>65.36</v>
      </c>
      <c r="D85" s="2" t="s">
        <v>4561</v>
      </c>
      <c r="E85" t="s">
        <v>4302</v>
      </c>
      <c r="F85" t="s">
        <v>4304</v>
      </c>
      <c r="G85" s="2" t="s">
        <v>4305</v>
      </c>
      <c r="H85">
        <v>60510</v>
      </c>
      <c r="I85" t="s">
        <v>16</v>
      </c>
      <c r="J85" t="s">
        <v>4562</v>
      </c>
      <c r="K85" t="s">
        <v>1218</v>
      </c>
      <c r="L85" t="s">
        <v>4673</v>
      </c>
      <c r="M85">
        <f>VLOOKUP(SUBSTITUTE(J85,"'",""),Sheet1!L:M,2,FALSE)</f>
        <v>54820</v>
      </c>
    </row>
    <row r="86" spans="1:13" ht="13.5" customHeight="1" x14ac:dyDescent="0.4">
      <c r="A86" s="1">
        <v>45692</v>
      </c>
      <c r="B86" t="s">
        <v>165</v>
      </c>
      <c r="C86">
        <v>26.76</v>
      </c>
      <c r="D86" s="2" t="s">
        <v>4549</v>
      </c>
      <c r="E86" t="s">
        <v>165</v>
      </c>
      <c r="F86" s="2" t="s">
        <v>167</v>
      </c>
      <c r="G86" s="2" t="s">
        <v>87</v>
      </c>
      <c r="H86">
        <v>75202</v>
      </c>
      <c r="I86" t="s">
        <v>16</v>
      </c>
      <c r="J86" t="s">
        <v>4550</v>
      </c>
      <c r="K86" t="s">
        <v>96</v>
      </c>
      <c r="L86" t="s">
        <v>4673</v>
      </c>
      <c r="M86">
        <f>VLOOKUP(SUBSTITUTE(J86,"'",""),Sheet1!L:M,2,FALSE)</f>
        <v>64100</v>
      </c>
    </row>
    <row r="87" spans="1:13" ht="13.5" customHeight="1" x14ac:dyDescent="0.4">
      <c r="A87" s="1">
        <v>45692</v>
      </c>
      <c r="B87" t="s">
        <v>165</v>
      </c>
      <c r="C87">
        <v>21.4</v>
      </c>
      <c r="D87" s="2" t="s">
        <v>4547</v>
      </c>
      <c r="E87" t="s">
        <v>165</v>
      </c>
      <c r="F87" s="2" t="s">
        <v>167</v>
      </c>
      <c r="G87" s="2" t="s">
        <v>87</v>
      </c>
      <c r="H87">
        <v>75202</v>
      </c>
      <c r="I87" t="s">
        <v>16</v>
      </c>
      <c r="J87" t="s">
        <v>4548</v>
      </c>
      <c r="K87" t="s">
        <v>96</v>
      </c>
      <c r="L87" t="s">
        <v>4673</v>
      </c>
      <c r="M87">
        <f>VLOOKUP(SUBSTITUTE(J87,"'",""),Sheet1!L:M,2,FALSE)</f>
        <v>64100</v>
      </c>
    </row>
    <row r="88" spans="1:13" ht="13.5" customHeight="1" x14ac:dyDescent="0.4">
      <c r="A88" s="1">
        <v>45692</v>
      </c>
      <c r="B88" t="s">
        <v>165</v>
      </c>
      <c r="C88">
        <v>32.07</v>
      </c>
      <c r="D88" s="2" t="s">
        <v>4551</v>
      </c>
      <c r="E88" t="s">
        <v>165</v>
      </c>
      <c r="F88" s="2" t="s">
        <v>167</v>
      </c>
      <c r="G88" s="2" t="s">
        <v>87</v>
      </c>
      <c r="H88">
        <v>75202</v>
      </c>
      <c r="I88" t="s">
        <v>16</v>
      </c>
      <c r="J88" t="s">
        <v>4552</v>
      </c>
      <c r="K88" t="s">
        <v>96</v>
      </c>
      <c r="L88" t="s">
        <v>4673</v>
      </c>
      <c r="M88">
        <f>VLOOKUP(SUBSTITUTE(J88,"'",""),Sheet1!L:M,2,FALSE)</f>
        <v>64100</v>
      </c>
    </row>
    <row r="89" spans="1:13" ht="13.5" customHeight="1" x14ac:dyDescent="0.4">
      <c r="A89" s="1">
        <v>45692</v>
      </c>
      <c r="B89" t="s">
        <v>165</v>
      </c>
      <c r="C89">
        <v>59.92</v>
      </c>
      <c r="D89" s="2" t="s">
        <v>4553</v>
      </c>
      <c r="E89" t="s">
        <v>165</v>
      </c>
      <c r="F89" s="2" t="s">
        <v>167</v>
      </c>
      <c r="G89" s="2" t="s">
        <v>87</v>
      </c>
      <c r="H89">
        <v>75202</v>
      </c>
      <c r="I89" t="s">
        <v>16</v>
      </c>
      <c r="J89" t="s">
        <v>4554</v>
      </c>
      <c r="K89" t="s">
        <v>96</v>
      </c>
      <c r="L89" t="s">
        <v>4673</v>
      </c>
      <c r="M89">
        <f>VLOOKUP(SUBSTITUTE(J89,"'",""),Sheet1!L:M,2,FALSE)</f>
        <v>64100</v>
      </c>
    </row>
    <row r="90" spans="1:13" ht="13.5" customHeight="1" x14ac:dyDescent="0.4">
      <c r="A90" s="1">
        <v>45692</v>
      </c>
      <c r="B90" t="s">
        <v>2390</v>
      </c>
      <c r="C90">
        <v>21.4</v>
      </c>
      <c r="D90" s="2" t="s">
        <v>4557</v>
      </c>
      <c r="E90" t="s">
        <v>2390</v>
      </c>
      <c r="F90" s="2" t="s">
        <v>167</v>
      </c>
      <c r="G90" s="2" t="s">
        <v>87</v>
      </c>
      <c r="H90">
        <v>75202</v>
      </c>
      <c r="I90" t="s">
        <v>16</v>
      </c>
      <c r="J90" t="s">
        <v>4558</v>
      </c>
      <c r="K90" t="s">
        <v>96</v>
      </c>
      <c r="L90" t="s">
        <v>4673</v>
      </c>
      <c r="M90">
        <f>VLOOKUP(SUBSTITUTE(J90,"'",""),Sheet1!L:M,2,FALSE)</f>
        <v>64100</v>
      </c>
    </row>
    <row r="91" spans="1:13" ht="13.5" customHeight="1" x14ac:dyDescent="0.4">
      <c r="A91" s="1">
        <v>45692</v>
      </c>
      <c r="B91" t="s">
        <v>165</v>
      </c>
      <c r="C91">
        <v>289.06</v>
      </c>
      <c r="D91" s="2" t="s">
        <v>4555</v>
      </c>
      <c r="E91" t="s">
        <v>165</v>
      </c>
      <c r="F91" s="2" t="s">
        <v>167</v>
      </c>
      <c r="G91" s="2" t="s">
        <v>87</v>
      </c>
      <c r="H91">
        <v>75202</v>
      </c>
      <c r="I91" t="s">
        <v>16</v>
      </c>
      <c r="J91" t="s">
        <v>4556</v>
      </c>
      <c r="K91" t="s">
        <v>96</v>
      </c>
      <c r="L91" t="s">
        <v>4673</v>
      </c>
      <c r="M91">
        <f>VLOOKUP(SUBSTITUTE(J91,"'",""),Sheet1!L:M,2,FALSE)</f>
        <v>64100</v>
      </c>
    </row>
    <row r="92" spans="1:13" ht="13.5" customHeight="1" x14ac:dyDescent="0.4">
      <c r="A92" s="1">
        <v>45692</v>
      </c>
      <c r="B92" t="s">
        <v>165</v>
      </c>
      <c r="C92">
        <v>24.62</v>
      </c>
      <c r="D92" s="2" t="s">
        <v>1952</v>
      </c>
      <c r="E92" t="s">
        <v>165</v>
      </c>
      <c r="F92" s="2" t="s">
        <v>167</v>
      </c>
      <c r="G92" s="2" t="s">
        <v>87</v>
      </c>
      <c r="H92">
        <v>75202</v>
      </c>
      <c r="I92" t="s">
        <v>16</v>
      </c>
      <c r="J92" t="s">
        <v>1953</v>
      </c>
      <c r="K92" t="s">
        <v>96</v>
      </c>
      <c r="L92" t="s">
        <v>2047</v>
      </c>
      <c r="M92">
        <f>VLOOKUP(SUBSTITUTE(J92,"'",""),Sheet1!L:M,2,FALSE)</f>
        <v>64100</v>
      </c>
    </row>
    <row r="93" spans="1:13" ht="13.5" customHeight="1" x14ac:dyDescent="0.4">
      <c r="A93" s="1">
        <v>45692</v>
      </c>
      <c r="B93" t="s">
        <v>2582</v>
      </c>
      <c r="C93">
        <v>56.67</v>
      </c>
      <c r="D93" s="2" t="s">
        <v>4559</v>
      </c>
      <c r="E93" t="s">
        <v>2582</v>
      </c>
      <c r="F93" t="s">
        <v>2584</v>
      </c>
      <c r="G93" s="2" t="s">
        <v>41</v>
      </c>
      <c r="H93">
        <v>10003</v>
      </c>
      <c r="I93" t="s">
        <v>16</v>
      </c>
      <c r="J93" t="s">
        <v>4560</v>
      </c>
      <c r="K93" t="s">
        <v>1390</v>
      </c>
      <c r="L93" t="s">
        <v>4673</v>
      </c>
      <c r="M93">
        <f>VLOOKUP(SUBSTITUTE(J93,"'",""),Sheet1!L:M,2,FALSE)</f>
        <v>54820</v>
      </c>
    </row>
    <row r="94" spans="1:13" ht="13.5" customHeight="1" x14ac:dyDescent="0.4">
      <c r="A94" s="1">
        <v>45692</v>
      </c>
      <c r="B94" t="s">
        <v>1412</v>
      </c>
      <c r="C94">
        <v>680</v>
      </c>
      <c r="D94" s="2" t="s">
        <v>1954</v>
      </c>
      <c r="E94" t="s">
        <v>1412</v>
      </c>
      <c r="F94" s="2" t="s">
        <v>1414</v>
      </c>
      <c r="G94" s="2" t="s">
        <v>41</v>
      </c>
      <c r="H94">
        <v>10004</v>
      </c>
      <c r="I94" t="s">
        <v>16</v>
      </c>
      <c r="J94" t="s">
        <v>1955</v>
      </c>
      <c r="K94" t="s">
        <v>126</v>
      </c>
      <c r="L94" t="s">
        <v>2047</v>
      </c>
      <c r="M94">
        <f>VLOOKUP(SUBSTITUTE(J94,"'",""),Sheet1!L:M,2,FALSE)</f>
        <v>61215</v>
      </c>
    </row>
    <row r="95" spans="1:13" ht="13.5" customHeight="1" x14ac:dyDescent="0.4">
      <c r="A95" s="1">
        <v>45693</v>
      </c>
      <c r="B95" t="s">
        <v>2303</v>
      </c>
      <c r="C95">
        <v>309.89999999999998</v>
      </c>
      <c r="D95" t="s">
        <v>2303</v>
      </c>
      <c r="E95" t="s">
        <v>2303</v>
      </c>
      <c r="J95" t="s">
        <v>4546</v>
      </c>
      <c r="K95" t="s">
        <v>21</v>
      </c>
      <c r="L95" t="s">
        <v>4673</v>
      </c>
      <c r="M95">
        <f>VLOOKUP(SUBSTITUTE(J95,"'",""),Sheet1!L:M,2,FALSE)</f>
        <v>80100</v>
      </c>
    </row>
    <row r="96" spans="1:13" ht="13.5" customHeight="1" x14ac:dyDescent="0.4">
      <c r="A96" s="1">
        <v>45693</v>
      </c>
      <c r="B96" t="s">
        <v>165</v>
      </c>
      <c r="C96">
        <v>24.62</v>
      </c>
      <c r="D96" s="2" t="s">
        <v>1942</v>
      </c>
      <c r="E96" t="s">
        <v>165</v>
      </c>
      <c r="F96" s="2" t="s">
        <v>167</v>
      </c>
      <c r="G96" s="2" t="s">
        <v>87</v>
      </c>
      <c r="H96">
        <v>75202</v>
      </c>
      <c r="I96" t="s">
        <v>16</v>
      </c>
      <c r="J96" t="s">
        <v>1943</v>
      </c>
      <c r="K96" t="s">
        <v>96</v>
      </c>
      <c r="L96" t="s">
        <v>2047</v>
      </c>
      <c r="M96">
        <f>VLOOKUP(SUBSTITUTE(J96,"'",""),Sheet1!L:M,2,FALSE)</f>
        <v>64100</v>
      </c>
    </row>
    <row r="97" spans="1:13" ht="13.5" customHeight="1" x14ac:dyDescent="0.4">
      <c r="A97" s="1">
        <v>45693</v>
      </c>
      <c r="B97" t="s">
        <v>517</v>
      </c>
      <c r="C97">
        <v>4</v>
      </c>
      <c r="D97" s="2" t="s">
        <v>1944</v>
      </c>
      <c r="E97" t="s">
        <v>517</v>
      </c>
      <c r="F97" t="s">
        <v>519</v>
      </c>
      <c r="G97" s="2" t="s">
        <v>35</v>
      </c>
      <c r="H97">
        <v>94107</v>
      </c>
      <c r="I97" t="s">
        <v>16</v>
      </c>
      <c r="J97" t="s">
        <v>1945</v>
      </c>
      <c r="K97" t="s">
        <v>96</v>
      </c>
      <c r="L97" t="s">
        <v>2047</v>
      </c>
      <c r="M97">
        <f>VLOOKUP(SUBSTITUTE(J97,"'",""),Sheet1!L:M,2,FALSE)</f>
        <v>64100</v>
      </c>
    </row>
    <row r="98" spans="1:13" ht="13.5" customHeight="1" x14ac:dyDescent="0.4">
      <c r="A98" s="1">
        <v>45693</v>
      </c>
      <c r="B98" t="s">
        <v>478</v>
      </c>
      <c r="C98">
        <v>39.520000000000003</v>
      </c>
      <c r="D98" s="2" t="s">
        <v>1948</v>
      </c>
      <c r="E98" t="s">
        <v>480</v>
      </c>
      <c r="F98" s="2" t="s">
        <v>481</v>
      </c>
      <c r="G98" s="2" t="s">
        <v>35</v>
      </c>
      <c r="H98">
        <v>94103</v>
      </c>
      <c r="I98" t="s">
        <v>16</v>
      </c>
      <c r="J98" t="s">
        <v>1949</v>
      </c>
      <c r="K98" t="s">
        <v>483</v>
      </c>
      <c r="L98" t="s">
        <v>2047</v>
      </c>
      <c r="M98">
        <f>VLOOKUP(SUBSTITUTE(J98,"'",""),Sheet1!L:M,2,FALSE)</f>
        <v>61130</v>
      </c>
    </row>
    <row r="99" spans="1:13" ht="13.5" customHeight="1" x14ac:dyDescent="0.4">
      <c r="A99" s="1">
        <v>45693</v>
      </c>
      <c r="B99" t="s">
        <v>478</v>
      </c>
      <c r="C99">
        <v>64.8</v>
      </c>
      <c r="D99" s="2" t="s">
        <v>1950</v>
      </c>
      <c r="E99" t="s">
        <v>480</v>
      </c>
      <c r="F99" s="2" t="s">
        <v>481</v>
      </c>
      <c r="G99" s="2" t="s">
        <v>35</v>
      </c>
      <c r="H99">
        <v>94103</v>
      </c>
      <c r="I99" t="s">
        <v>16</v>
      </c>
      <c r="J99" t="s">
        <v>1951</v>
      </c>
      <c r="K99" t="s">
        <v>483</v>
      </c>
      <c r="L99" t="s">
        <v>2047</v>
      </c>
      <c r="M99">
        <f>VLOOKUP(SUBSTITUTE(J99,"'",""),Sheet1!L:M,2,FALSE)</f>
        <v>61130</v>
      </c>
    </row>
    <row r="100" spans="1:13" ht="13.5" customHeight="1" x14ac:dyDescent="0.4">
      <c r="A100" s="1">
        <v>45693</v>
      </c>
      <c r="B100" t="s">
        <v>1714</v>
      </c>
      <c r="C100">
        <v>29.43</v>
      </c>
      <c r="D100" s="2" t="s">
        <v>1946</v>
      </c>
      <c r="E100" t="s">
        <v>1714</v>
      </c>
      <c r="F100" t="s">
        <v>1716</v>
      </c>
      <c r="G100" s="2" t="s">
        <v>41</v>
      </c>
      <c r="H100">
        <v>10018</v>
      </c>
      <c r="I100" t="s">
        <v>16</v>
      </c>
      <c r="J100" t="s">
        <v>1947</v>
      </c>
      <c r="K100" t="s">
        <v>1218</v>
      </c>
      <c r="L100" t="s">
        <v>2047</v>
      </c>
      <c r="M100">
        <f>VLOOKUP(SUBSTITUTE(J100,"'",""),Sheet1!L:M,2,FALSE)</f>
        <v>54820</v>
      </c>
    </row>
    <row r="101" spans="1:13" ht="13.5" customHeight="1" x14ac:dyDescent="0.4">
      <c r="A101" s="1">
        <v>45694</v>
      </c>
      <c r="B101" t="s">
        <v>1934</v>
      </c>
      <c r="C101">
        <v>459.68</v>
      </c>
      <c r="D101" s="2" t="s">
        <v>1935</v>
      </c>
      <c r="E101" t="s">
        <v>1934</v>
      </c>
      <c r="F101" t="s">
        <v>1936</v>
      </c>
      <c r="G101" s="2" t="s">
        <v>41</v>
      </c>
      <c r="H101">
        <v>10012</v>
      </c>
      <c r="I101" t="s">
        <v>16</v>
      </c>
      <c r="J101" t="s">
        <v>1937</v>
      </c>
      <c r="K101" t="s">
        <v>305</v>
      </c>
      <c r="L101" t="s">
        <v>2047</v>
      </c>
      <c r="M101">
        <f>VLOOKUP(SUBSTITUTE(J101,"'",""),Sheet1!L:M,2,FALSE)</f>
        <v>61215</v>
      </c>
    </row>
    <row r="102" spans="1:13" ht="13.5" customHeight="1" x14ac:dyDescent="0.4">
      <c r="A102" s="1">
        <v>45694</v>
      </c>
      <c r="B102" t="s">
        <v>2217</v>
      </c>
      <c r="C102">
        <v>11.33</v>
      </c>
      <c r="D102" s="2" t="s">
        <v>4542</v>
      </c>
      <c r="E102" t="s">
        <v>2217</v>
      </c>
      <c r="F102" t="s">
        <v>2219</v>
      </c>
      <c r="G102" s="2" t="s">
        <v>41</v>
      </c>
      <c r="H102">
        <v>10013</v>
      </c>
      <c r="I102" t="s">
        <v>16</v>
      </c>
      <c r="J102" t="s">
        <v>4543</v>
      </c>
      <c r="K102" t="s">
        <v>321</v>
      </c>
      <c r="L102" t="s">
        <v>4673</v>
      </c>
      <c r="M102">
        <f>VLOOKUP(SUBSTITUTE(J102,"'",""),Sheet1!L:M,2,FALSE)</f>
        <v>54820</v>
      </c>
    </row>
    <row r="103" spans="1:13" ht="13.5" customHeight="1" x14ac:dyDescent="0.4">
      <c r="A103" s="1">
        <v>45694</v>
      </c>
      <c r="B103" t="s">
        <v>478</v>
      </c>
      <c r="C103">
        <v>49.04</v>
      </c>
      <c r="D103" s="2" t="s">
        <v>1938</v>
      </c>
      <c r="E103" t="s">
        <v>480</v>
      </c>
      <c r="F103" s="2" t="s">
        <v>481</v>
      </c>
      <c r="G103" s="2" t="s">
        <v>35</v>
      </c>
      <c r="H103">
        <v>94103</v>
      </c>
      <c r="I103" t="s">
        <v>16</v>
      </c>
      <c r="J103" t="s">
        <v>1939</v>
      </c>
      <c r="K103" t="s">
        <v>483</v>
      </c>
      <c r="L103" t="s">
        <v>2047</v>
      </c>
      <c r="M103">
        <f>VLOOKUP(SUBSTITUTE(J103,"'",""),Sheet1!L:M,2,FALSE)</f>
        <v>61130</v>
      </c>
    </row>
    <row r="104" spans="1:13" ht="13.5" customHeight="1" x14ac:dyDescent="0.4">
      <c r="A104" s="1">
        <v>45694</v>
      </c>
      <c r="B104" t="s">
        <v>2354</v>
      </c>
      <c r="C104">
        <v>109.99</v>
      </c>
      <c r="D104" s="2" t="s">
        <v>4544</v>
      </c>
      <c r="E104" t="s">
        <v>2354</v>
      </c>
      <c r="F104" t="s">
        <v>2356</v>
      </c>
      <c r="G104" s="2" t="s">
        <v>2357</v>
      </c>
      <c r="H104">
        <v>63131</v>
      </c>
      <c r="I104" t="s">
        <v>16</v>
      </c>
      <c r="J104" t="s">
        <v>4545</v>
      </c>
      <c r="K104" t="s">
        <v>201</v>
      </c>
      <c r="L104" t="s">
        <v>4673</v>
      </c>
      <c r="M104">
        <f>VLOOKUP(SUBSTITUTE(J104,"'",""),Sheet1!L:M,2,FALSE)</f>
        <v>65700</v>
      </c>
    </row>
    <row r="105" spans="1:13" ht="13.5" customHeight="1" x14ac:dyDescent="0.4">
      <c r="A105" s="1">
        <v>45694</v>
      </c>
      <c r="B105" t="s">
        <v>478</v>
      </c>
      <c r="C105">
        <v>57.64</v>
      </c>
      <c r="D105" s="2" t="s">
        <v>1940</v>
      </c>
      <c r="E105" t="s">
        <v>480</v>
      </c>
      <c r="F105" s="2" t="s">
        <v>481</v>
      </c>
      <c r="G105" s="2" t="s">
        <v>35</v>
      </c>
      <c r="H105">
        <v>94103</v>
      </c>
      <c r="I105" t="s">
        <v>16</v>
      </c>
      <c r="J105" t="s">
        <v>1941</v>
      </c>
      <c r="K105" t="s">
        <v>483</v>
      </c>
      <c r="L105" t="s">
        <v>2047</v>
      </c>
      <c r="M105">
        <f>VLOOKUP(SUBSTITUTE(J105,"'",""),Sheet1!L:M,2,FALSE)</f>
        <v>61130</v>
      </c>
    </row>
    <row r="106" spans="1:13" ht="13.5" customHeight="1" x14ac:dyDescent="0.4">
      <c r="A106" s="1">
        <v>45694</v>
      </c>
      <c r="B106" t="s">
        <v>2670</v>
      </c>
      <c r="C106">
        <v>355.3</v>
      </c>
      <c r="D106" s="2" t="s">
        <v>4538</v>
      </c>
      <c r="E106" t="s">
        <v>2670</v>
      </c>
      <c r="F106" s="2" t="s">
        <v>2672</v>
      </c>
      <c r="G106" s="2" t="s">
        <v>41</v>
      </c>
      <c r="H106" t="s">
        <v>2673</v>
      </c>
      <c r="I106" t="s">
        <v>16</v>
      </c>
      <c r="J106" t="s">
        <v>4539</v>
      </c>
      <c r="K106" t="s">
        <v>110</v>
      </c>
      <c r="L106" t="s">
        <v>4673</v>
      </c>
      <c r="M106">
        <f>VLOOKUP(SUBSTITUTE(J106,"'",""),Sheet1!L:M,2,FALSE)</f>
        <v>54820</v>
      </c>
    </row>
    <row r="107" spans="1:13" ht="13.5" customHeight="1" x14ac:dyDescent="0.4">
      <c r="A107" s="1">
        <v>45694</v>
      </c>
      <c r="B107" t="s">
        <v>2158</v>
      </c>
      <c r="C107">
        <v>200</v>
      </c>
      <c r="D107" s="2" t="s">
        <v>4540</v>
      </c>
      <c r="E107" t="s">
        <v>2158</v>
      </c>
      <c r="F107" s="2" t="s">
        <v>3032</v>
      </c>
      <c r="G107" s="2" t="s">
        <v>41</v>
      </c>
      <c r="H107">
        <v>10017</v>
      </c>
      <c r="I107" t="s">
        <v>16</v>
      </c>
      <c r="J107" t="s">
        <v>4541</v>
      </c>
      <c r="K107" t="s">
        <v>116</v>
      </c>
      <c r="L107" t="s">
        <v>4673</v>
      </c>
      <c r="M107">
        <f>VLOOKUP(SUBSTITUTE(J107,"'",""),Sheet1!L:M,2,FALSE)</f>
        <v>54820</v>
      </c>
    </row>
    <row r="108" spans="1:13" ht="13.5" customHeight="1" x14ac:dyDescent="0.4">
      <c r="A108" s="1">
        <v>45695</v>
      </c>
      <c r="B108" t="s">
        <v>885</v>
      </c>
      <c r="C108">
        <v>35.700000000000003</v>
      </c>
      <c r="D108" s="2" t="s">
        <v>4534</v>
      </c>
      <c r="E108" t="s">
        <v>885</v>
      </c>
      <c r="F108" t="s">
        <v>108</v>
      </c>
      <c r="G108" s="2" t="s">
        <v>41</v>
      </c>
      <c r="H108">
        <v>10012</v>
      </c>
      <c r="I108" t="s">
        <v>16</v>
      </c>
      <c r="J108" t="s">
        <v>4535</v>
      </c>
      <c r="K108" t="s">
        <v>110</v>
      </c>
      <c r="L108" t="s">
        <v>4673</v>
      </c>
      <c r="M108">
        <f>VLOOKUP(SUBSTITUTE(J108,"'",""),Sheet1!L:M,2,FALSE)</f>
        <v>67500</v>
      </c>
    </row>
    <row r="109" spans="1:13" ht="13.5" customHeight="1" x14ac:dyDescent="0.4">
      <c r="A109" s="1">
        <v>45695</v>
      </c>
      <c r="B109" t="s">
        <v>478</v>
      </c>
      <c r="C109">
        <v>47.71</v>
      </c>
      <c r="D109" s="2" t="s">
        <v>1932</v>
      </c>
      <c r="E109" t="s">
        <v>480</v>
      </c>
      <c r="F109" s="2" t="s">
        <v>481</v>
      </c>
      <c r="G109" s="2" t="s">
        <v>35</v>
      </c>
      <c r="H109">
        <v>94103</v>
      </c>
      <c r="I109" t="s">
        <v>16</v>
      </c>
      <c r="J109" t="s">
        <v>1933</v>
      </c>
      <c r="K109" t="s">
        <v>483</v>
      </c>
      <c r="L109" t="s">
        <v>2047</v>
      </c>
      <c r="M109">
        <f>VLOOKUP(SUBSTITUTE(J109,"'",""),Sheet1!L:M,2,FALSE)</f>
        <v>61130</v>
      </c>
    </row>
    <row r="110" spans="1:13" ht="13.5" customHeight="1" x14ac:dyDescent="0.4">
      <c r="A110" s="1">
        <v>45695</v>
      </c>
      <c r="B110" t="s">
        <v>478</v>
      </c>
      <c r="C110">
        <v>40.869999999999997</v>
      </c>
      <c r="D110" s="2" t="s">
        <v>1930</v>
      </c>
      <c r="E110" t="s">
        <v>480</v>
      </c>
      <c r="F110" s="2" t="s">
        <v>481</v>
      </c>
      <c r="G110" s="2" t="s">
        <v>35</v>
      </c>
      <c r="H110">
        <v>94103</v>
      </c>
      <c r="I110" t="s">
        <v>16</v>
      </c>
      <c r="J110" t="s">
        <v>1931</v>
      </c>
      <c r="K110" t="s">
        <v>483</v>
      </c>
      <c r="L110" t="s">
        <v>2047</v>
      </c>
      <c r="M110">
        <f>VLOOKUP(SUBSTITUTE(J110,"'",""),Sheet1!L:M,2,FALSE)</f>
        <v>61130</v>
      </c>
    </row>
    <row r="111" spans="1:13" ht="13.5" customHeight="1" x14ac:dyDescent="0.4">
      <c r="A111" s="1">
        <v>45695</v>
      </c>
      <c r="B111" t="s">
        <v>165</v>
      </c>
      <c r="C111">
        <v>21.38</v>
      </c>
      <c r="D111" s="2" t="s">
        <v>1922</v>
      </c>
      <c r="E111" t="s">
        <v>165</v>
      </c>
      <c r="F111" s="2" t="s">
        <v>167</v>
      </c>
      <c r="G111" s="2" t="s">
        <v>87</v>
      </c>
      <c r="H111">
        <v>75202</v>
      </c>
      <c r="I111" t="s">
        <v>16</v>
      </c>
      <c r="J111" t="s">
        <v>1923</v>
      </c>
      <c r="K111" t="s">
        <v>96</v>
      </c>
      <c r="L111" t="s">
        <v>2047</v>
      </c>
      <c r="M111">
        <f>VLOOKUP(SUBSTITUTE(J111,"'",""),Sheet1!L:M,2,FALSE)</f>
        <v>64100</v>
      </c>
    </row>
    <row r="112" spans="1:13" ht="13.5" customHeight="1" x14ac:dyDescent="0.4">
      <c r="A112" s="1">
        <v>45695</v>
      </c>
      <c r="B112" t="s">
        <v>3428</v>
      </c>
      <c r="C112">
        <v>42.79</v>
      </c>
      <c r="D112" s="2" t="s">
        <v>4530</v>
      </c>
      <c r="E112" t="s">
        <v>3428</v>
      </c>
      <c r="F112" t="s">
        <v>3430</v>
      </c>
      <c r="G112" s="2" t="s">
        <v>3431</v>
      </c>
      <c r="H112">
        <v>94065</v>
      </c>
      <c r="I112" t="s">
        <v>16</v>
      </c>
      <c r="J112" t="s">
        <v>4531</v>
      </c>
      <c r="K112" t="s">
        <v>188</v>
      </c>
      <c r="L112" t="s">
        <v>4673</v>
      </c>
      <c r="M112">
        <f>VLOOKUP(SUBSTITUTE(J112,"'",""),Sheet1!L:M,2,FALSE)</f>
        <v>54820</v>
      </c>
    </row>
    <row r="113" spans="1:13" ht="13.5" customHeight="1" x14ac:dyDescent="0.4">
      <c r="A113" s="1">
        <v>45695</v>
      </c>
      <c r="B113" t="s">
        <v>260</v>
      </c>
      <c r="C113">
        <v>20.350000000000001</v>
      </c>
      <c r="D113" s="2" t="s">
        <v>1928</v>
      </c>
      <c r="E113" t="s">
        <v>260</v>
      </c>
      <c r="F113" t="s">
        <v>29</v>
      </c>
      <c r="G113" t="e">
        <f>-
TX</f>
        <v>#NAME?</v>
      </c>
      <c r="H113">
        <v>75231</v>
      </c>
      <c r="I113" t="s">
        <v>16</v>
      </c>
      <c r="J113" t="s">
        <v>1929</v>
      </c>
      <c r="K113" t="s">
        <v>61</v>
      </c>
      <c r="L113" t="s">
        <v>2047</v>
      </c>
      <c r="M113">
        <f>VLOOKUP(SUBSTITUTE(J113,"'",""),Sheet1!L:M,2,FALSE)</f>
        <v>63100</v>
      </c>
    </row>
    <row r="114" spans="1:13" ht="13.5" customHeight="1" x14ac:dyDescent="0.4">
      <c r="A114" s="1">
        <v>45695</v>
      </c>
      <c r="B114" t="s">
        <v>2240</v>
      </c>
      <c r="C114">
        <v>64.3</v>
      </c>
      <c r="D114" s="2" t="s">
        <v>4536</v>
      </c>
      <c r="E114" t="s">
        <v>2240</v>
      </c>
      <c r="F114" t="s">
        <v>2242</v>
      </c>
      <c r="G114" s="2" t="s">
        <v>41</v>
      </c>
      <c r="H114">
        <v>10003</v>
      </c>
      <c r="I114" t="s">
        <v>16</v>
      </c>
      <c r="J114" t="s">
        <v>4537</v>
      </c>
      <c r="K114" t="s">
        <v>1218</v>
      </c>
      <c r="L114" t="s">
        <v>4673</v>
      </c>
      <c r="M114">
        <f>VLOOKUP(SUBSTITUTE(J114,"'",""),Sheet1!L:M,2,FALSE)</f>
        <v>54820</v>
      </c>
    </row>
    <row r="115" spans="1:13" ht="13.5" customHeight="1" x14ac:dyDescent="0.4">
      <c r="A115" s="1">
        <v>45695</v>
      </c>
      <c r="B115" t="s">
        <v>1714</v>
      </c>
      <c r="C115">
        <v>38.97</v>
      </c>
      <c r="D115" s="2" t="s">
        <v>1926</v>
      </c>
      <c r="E115" t="s">
        <v>1714</v>
      </c>
      <c r="F115" t="s">
        <v>1716</v>
      </c>
      <c r="G115" s="2" t="s">
        <v>41</v>
      </c>
      <c r="H115">
        <v>10018</v>
      </c>
      <c r="I115" t="s">
        <v>16</v>
      </c>
      <c r="J115" t="s">
        <v>1927</v>
      </c>
      <c r="K115" t="s">
        <v>1218</v>
      </c>
      <c r="L115" t="s">
        <v>2047</v>
      </c>
      <c r="M115">
        <f>VLOOKUP(SUBSTITUTE(J115,"'",""),Sheet1!L:M,2,FALSE)</f>
        <v>54820</v>
      </c>
    </row>
    <row r="116" spans="1:13" ht="13.5" customHeight="1" x14ac:dyDescent="0.4">
      <c r="A116" s="1">
        <v>45695</v>
      </c>
      <c r="B116" t="s">
        <v>2311</v>
      </c>
      <c r="C116">
        <v>34.21</v>
      </c>
      <c r="D116" s="2" t="s">
        <v>4532</v>
      </c>
      <c r="E116" t="s">
        <v>2311</v>
      </c>
      <c r="F116" s="2" t="s">
        <v>2313</v>
      </c>
      <c r="G116" s="2" t="s">
        <v>2314</v>
      </c>
      <c r="H116" t="s">
        <v>2315</v>
      </c>
      <c r="I116" t="s">
        <v>16</v>
      </c>
      <c r="J116" t="s">
        <v>4533</v>
      </c>
      <c r="K116" t="s">
        <v>37</v>
      </c>
      <c r="L116" t="s">
        <v>4673</v>
      </c>
      <c r="M116">
        <f>VLOOKUP(SUBSTITUTE(J116,"'",""),Sheet1!L:M,2,FALSE)</f>
        <v>64100</v>
      </c>
    </row>
    <row r="117" spans="1:13" ht="13.5" customHeight="1" x14ac:dyDescent="0.4">
      <c r="A117" s="1">
        <v>45695</v>
      </c>
      <c r="B117" t="s">
        <v>2146</v>
      </c>
      <c r="C117">
        <v>41.72</v>
      </c>
      <c r="D117" s="2" t="s">
        <v>4528</v>
      </c>
      <c r="E117" t="s">
        <v>2146</v>
      </c>
      <c r="F117" t="s">
        <v>2148</v>
      </c>
      <c r="G117" s="2" t="s">
        <v>2149</v>
      </c>
      <c r="H117" s="3" t="s">
        <v>2150</v>
      </c>
      <c r="I117" t="s">
        <v>16</v>
      </c>
      <c r="J117" t="s">
        <v>4529</v>
      </c>
      <c r="K117" t="s">
        <v>1904</v>
      </c>
      <c r="L117" t="s">
        <v>4673</v>
      </c>
      <c r="M117">
        <f>VLOOKUP(SUBSTITUTE(J117,"'",""),Sheet1!L:M,2,FALSE)</f>
        <v>67500</v>
      </c>
    </row>
    <row r="118" spans="1:13" ht="13.5" customHeight="1" x14ac:dyDescent="0.4">
      <c r="A118" s="1">
        <v>45695</v>
      </c>
      <c r="B118" t="s">
        <v>169</v>
      </c>
      <c r="C118">
        <v>21.39</v>
      </c>
      <c r="D118" s="2" t="s">
        <v>1924</v>
      </c>
      <c r="E118" t="s">
        <v>169</v>
      </c>
      <c r="F118" s="2" t="s">
        <v>171</v>
      </c>
      <c r="G118" s="2" t="s">
        <v>172</v>
      </c>
      <c r="H118">
        <v>95035</v>
      </c>
      <c r="I118" t="s">
        <v>16</v>
      </c>
      <c r="J118" t="s">
        <v>1925</v>
      </c>
      <c r="K118" t="s">
        <v>174</v>
      </c>
      <c r="L118" t="s">
        <v>2047</v>
      </c>
      <c r="M118">
        <f>VLOOKUP(SUBSTITUTE(J118,"'",""),Sheet1!L:M,2,FALSE)</f>
        <v>64100</v>
      </c>
    </row>
    <row r="119" spans="1:13" ht="13.5" customHeight="1" x14ac:dyDescent="0.4">
      <c r="A119" s="1">
        <v>45696</v>
      </c>
      <c r="B119" t="s">
        <v>478</v>
      </c>
      <c r="C119">
        <v>40.93</v>
      </c>
      <c r="D119" s="2" t="s">
        <v>1918</v>
      </c>
      <c r="E119" t="s">
        <v>480</v>
      </c>
      <c r="F119" s="2" t="s">
        <v>481</v>
      </c>
      <c r="G119" s="2" t="s">
        <v>35</v>
      </c>
      <c r="H119">
        <v>94103</v>
      </c>
      <c r="I119" t="s">
        <v>16</v>
      </c>
      <c r="J119" t="s">
        <v>1919</v>
      </c>
      <c r="K119" t="s">
        <v>483</v>
      </c>
      <c r="L119" t="s">
        <v>2047</v>
      </c>
      <c r="M119">
        <f>VLOOKUP(SUBSTITUTE(J119,"'",""),Sheet1!L:M,2,FALSE)</f>
        <v>61130</v>
      </c>
    </row>
    <row r="120" spans="1:13" ht="13.5" customHeight="1" x14ac:dyDescent="0.4">
      <c r="A120" s="1">
        <v>45696</v>
      </c>
      <c r="B120" t="s">
        <v>478</v>
      </c>
      <c r="C120">
        <v>41.13</v>
      </c>
      <c r="D120" s="2" t="s">
        <v>1920</v>
      </c>
      <c r="E120" t="s">
        <v>480</v>
      </c>
      <c r="F120" s="2" t="s">
        <v>481</v>
      </c>
      <c r="G120" s="2" t="s">
        <v>35</v>
      </c>
      <c r="H120">
        <v>94103</v>
      </c>
      <c r="I120" t="s">
        <v>16</v>
      </c>
      <c r="J120" t="s">
        <v>1921</v>
      </c>
      <c r="K120" t="s">
        <v>483</v>
      </c>
      <c r="L120" t="s">
        <v>2047</v>
      </c>
      <c r="M120">
        <f>VLOOKUP(SUBSTITUTE(J120,"'",""),Sheet1!L:M,2,FALSE)</f>
        <v>61130</v>
      </c>
    </row>
    <row r="121" spans="1:13" ht="13.5" customHeight="1" x14ac:dyDescent="0.4">
      <c r="A121" s="1">
        <v>45696</v>
      </c>
      <c r="B121" t="s">
        <v>4524</v>
      </c>
      <c r="C121">
        <v>21</v>
      </c>
      <c r="D121" s="2" t="s">
        <v>4525</v>
      </c>
      <c r="E121" t="s">
        <v>4524</v>
      </c>
      <c r="F121" t="s">
        <v>4526</v>
      </c>
      <c r="G121" s="2" t="s">
        <v>41</v>
      </c>
      <c r="H121">
        <v>10001</v>
      </c>
      <c r="I121" t="s">
        <v>16</v>
      </c>
      <c r="J121" t="s">
        <v>4527</v>
      </c>
      <c r="K121" t="s">
        <v>1304</v>
      </c>
      <c r="L121" t="s">
        <v>4673</v>
      </c>
      <c r="M121">
        <f>VLOOKUP(SUBSTITUTE(J121,"'",""),Sheet1!L:M,2,FALSE)</f>
        <v>54820</v>
      </c>
    </row>
    <row r="122" spans="1:13" ht="13.5" customHeight="1" x14ac:dyDescent="0.4">
      <c r="A122" s="1">
        <v>45697</v>
      </c>
      <c r="B122" t="s">
        <v>153</v>
      </c>
      <c r="C122">
        <v>223.33</v>
      </c>
      <c r="D122" s="2" t="s">
        <v>1916</v>
      </c>
      <c r="E122" t="s">
        <v>153</v>
      </c>
      <c r="F122" t="s">
        <v>155</v>
      </c>
      <c r="G122" s="2" t="s">
        <v>156</v>
      </c>
      <c r="H122">
        <v>98052</v>
      </c>
      <c r="I122" t="s">
        <v>16</v>
      </c>
      <c r="J122" t="s">
        <v>1917</v>
      </c>
      <c r="K122" t="s">
        <v>96</v>
      </c>
      <c r="L122" t="s">
        <v>2047</v>
      </c>
      <c r="M122">
        <f>VLOOKUP(SUBSTITUTE(J122,"'",""),Sheet1!L:M,2,FALSE)</f>
        <v>64100</v>
      </c>
    </row>
    <row r="123" spans="1:13" ht="13.5" customHeight="1" x14ac:dyDescent="0.4">
      <c r="A123" s="1">
        <v>45697</v>
      </c>
      <c r="B123" t="s">
        <v>153</v>
      </c>
      <c r="C123">
        <v>165.48</v>
      </c>
      <c r="D123" s="2" t="s">
        <v>4520</v>
      </c>
      <c r="E123" t="s">
        <v>153</v>
      </c>
      <c r="F123" t="s">
        <v>155</v>
      </c>
      <c r="G123" s="2" t="s">
        <v>156</v>
      </c>
      <c r="H123">
        <v>98052</v>
      </c>
      <c r="I123" t="s">
        <v>16</v>
      </c>
      <c r="J123" t="s">
        <v>4521</v>
      </c>
      <c r="K123" t="s">
        <v>96</v>
      </c>
      <c r="L123" t="s">
        <v>4673</v>
      </c>
      <c r="M123">
        <f>VLOOKUP(SUBSTITUTE(J123,"'",""),Sheet1!L:M,2,FALSE)</f>
        <v>64100</v>
      </c>
    </row>
    <row r="124" spans="1:13" ht="13.5" customHeight="1" x14ac:dyDescent="0.4">
      <c r="A124" s="1">
        <v>45697</v>
      </c>
      <c r="B124" t="s">
        <v>1837</v>
      </c>
      <c r="C124">
        <v>9.15</v>
      </c>
      <c r="D124" s="2" t="s">
        <v>1914</v>
      </c>
      <c r="E124" t="s">
        <v>1837</v>
      </c>
      <c r="F124" t="s">
        <v>29</v>
      </c>
      <c r="G124" t="e">
        <f>-
NY</f>
        <v>#NAME?</v>
      </c>
      <c r="H124">
        <v>11577</v>
      </c>
      <c r="I124" t="s">
        <v>16</v>
      </c>
      <c r="J124" t="s">
        <v>1915</v>
      </c>
      <c r="K124" t="s">
        <v>31</v>
      </c>
      <c r="L124" t="s">
        <v>2047</v>
      </c>
      <c r="M124">
        <f>VLOOKUP(SUBSTITUTE(J124,"'",""),Sheet1!L:M,2,FALSE)</f>
        <v>61131</v>
      </c>
    </row>
    <row r="125" spans="1:13" ht="13.5" customHeight="1" x14ac:dyDescent="0.4">
      <c r="A125" s="1">
        <v>45697</v>
      </c>
      <c r="B125" t="s">
        <v>2240</v>
      </c>
      <c r="C125">
        <v>16.97</v>
      </c>
      <c r="D125" s="2" t="s">
        <v>4522</v>
      </c>
      <c r="E125" t="s">
        <v>2240</v>
      </c>
      <c r="F125" t="s">
        <v>2242</v>
      </c>
      <c r="G125" s="2" t="s">
        <v>41</v>
      </c>
      <c r="H125">
        <v>10003</v>
      </c>
      <c r="I125" t="s">
        <v>16</v>
      </c>
      <c r="J125" t="s">
        <v>4523</v>
      </c>
      <c r="K125" t="s">
        <v>1218</v>
      </c>
      <c r="L125" t="s">
        <v>4673</v>
      </c>
      <c r="M125">
        <f>VLOOKUP(SUBSTITUTE(J125,"'",""),Sheet1!L:M,2,FALSE)</f>
        <v>54820</v>
      </c>
    </row>
    <row r="126" spans="1:13" ht="13.5" customHeight="1" x14ac:dyDescent="0.4">
      <c r="A126" s="1">
        <v>45698</v>
      </c>
      <c r="B126" t="s">
        <v>38</v>
      </c>
      <c r="C126">
        <v>561.6</v>
      </c>
      <c r="D126" s="2" t="s">
        <v>1912</v>
      </c>
      <c r="E126" t="s">
        <v>38</v>
      </c>
      <c r="F126" t="s">
        <v>40</v>
      </c>
      <c r="G126" s="2" t="s">
        <v>41</v>
      </c>
      <c r="H126">
        <v>10012</v>
      </c>
      <c r="I126" t="s">
        <v>16</v>
      </c>
      <c r="J126" t="s">
        <v>1913</v>
      </c>
      <c r="K126" t="s">
        <v>43</v>
      </c>
      <c r="L126" t="s">
        <v>2047</v>
      </c>
      <c r="M126">
        <f>VLOOKUP(SUBSTITUTE(J126,"'",""),Sheet1!L:M,2,FALSE)</f>
        <v>61131</v>
      </c>
    </row>
    <row r="127" spans="1:13" ht="13.5" customHeight="1" x14ac:dyDescent="0.4">
      <c r="A127" s="1">
        <v>45699</v>
      </c>
      <c r="B127" t="s">
        <v>22</v>
      </c>
      <c r="C127">
        <v>-5000</v>
      </c>
      <c r="D127" t="s">
        <v>22</v>
      </c>
      <c r="E127" t="s">
        <v>22</v>
      </c>
      <c r="J127" t="s">
        <v>1911</v>
      </c>
      <c r="L127" t="s">
        <v>2047</v>
      </c>
      <c r="M127" t="e">
        <f>VLOOKUP(SUBSTITUTE(J127,"'",""),Sheet1!L:M,2,FALSE)</f>
        <v>#N/A</v>
      </c>
    </row>
    <row r="128" spans="1:13" ht="13.5" customHeight="1" x14ac:dyDescent="0.4">
      <c r="A128" s="1">
        <v>45699</v>
      </c>
      <c r="B128" t="s">
        <v>4302</v>
      </c>
      <c r="C128">
        <v>65.36</v>
      </c>
      <c r="D128" s="2" t="s">
        <v>4518</v>
      </c>
      <c r="E128" t="s">
        <v>4302</v>
      </c>
      <c r="F128" t="s">
        <v>4304</v>
      </c>
      <c r="G128" s="2" t="s">
        <v>4305</v>
      </c>
      <c r="H128">
        <v>60510</v>
      </c>
      <c r="I128" t="s">
        <v>16</v>
      </c>
      <c r="J128" t="s">
        <v>4519</v>
      </c>
      <c r="K128" t="s">
        <v>1218</v>
      </c>
      <c r="L128" t="s">
        <v>4673</v>
      </c>
      <c r="M128">
        <f>VLOOKUP(SUBSTITUTE(J128,"'",""),Sheet1!L:M,2,FALSE)</f>
        <v>54820</v>
      </c>
    </row>
    <row r="129" spans="1:13" ht="13.5" customHeight="1" x14ac:dyDescent="0.4">
      <c r="A129" s="1">
        <v>45699</v>
      </c>
      <c r="B129" t="s">
        <v>2259</v>
      </c>
      <c r="C129">
        <v>21.64</v>
      </c>
      <c r="D129" s="2" t="s">
        <v>4516</v>
      </c>
      <c r="E129" t="s">
        <v>2259</v>
      </c>
      <c r="F129" t="s">
        <v>2261</v>
      </c>
      <c r="G129" s="2" t="s">
        <v>14</v>
      </c>
      <c r="H129">
        <v>98103</v>
      </c>
      <c r="I129" t="s">
        <v>16</v>
      </c>
      <c r="J129" t="s">
        <v>4517</v>
      </c>
      <c r="K129" t="s">
        <v>1904</v>
      </c>
      <c r="L129" t="s">
        <v>4673</v>
      </c>
      <c r="M129">
        <f>VLOOKUP(SUBSTITUTE(J129,"'",""),Sheet1!L:M,2,FALSE)</f>
        <v>64100</v>
      </c>
    </row>
    <row r="130" spans="1:13" ht="13.5" customHeight="1" x14ac:dyDescent="0.4">
      <c r="A130" s="1">
        <v>45699</v>
      </c>
      <c r="B130" t="s">
        <v>458</v>
      </c>
      <c r="C130">
        <v>16.04</v>
      </c>
      <c r="D130" s="2" t="s">
        <v>1909</v>
      </c>
      <c r="E130" t="s">
        <v>458</v>
      </c>
      <c r="F130" t="s">
        <v>129</v>
      </c>
      <c r="G130" s="2" t="s">
        <v>130</v>
      </c>
      <c r="H130" t="s">
        <v>131</v>
      </c>
      <c r="I130" t="s">
        <v>16</v>
      </c>
      <c r="J130" t="s">
        <v>1910</v>
      </c>
      <c r="K130" t="s">
        <v>133</v>
      </c>
      <c r="L130" t="s">
        <v>2047</v>
      </c>
      <c r="M130">
        <f>VLOOKUP(SUBSTITUTE(J130,"'",""),Sheet1!L:M,2,FALSE)</f>
        <v>64100</v>
      </c>
    </row>
    <row r="131" spans="1:13" ht="13.5" customHeight="1" x14ac:dyDescent="0.4">
      <c r="A131" s="1">
        <v>45700</v>
      </c>
      <c r="B131" t="s">
        <v>478</v>
      </c>
      <c r="C131">
        <v>24.29</v>
      </c>
      <c r="D131" s="2" t="s">
        <v>1907</v>
      </c>
      <c r="E131" t="s">
        <v>480</v>
      </c>
      <c r="F131" s="2" t="s">
        <v>481</v>
      </c>
      <c r="G131" s="2" t="s">
        <v>35</v>
      </c>
      <c r="H131">
        <v>94103</v>
      </c>
      <c r="I131" t="s">
        <v>16</v>
      </c>
      <c r="J131" t="s">
        <v>1908</v>
      </c>
      <c r="K131" t="s">
        <v>483</v>
      </c>
      <c r="L131" t="s">
        <v>2047</v>
      </c>
      <c r="M131">
        <f>VLOOKUP(SUBSTITUTE(J131,"'",""),Sheet1!L:M,2,FALSE)</f>
        <v>61130</v>
      </c>
    </row>
    <row r="132" spans="1:13" ht="13.5" customHeight="1" x14ac:dyDescent="0.4">
      <c r="A132" s="1">
        <v>45700</v>
      </c>
      <c r="B132" t="s">
        <v>1666</v>
      </c>
      <c r="C132">
        <v>24.95</v>
      </c>
      <c r="D132" s="2" t="s">
        <v>1905</v>
      </c>
      <c r="E132" t="s">
        <v>1666</v>
      </c>
      <c r="F132" s="2" t="s">
        <v>319</v>
      </c>
      <c r="G132" s="2" t="s">
        <v>41</v>
      </c>
      <c r="H132">
        <v>10285</v>
      </c>
      <c r="I132" t="s">
        <v>16</v>
      </c>
      <c r="J132" t="s">
        <v>1906</v>
      </c>
      <c r="K132" t="s">
        <v>321</v>
      </c>
      <c r="L132" t="s">
        <v>2047</v>
      </c>
      <c r="M132">
        <f>VLOOKUP(SUBSTITUTE(J132,"'",""),Sheet1!L:M,2,FALSE)</f>
        <v>61131</v>
      </c>
    </row>
    <row r="133" spans="1:13" ht="13.5" customHeight="1" x14ac:dyDescent="0.4">
      <c r="A133" s="1">
        <v>45700</v>
      </c>
      <c r="B133" t="s">
        <v>2240</v>
      </c>
      <c r="C133">
        <v>20.7</v>
      </c>
      <c r="D133" s="2" t="s">
        <v>4514</v>
      </c>
      <c r="E133" t="s">
        <v>2240</v>
      </c>
      <c r="F133" t="s">
        <v>2242</v>
      </c>
      <c r="G133" s="2" t="s">
        <v>41</v>
      </c>
      <c r="H133">
        <v>10003</v>
      </c>
      <c r="I133" t="s">
        <v>16</v>
      </c>
      <c r="J133" t="s">
        <v>4515</v>
      </c>
      <c r="K133" t="s">
        <v>1218</v>
      </c>
      <c r="L133" t="s">
        <v>4673</v>
      </c>
      <c r="M133">
        <f>VLOOKUP(SUBSTITUTE(J133,"'",""),Sheet1!L:M,2,FALSE)</f>
        <v>54820</v>
      </c>
    </row>
    <row r="134" spans="1:13" ht="13.5" customHeight="1" x14ac:dyDescent="0.4">
      <c r="A134" s="1">
        <v>45700</v>
      </c>
      <c r="B134" t="s">
        <v>4509</v>
      </c>
      <c r="C134">
        <v>120</v>
      </c>
      <c r="D134" s="2" t="s">
        <v>4510</v>
      </c>
      <c r="E134" t="s">
        <v>4509</v>
      </c>
      <c r="F134" t="s">
        <v>4511</v>
      </c>
      <c r="G134" s="2" t="s">
        <v>4512</v>
      </c>
      <c r="H134">
        <v>37216</v>
      </c>
      <c r="I134" t="s">
        <v>16</v>
      </c>
      <c r="J134" t="s">
        <v>4513</v>
      </c>
      <c r="K134" t="s">
        <v>631</v>
      </c>
      <c r="L134" t="s">
        <v>4673</v>
      </c>
      <c r="M134">
        <f>VLOOKUP(SUBSTITUTE(J134,"'",""),Sheet1!L:M,2,FALSE)</f>
        <v>54820</v>
      </c>
    </row>
    <row r="135" spans="1:13" ht="13.5" customHeight="1" x14ac:dyDescent="0.4">
      <c r="A135" s="1">
        <v>45700</v>
      </c>
      <c r="B135" t="s">
        <v>1900</v>
      </c>
      <c r="C135">
        <v>148.72999999999999</v>
      </c>
      <c r="D135" s="2" t="s">
        <v>1901</v>
      </c>
      <c r="E135" t="s">
        <v>1900</v>
      </c>
      <c r="F135" t="s">
        <v>1902</v>
      </c>
      <c r="G135" s="2" t="s">
        <v>14</v>
      </c>
      <c r="H135">
        <v>98109</v>
      </c>
      <c r="I135" t="s">
        <v>16</v>
      </c>
      <c r="J135" t="s">
        <v>1903</v>
      </c>
      <c r="K135" t="s">
        <v>1904</v>
      </c>
      <c r="L135" t="s">
        <v>2047</v>
      </c>
      <c r="M135">
        <f>VLOOKUP(SUBSTITUTE(J135,"'",""),Sheet1!L:M,2,FALSE)</f>
        <v>54820</v>
      </c>
    </row>
    <row r="136" spans="1:13" ht="13.5" customHeight="1" x14ac:dyDescent="0.4">
      <c r="A136" s="1">
        <v>45700</v>
      </c>
      <c r="B136" t="s">
        <v>2246</v>
      </c>
      <c r="C136">
        <v>11.99</v>
      </c>
      <c r="D136" s="2" t="s">
        <v>4507</v>
      </c>
      <c r="E136" t="s">
        <v>2246</v>
      </c>
      <c r="F136" t="s">
        <v>2248</v>
      </c>
      <c r="G136" s="2" t="s">
        <v>2249</v>
      </c>
      <c r="H136">
        <v>94025</v>
      </c>
      <c r="I136" t="s">
        <v>16</v>
      </c>
      <c r="J136" t="s">
        <v>4508</v>
      </c>
      <c r="K136" t="s">
        <v>164</v>
      </c>
      <c r="L136" t="s">
        <v>4673</v>
      </c>
      <c r="M136">
        <f>VLOOKUP(SUBSTITUTE(J136,"'",""),Sheet1!L:M,2,FALSE)</f>
        <v>54820</v>
      </c>
    </row>
    <row r="137" spans="1:13" ht="13.5" customHeight="1" x14ac:dyDescent="0.4">
      <c r="A137" s="1">
        <v>45701</v>
      </c>
      <c r="B137" t="s">
        <v>4500</v>
      </c>
      <c r="C137">
        <v>106.99</v>
      </c>
      <c r="D137" s="2" t="s">
        <v>4501</v>
      </c>
      <c r="E137" t="s">
        <v>4500</v>
      </c>
      <c r="F137" s="2" t="s">
        <v>2233</v>
      </c>
      <c r="G137" s="2" t="s">
        <v>130</v>
      </c>
      <c r="H137" t="s">
        <v>2234</v>
      </c>
      <c r="I137" t="s">
        <v>16</v>
      </c>
      <c r="J137" t="s">
        <v>4502</v>
      </c>
      <c r="K137" t="s">
        <v>18</v>
      </c>
      <c r="L137" t="s">
        <v>4673</v>
      </c>
      <c r="M137">
        <f>VLOOKUP(SUBSTITUTE(J137,"'",""),Sheet1!L:M,2,FALSE)</f>
        <v>61100</v>
      </c>
    </row>
    <row r="138" spans="1:13" ht="13.5" customHeight="1" x14ac:dyDescent="0.4">
      <c r="A138" s="1">
        <v>45701</v>
      </c>
      <c r="B138" t="s">
        <v>1316</v>
      </c>
      <c r="C138">
        <v>192.47</v>
      </c>
      <c r="D138" s="2" t="s">
        <v>1898</v>
      </c>
      <c r="E138" t="s">
        <v>1316</v>
      </c>
      <c r="F138" s="2" t="s">
        <v>1318</v>
      </c>
      <c r="G138" s="2" t="s">
        <v>1319</v>
      </c>
      <c r="H138">
        <v>94103</v>
      </c>
      <c r="I138" t="s">
        <v>16</v>
      </c>
      <c r="J138" t="s">
        <v>1899</v>
      </c>
      <c r="K138" t="s">
        <v>126</v>
      </c>
      <c r="L138" t="s">
        <v>2047</v>
      </c>
      <c r="M138">
        <f>VLOOKUP(SUBSTITUTE(J138,"'",""),Sheet1!L:M,2,FALSE)</f>
        <v>54820</v>
      </c>
    </row>
    <row r="139" spans="1:13" ht="13.5" customHeight="1" x14ac:dyDescent="0.4">
      <c r="A139" s="1">
        <v>45701</v>
      </c>
      <c r="B139" t="s">
        <v>3682</v>
      </c>
      <c r="C139">
        <v>91.46</v>
      </c>
      <c r="D139" s="2" t="s">
        <v>4503</v>
      </c>
      <c r="E139" t="s">
        <v>3682</v>
      </c>
      <c r="F139" t="s">
        <v>3684</v>
      </c>
      <c r="G139" s="2" t="s">
        <v>3685</v>
      </c>
      <c r="H139" t="s">
        <v>3686</v>
      </c>
      <c r="I139" t="s">
        <v>16</v>
      </c>
      <c r="J139" t="s">
        <v>4504</v>
      </c>
      <c r="K139" t="s">
        <v>631</v>
      </c>
      <c r="L139" t="s">
        <v>4673</v>
      </c>
      <c r="M139">
        <f>VLOOKUP(SUBSTITUTE(J139,"'",""),Sheet1!L:M,2,FALSE)</f>
        <v>54820</v>
      </c>
    </row>
    <row r="140" spans="1:13" ht="13.5" customHeight="1" x14ac:dyDescent="0.4">
      <c r="A140" s="1">
        <v>45701</v>
      </c>
      <c r="B140" t="s">
        <v>3151</v>
      </c>
      <c r="C140">
        <v>62.06</v>
      </c>
      <c r="D140" s="2" t="s">
        <v>4505</v>
      </c>
      <c r="E140" t="s">
        <v>3151</v>
      </c>
      <c r="F140" t="s">
        <v>2743</v>
      </c>
      <c r="G140" s="2" t="s">
        <v>41</v>
      </c>
      <c r="H140">
        <v>10003</v>
      </c>
      <c r="I140" t="s">
        <v>16</v>
      </c>
      <c r="J140" t="s">
        <v>4506</v>
      </c>
      <c r="K140" t="s">
        <v>207</v>
      </c>
      <c r="L140" t="s">
        <v>4673</v>
      </c>
      <c r="M140">
        <f>VLOOKUP(SUBSTITUTE(J140,"'",""),Sheet1!L:M,2,FALSE)</f>
        <v>54820</v>
      </c>
    </row>
    <row r="141" spans="1:13" ht="13.5" customHeight="1" x14ac:dyDescent="0.4">
      <c r="A141" s="1">
        <v>45701</v>
      </c>
      <c r="B141" t="s">
        <v>1714</v>
      </c>
      <c r="C141">
        <v>21.56</v>
      </c>
      <c r="D141" s="2" t="s">
        <v>1896</v>
      </c>
      <c r="E141" t="s">
        <v>1714</v>
      </c>
      <c r="F141" t="s">
        <v>1716</v>
      </c>
      <c r="G141" s="2" t="s">
        <v>41</v>
      </c>
      <c r="H141">
        <v>10018</v>
      </c>
      <c r="I141" t="s">
        <v>16</v>
      </c>
      <c r="J141" t="s">
        <v>1897</v>
      </c>
      <c r="K141" t="s">
        <v>1218</v>
      </c>
      <c r="L141" t="s">
        <v>2047</v>
      </c>
      <c r="M141">
        <f>VLOOKUP(SUBSTITUTE(J141,"'",""),Sheet1!L:M,2,FALSE)</f>
        <v>54820</v>
      </c>
    </row>
    <row r="142" spans="1:13" ht="13.5" customHeight="1" x14ac:dyDescent="0.4">
      <c r="A142" s="1">
        <v>45702</v>
      </c>
      <c r="B142" t="s">
        <v>2344</v>
      </c>
      <c r="C142">
        <v>50.67</v>
      </c>
      <c r="D142" s="2" t="s">
        <v>4496</v>
      </c>
      <c r="E142" t="s">
        <v>2344</v>
      </c>
      <c r="F142" t="s">
        <v>2219</v>
      </c>
      <c r="G142" s="2" t="s">
        <v>41</v>
      </c>
      <c r="H142">
        <v>10013</v>
      </c>
      <c r="I142" t="s">
        <v>16</v>
      </c>
      <c r="J142" t="s">
        <v>4497</v>
      </c>
      <c r="K142" t="s">
        <v>321</v>
      </c>
      <c r="L142" t="s">
        <v>4673</v>
      </c>
      <c r="M142">
        <f>VLOOKUP(SUBSTITUTE(J142,"'",""),Sheet1!L:M,2,FALSE)</f>
        <v>54820</v>
      </c>
    </row>
    <row r="143" spans="1:13" ht="13.5" customHeight="1" x14ac:dyDescent="0.4">
      <c r="A143" s="1">
        <v>45702</v>
      </c>
      <c r="B143" t="s">
        <v>2222</v>
      </c>
      <c r="C143">
        <v>20.18</v>
      </c>
      <c r="D143" s="2" t="s">
        <v>4498</v>
      </c>
      <c r="E143" t="s">
        <v>2222</v>
      </c>
      <c r="F143" s="2" t="s">
        <v>2224</v>
      </c>
      <c r="G143" s="2" t="s">
        <v>35</v>
      </c>
      <c r="H143">
        <v>94103</v>
      </c>
      <c r="I143" t="s">
        <v>16</v>
      </c>
      <c r="J143" t="s">
        <v>4499</v>
      </c>
      <c r="K143" t="s">
        <v>164</v>
      </c>
      <c r="L143" t="s">
        <v>4673</v>
      </c>
      <c r="M143">
        <f>VLOOKUP(SUBSTITUTE(J143,"'",""),Sheet1!L:M,2,FALSE)</f>
        <v>54820</v>
      </c>
    </row>
    <row r="144" spans="1:13" ht="13.5" customHeight="1" x14ac:dyDescent="0.4">
      <c r="A144" s="1">
        <v>45702</v>
      </c>
      <c r="B144" t="s">
        <v>478</v>
      </c>
      <c r="C144">
        <v>51.8</v>
      </c>
      <c r="D144" s="2" t="s">
        <v>1894</v>
      </c>
      <c r="E144" t="s">
        <v>480</v>
      </c>
      <c r="F144" s="2" t="s">
        <v>481</v>
      </c>
      <c r="G144" s="2" t="s">
        <v>35</v>
      </c>
      <c r="H144">
        <v>94103</v>
      </c>
      <c r="I144" t="s">
        <v>16</v>
      </c>
      <c r="J144" t="s">
        <v>1895</v>
      </c>
      <c r="K144" t="s">
        <v>483</v>
      </c>
      <c r="L144" t="s">
        <v>2047</v>
      </c>
      <c r="M144">
        <f>VLOOKUP(SUBSTITUTE(J144,"'",""),Sheet1!L:M,2,FALSE)</f>
        <v>61130</v>
      </c>
    </row>
    <row r="145" spans="1:13" ht="13.5" customHeight="1" x14ac:dyDescent="0.4">
      <c r="A145" s="1">
        <v>45702</v>
      </c>
      <c r="B145" t="s">
        <v>1837</v>
      </c>
      <c r="C145">
        <v>4.24</v>
      </c>
      <c r="D145" s="2" t="s">
        <v>1888</v>
      </c>
      <c r="E145" t="s">
        <v>1837</v>
      </c>
      <c r="F145" t="s">
        <v>29</v>
      </c>
      <c r="G145" t="e">
        <f>-
NY</f>
        <v>#NAME?</v>
      </c>
      <c r="H145">
        <v>11577</v>
      </c>
      <c r="I145" t="s">
        <v>16</v>
      </c>
      <c r="J145" t="s">
        <v>1889</v>
      </c>
      <c r="K145" t="s">
        <v>31</v>
      </c>
      <c r="L145" t="s">
        <v>2047</v>
      </c>
      <c r="M145">
        <f>VLOOKUP(SUBSTITUTE(J145,"'",""),Sheet1!L:M,2,FALSE)</f>
        <v>61131</v>
      </c>
    </row>
    <row r="146" spans="1:13" ht="13.5" customHeight="1" x14ac:dyDescent="0.4">
      <c r="A146" s="1">
        <v>45702</v>
      </c>
      <c r="B146" t="s">
        <v>1890</v>
      </c>
      <c r="C146">
        <v>1400</v>
      </c>
      <c r="D146" s="2" t="s">
        <v>1891</v>
      </c>
      <c r="E146" t="s">
        <v>1890</v>
      </c>
      <c r="F146" t="s">
        <v>1892</v>
      </c>
      <c r="G146" s="2" t="s">
        <v>41</v>
      </c>
      <c r="H146">
        <v>10036</v>
      </c>
      <c r="I146" t="s">
        <v>16</v>
      </c>
      <c r="J146" t="s">
        <v>1893</v>
      </c>
      <c r="K146" t="s">
        <v>126</v>
      </c>
      <c r="L146" t="s">
        <v>2047</v>
      </c>
      <c r="M146">
        <f>VLOOKUP(SUBSTITUTE(J146,"'",""),Sheet1!L:M,2,FALSE)</f>
        <v>61215</v>
      </c>
    </row>
    <row r="147" spans="1:13" ht="13.5" customHeight="1" x14ac:dyDescent="0.4">
      <c r="A147" s="1">
        <v>45702</v>
      </c>
      <c r="B147" t="s">
        <v>83</v>
      </c>
      <c r="C147">
        <v>104.4</v>
      </c>
      <c r="D147" s="2" t="s">
        <v>1886</v>
      </c>
      <c r="E147" t="s">
        <v>315</v>
      </c>
      <c r="F147" s="2" t="s">
        <v>86</v>
      </c>
      <c r="G147" s="2" t="s">
        <v>87</v>
      </c>
      <c r="H147" t="s">
        <v>88</v>
      </c>
      <c r="I147" t="s">
        <v>16</v>
      </c>
      <c r="J147" t="s">
        <v>1887</v>
      </c>
      <c r="K147" t="s">
        <v>90</v>
      </c>
      <c r="L147" t="s">
        <v>2047</v>
      </c>
      <c r="M147">
        <f>VLOOKUP(SUBSTITUTE(J147,"'",""),Sheet1!L:M,2,FALSE)</f>
        <v>65700</v>
      </c>
    </row>
    <row r="148" spans="1:13" ht="13.5" customHeight="1" x14ac:dyDescent="0.4">
      <c r="A148" s="1">
        <v>45703</v>
      </c>
      <c r="B148" t="s">
        <v>478</v>
      </c>
      <c r="C148">
        <v>79.67</v>
      </c>
      <c r="D148" s="2" t="s">
        <v>1884</v>
      </c>
      <c r="E148" t="s">
        <v>480</v>
      </c>
      <c r="F148" s="2" t="s">
        <v>481</v>
      </c>
      <c r="G148" s="2" t="s">
        <v>35</v>
      </c>
      <c r="H148">
        <v>94103</v>
      </c>
      <c r="I148" t="s">
        <v>16</v>
      </c>
      <c r="J148" t="s">
        <v>1885</v>
      </c>
      <c r="K148" t="s">
        <v>483</v>
      </c>
      <c r="L148" t="s">
        <v>2047</v>
      </c>
      <c r="M148">
        <f>VLOOKUP(SUBSTITUTE(J148,"'",""),Sheet1!L:M,2,FALSE)</f>
        <v>61130</v>
      </c>
    </row>
    <row r="149" spans="1:13" ht="13.5" customHeight="1" x14ac:dyDescent="0.4">
      <c r="A149" s="1">
        <v>45703</v>
      </c>
      <c r="B149" t="s">
        <v>437</v>
      </c>
      <c r="C149">
        <v>10</v>
      </c>
      <c r="D149" s="2" t="s">
        <v>1882</v>
      </c>
      <c r="E149" t="s">
        <v>437</v>
      </c>
      <c r="F149" s="2" t="s">
        <v>80</v>
      </c>
      <c r="H149">
        <v>2150</v>
      </c>
      <c r="I149" t="s">
        <v>81</v>
      </c>
      <c r="J149" t="s">
        <v>1883</v>
      </c>
      <c r="K149" t="s">
        <v>37</v>
      </c>
      <c r="L149" t="s">
        <v>2047</v>
      </c>
      <c r="M149">
        <f>VLOOKUP(SUBSTITUTE(J149,"'",""),Sheet1!L:M,2,FALSE)</f>
        <v>64100</v>
      </c>
    </row>
    <row r="150" spans="1:13" ht="13.5" customHeight="1" x14ac:dyDescent="0.4">
      <c r="A150" s="1">
        <v>45704</v>
      </c>
      <c r="B150" t="s">
        <v>3894</v>
      </c>
      <c r="C150">
        <v>27.99</v>
      </c>
      <c r="D150" s="2" t="s">
        <v>4494</v>
      </c>
      <c r="E150" t="s">
        <v>3894</v>
      </c>
      <c r="F150" t="s">
        <v>2127</v>
      </c>
      <c r="G150" s="2" t="s">
        <v>41</v>
      </c>
      <c r="H150">
        <v>10003</v>
      </c>
      <c r="I150" t="s">
        <v>16</v>
      </c>
      <c r="J150" t="s">
        <v>4495</v>
      </c>
      <c r="K150" t="s">
        <v>37</v>
      </c>
      <c r="L150" t="s">
        <v>4673</v>
      </c>
      <c r="M150">
        <f>VLOOKUP(SUBSTITUTE(J150,"'",""),Sheet1!L:M,2,FALSE)</f>
        <v>54820</v>
      </c>
    </row>
    <row r="151" spans="1:13" ht="13.5" customHeight="1" x14ac:dyDescent="0.4">
      <c r="A151" s="1">
        <v>45704</v>
      </c>
      <c r="B151" t="s">
        <v>478</v>
      </c>
      <c r="C151">
        <v>30.89</v>
      </c>
      <c r="D151" s="2" t="s">
        <v>1876</v>
      </c>
      <c r="E151" t="s">
        <v>480</v>
      </c>
      <c r="F151" s="2" t="s">
        <v>481</v>
      </c>
      <c r="G151" s="2" t="s">
        <v>35</v>
      </c>
      <c r="H151">
        <v>94103</v>
      </c>
      <c r="I151" t="s">
        <v>16</v>
      </c>
      <c r="J151" t="s">
        <v>1877</v>
      </c>
      <c r="K151" t="s">
        <v>483</v>
      </c>
      <c r="L151" t="s">
        <v>2047</v>
      </c>
      <c r="M151">
        <f>VLOOKUP(SUBSTITUTE(J151,"'",""),Sheet1!L:M,2,FALSE)</f>
        <v>61130</v>
      </c>
    </row>
    <row r="152" spans="1:13" ht="13.5" customHeight="1" x14ac:dyDescent="0.4">
      <c r="A152" s="1">
        <v>45704</v>
      </c>
      <c r="B152" t="s">
        <v>478</v>
      </c>
      <c r="C152">
        <v>62.17</v>
      </c>
      <c r="D152" s="2" t="s">
        <v>1878</v>
      </c>
      <c r="E152" t="s">
        <v>480</v>
      </c>
      <c r="F152" s="2" t="s">
        <v>481</v>
      </c>
      <c r="G152" s="2" t="s">
        <v>35</v>
      </c>
      <c r="H152">
        <v>94103</v>
      </c>
      <c r="I152" t="s">
        <v>16</v>
      </c>
      <c r="J152" t="s">
        <v>1879</v>
      </c>
      <c r="K152" t="s">
        <v>483</v>
      </c>
      <c r="L152" t="s">
        <v>2047</v>
      </c>
      <c r="M152">
        <f>VLOOKUP(SUBSTITUTE(J152,"'",""),Sheet1!L:M,2,FALSE)</f>
        <v>61130</v>
      </c>
    </row>
    <row r="153" spans="1:13" ht="13.5" customHeight="1" x14ac:dyDescent="0.4">
      <c r="A153" s="1">
        <v>45704</v>
      </c>
      <c r="B153" t="s">
        <v>478</v>
      </c>
      <c r="C153">
        <v>63.85</v>
      </c>
      <c r="D153" s="2" t="s">
        <v>1880</v>
      </c>
      <c r="E153" t="s">
        <v>480</v>
      </c>
      <c r="F153" s="2" t="s">
        <v>481</v>
      </c>
      <c r="G153" s="2" t="s">
        <v>35</v>
      </c>
      <c r="H153">
        <v>94103</v>
      </c>
      <c r="I153" t="s">
        <v>16</v>
      </c>
      <c r="J153" t="s">
        <v>1881</v>
      </c>
      <c r="K153" t="s">
        <v>483</v>
      </c>
      <c r="L153" t="s">
        <v>2047</v>
      </c>
      <c r="M153">
        <f>VLOOKUP(SUBSTITUTE(J153,"'",""),Sheet1!L:M,2,FALSE)</f>
        <v>61130</v>
      </c>
    </row>
    <row r="154" spans="1:13" ht="13.5" customHeight="1" x14ac:dyDescent="0.4">
      <c r="A154" s="1">
        <v>45704</v>
      </c>
      <c r="B154" t="s">
        <v>4490</v>
      </c>
      <c r="C154">
        <v>19</v>
      </c>
      <c r="D154" s="2" t="s">
        <v>4491</v>
      </c>
      <c r="E154" t="s">
        <v>4490</v>
      </c>
      <c r="F154" t="s">
        <v>4492</v>
      </c>
      <c r="G154" s="2" t="s">
        <v>41</v>
      </c>
      <c r="H154">
        <v>10012</v>
      </c>
      <c r="I154" t="s">
        <v>16</v>
      </c>
      <c r="J154" t="s">
        <v>4493</v>
      </c>
      <c r="K154" t="s">
        <v>1304</v>
      </c>
      <c r="L154" t="s">
        <v>4673</v>
      </c>
      <c r="M154">
        <f>VLOOKUP(SUBSTITUTE(J154,"'",""),Sheet1!L:M,2,FALSE)</f>
        <v>54820</v>
      </c>
    </row>
    <row r="155" spans="1:13" ht="13.5" customHeight="1" x14ac:dyDescent="0.4">
      <c r="A155" s="1">
        <v>45704</v>
      </c>
      <c r="B155" t="s">
        <v>1872</v>
      </c>
      <c r="C155">
        <v>600</v>
      </c>
      <c r="D155" s="2" t="s">
        <v>1873</v>
      </c>
      <c r="E155" t="s">
        <v>1872</v>
      </c>
      <c r="F155" t="s">
        <v>1874</v>
      </c>
      <c r="G155" s="2" t="s">
        <v>41</v>
      </c>
      <c r="H155">
        <v>10014</v>
      </c>
      <c r="I155" t="s">
        <v>16</v>
      </c>
      <c r="J155" t="s">
        <v>1875</v>
      </c>
      <c r="K155" t="s">
        <v>126</v>
      </c>
      <c r="L155" t="s">
        <v>2047</v>
      </c>
      <c r="M155">
        <f>VLOOKUP(SUBSTITUTE(J155,"'",""),Sheet1!L:M,2,FALSE)</f>
        <v>61215</v>
      </c>
    </row>
    <row r="156" spans="1:13" ht="13.5" customHeight="1" x14ac:dyDescent="0.4">
      <c r="A156" s="1">
        <v>45705</v>
      </c>
      <c r="B156" t="s">
        <v>1756</v>
      </c>
      <c r="C156">
        <v>33.54</v>
      </c>
      <c r="D156" s="2" t="s">
        <v>1870</v>
      </c>
      <c r="E156" t="s">
        <v>1756</v>
      </c>
      <c r="F156" t="s">
        <v>29</v>
      </c>
      <c r="G156" t="e">
        <f>-
NY</f>
        <v>#NAME?</v>
      </c>
      <c r="H156">
        <v>11577</v>
      </c>
      <c r="I156" t="s">
        <v>16</v>
      </c>
      <c r="J156" t="s">
        <v>1871</v>
      </c>
      <c r="K156" t="s">
        <v>31</v>
      </c>
      <c r="L156" t="s">
        <v>2047</v>
      </c>
      <c r="M156">
        <f>VLOOKUP(SUBSTITUTE(J156,"'",""),Sheet1!L:M,2,FALSE)</f>
        <v>61131</v>
      </c>
    </row>
    <row r="157" spans="1:13" ht="13.5" customHeight="1" x14ac:dyDescent="0.4">
      <c r="A157" s="1">
        <v>45705</v>
      </c>
      <c r="B157" t="s">
        <v>2158</v>
      </c>
      <c r="C157">
        <v>200</v>
      </c>
      <c r="D157" s="2" t="s">
        <v>4488</v>
      </c>
      <c r="E157" t="s">
        <v>2158</v>
      </c>
      <c r="F157" s="2" t="s">
        <v>3032</v>
      </c>
      <c r="G157" s="2" t="s">
        <v>41</v>
      </c>
      <c r="H157">
        <v>10017</v>
      </c>
      <c r="I157" t="s">
        <v>16</v>
      </c>
      <c r="J157" t="s">
        <v>4489</v>
      </c>
      <c r="K157" t="s">
        <v>116</v>
      </c>
      <c r="L157" t="s">
        <v>4673</v>
      </c>
      <c r="M157">
        <f>VLOOKUP(SUBSTITUTE(J157,"'",""),Sheet1!L:M,2,FALSE)</f>
        <v>54820</v>
      </c>
    </row>
    <row r="158" spans="1:13" ht="13.5" customHeight="1" x14ac:dyDescent="0.4">
      <c r="A158" s="1">
        <v>45706</v>
      </c>
      <c r="B158" t="s">
        <v>4302</v>
      </c>
      <c r="C158">
        <v>78.95</v>
      </c>
      <c r="D158" s="2" t="s">
        <v>4486</v>
      </c>
      <c r="E158" t="s">
        <v>4302</v>
      </c>
      <c r="F158" t="s">
        <v>4304</v>
      </c>
      <c r="G158" s="2" t="s">
        <v>4305</v>
      </c>
      <c r="H158">
        <v>60510</v>
      </c>
      <c r="I158" t="s">
        <v>16</v>
      </c>
      <c r="J158" t="s">
        <v>4487</v>
      </c>
      <c r="K158" t="s">
        <v>1218</v>
      </c>
      <c r="L158" t="s">
        <v>4673</v>
      </c>
      <c r="M158">
        <f>VLOOKUP(SUBSTITUTE(J158,"'",""),Sheet1!L:M,2,FALSE)</f>
        <v>54820</v>
      </c>
    </row>
    <row r="159" spans="1:13" ht="13.5" customHeight="1" x14ac:dyDescent="0.4">
      <c r="A159" s="1">
        <v>45707</v>
      </c>
      <c r="B159" t="s">
        <v>4478</v>
      </c>
      <c r="C159">
        <v>19.260000000000002</v>
      </c>
      <c r="D159" s="2" t="s">
        <v>4479</v>
      </c>
      <c r="E159" t="s">
        <v>4478</v>
      </c>
      <c r="F159" t="s">
        <v>4480</v>
      </c>
      <c r="G159" s="2" t="s">
        <v>41</v>
      </c>
      <c r="H159">
        <v>10021</v>
      </c>
      <c r="I159" t="s">
        <v>16</v>
      </c>
      <c r="J159" t="s">
        <v>4481</v>
      </c>
      <c r="K159" t="s">
        <v>305</v>
      </c>
      <c r="L159" t="s">
        <v>4673</v>
      </c>
      <c r="M159">
        <f>VLOOKUP(SUBSTITUTE(J159,"'",""),Sheet1!L:M,2,FALSE)</f>
        <v>54820</v>
      </c>
    </row>
    <row r="160" spans="1:13" ht="13.5" customHeight="1" x14ac:dyDescent="0.4">
      <c r="A160" s="1">
        <v>45707</v>
      </c>
      <c r="B160" t="s">
        <v>4482</v>
      </c>
      <c r="C160">
        <v>88.98</v>
      </c>
      <c r="D160" s="2" t="s">
        <v>4483</v>
      </c>
      <c r="E160" t="s">
        <v>4482</v>
      </c>
      <c r="F160" t="s">
        <v>4484</v>
      </c>
      <c r="G160" s="2" t="s">
        <v>41</v>
      </c>
      <c r="H160">
        <v>10065</v>
      </c>
      <c r="I160" t="s">
        <v>16</v>
      </c>
      <c r="J160" t="s">
        <v>4485</v>
      </c>
      <c r="K160" t="s">
        <v>207</v>
      </c>
      <c r="L160" t="s">
        <v>4673</v>
      </c>
      <c r="M160">
        <f>VLOOKUP(SUBSTITUTE(J160,"'",""),Sheet1!L:M,2,FALSE)</f>
        <v>54820</v>
      </c>
    </row>
    <row r="161" spans="1:13" ht="13.5" customHeight="1" x14ac:dyDescent="0.4">
      <c r="A161" s="1">
        <v>45708</v>
      </c>
      <c r="B161" t="s">
        <v>3894</v>
      </c>
      <c r="C161">
        <v>13.9</v>
      </c>
      <c r="D161" s="2" t="s">
        <v>4476</v>
      </c>
      <c r="E161" t="s">
        <v>3894</v>
      </c>
      <c r="F161" t="s">
        <v>2127</v>
      </c>
      <c r="G161" s="2" t="s">
        <v>41</v>
      </c>
      <c r="H161">
        <v>10003</v>
      </c>
      <c r="I161" t="s">
        <v>16</v>
      </c>
      <c r="J161" t="s">
        <v>4477</v>
      </c>
      <c r="K161" t="s">
        <v>37</v>
      </c>
      <c r="L161" t="s">
        <v>4673</v>
      </c>
      <c r="M161">
        <f>VLOOKUP(SUBSTITUTE(J161,"'",""),Sheet1!L:M,2,FALSE)</f>
        <v>54820</v>
      </c>
    </row>
    <row r="162" spans="1:13" ht="13.5" customHeight="1" x14ac:dyDescent="0.4">
      <c r="A162" s="1">
        <v>45708</v>
      </c>
      <c r="B162" t="s">
        <v>175</v>
      </c>
      <c r="C162">
        <v>500</v>
      </c>
      <c r="D162" s="2" t="s">
        <v>1655</v>
      </c>
      <c r="E162" t="s">
        <v>175</v>
      </c>
      <c r="F162" t="s">
        <v>177</v>
      </c>
      <c r="G162" s="2" t="s">
        <v>41</v>
      </c>
      <c r="H162">
        <v>10012</v>
      </c>
      <c r="I162" t="s">
        <v>16</v>
      </c>
      <c r="J162" t="s">
        <v>1869</v>
      </c>
      <c r="K162" t="s">
        <v>126</v>
      </c>
      <c r="L162" t="s">
        <v>2047</v>
      </c>
      <c r="M162">
        <f>VLOOKUP(SUBSTITUTE(J162,"'",""),Sheet1!L:M,2,FALSE)</f>
        <v>61215</v>
      </c>
    </row>
    <row r="163" spans="1:13" ht="13.5" customHeight="1" x14ac:dyDescent="0.4">
      <c r="A163" s="1">
        <v>45708</v>
      </c>
      <c r="B163" t="s">
        <v>4473</v>
      </c>
      <c r="C163">
        <v>192.48</v>
      </c>
      <c r="D163" s="2" t="s">
        <v>4474</v>
      </c>
      <c r="E163" t="s">
        <v>4473</v>
      </c>
      <c r="F163" t="s">
        <v>150</v>
      </c>
      <c r="G163" s="2" t="s">
        <v>151</v>
      </c>
      <c r="H163">
        <v>93101</v>
      </c>
      <c r="I163" t="s">
        <v>16</v>
      </c>
      <c r="J163" t="s">
        <v>4475</v>
      </c>
      <c r="K163" t="s">
        <v>18</v>
      </c>
      <c r="L163" t="s">
        <v>4673</v>
      </c>
      <c r="M163">
        <f>VLOOKUP(SUBSTITUTE(J163,"'",""),Sheet1!L:M,2,FALSE)</f>
        <v>54820</v>
      </c>
    </row>
    <row r="164" spans="1:13" ht="13.5" customHeight="1" x14ac:dyDescent="0.4">
      <c r="A164" s="1">
        <v>45709</v>
      </c>
      <c r="B164" t="s">
        <v>478</v>
      </c>
      <c r="C164">
        <v>48.41</v>
      </c>
      <c r="D164" s="2" t="s">
        <v>1867</v>
      </c>
      <c r="E164" t="s">
        <v>480</v>
      </c>
      <c r="F164" s="2" t="s">
        <v>481</v>
      </c>
      <c r="G164" s="2" t="s">
        <v>35</v>
      </c>
      <c r="H164">
        <v>94103</v>
      </c>
      <c r="I164" t="s">
        <v>16</v>
      </c>
      <c r="J164" t="s">
        <v>1868</v>
      </c>
      <c r="K164" t="s">
        <v>483</v>
      </c>
      <c r="L164" t="s">
        <v>2047</v>
      </c>
      <c r="M164">
        <f>VLOOKUP(SUBSTITUTE(J164,"'",""),Sheet1!L:M,2,FALSE)</f>
        <v>61130</v>
      </c>
    </row>
    <row r="165" spans="1:13" ht="13.5" customHeight="1" x14ac:dyDescent="0.4">
      <c r="A165" s="1">
        <v>45709</v>
      </c>
      <c r="B165" t="s">
        <v>478</v>
      </c>
      <c r="C165">
        <v>45.59</v>
      </c>
      <c r="D165" s="2" t="s">
        <v>1865</v>
      </c>
      <c r="E165" t="s">
        <v>480</v>
      </c>
      <c r="F165" s="2" t="s">
        <v>481</v>
      </c>
      <c r="G165" s="2" t="s">
        <v>35</v>
      </c>
      <c r="H165">
        <v>94103</v>
      </c>
      <c r="I165" t="s">
        <v>16</v>
      </c>
      <c r="J165" t="s">
        <v>1866</v>
      </c>
      <c r="K165" t="s">
        <v>483</v>
      </c>
      <c r="L165" t="s">
        <v>2047</v>
      </c>
      <c r="M165">
        <f>VLOOKUP(SUBSTITUTE(J165,"'",""),Sheet1!L:M,2,FALSE)</f>
        <v>61130</v>
      </c>
    </row>
    <row r="166" spans="1:13" ht="13.5" customHeight="1" x14ac:dyDescent="0.4">
      <c r="A166" s="1">
        <v>45709</v>
      </c>
      <c r="B166" t="s">
        <v>4470</v>
      </c>
      <c r="C166">
        <v>1045</v>
      </c>
      <c r="D166" s="2" t="s">
        <v>4471</v>
      </c>
      <c r="E166" t="s">
        <v>4470</v>
      </c>
      <c r="F166" t="s">
        <v>2936</v>
      </c>
      <c r="G166" s="2" t="s">
        <v>41</v>
      </c>
      <c r="H166">
        <v>10003</v>
      </c>
      <c r="I166" t="s">
        <v>16</v>
      </c>
      <c r="J166" t="s">
        <v>4472</v>
      </c>
      <c r="K166" t="s">
        <v>532</v>
      </c>
      <c r="L166" t="s">
        <v>4673</v>
      </c>
      <c r="M166">
        <f>VLOOKUP(SUBSTITUTE(J166,"'",""),Sheet1!L:M,2,FALSE)</f>
        <v>54820</v>
      </c>
    </row>
    <row r="167" spans="1:13" ht="13.5" customHeight="1" x14ac:dyDescent="0.4">
      <c r="A167" s="1">
        <v>45710</v>
      </c>
      <c r="B167" t="s">
        <v>32</v>
      </c>
      <c r="C167">
        <v>21.4</v>
      </c>
      <c r="D167" s="2" t="s">
        <v>1863</v>
      </c>
      <c r="E167" t="s">
        <v>32</v>
      </c>
      <c r="F167" s="2" t="s">
        <v>34</v>
      </c>
      <c r="G167" s="2" t="s">
        <v>35</v>
      </c>
      <c r="H167">
        <v>94110</v>
      </c>
      <c r="I167" t="s">
        <v>16</v>
      </c>
      <c r="J167" t="s">
        <v>1864</v>
      </c>
      <c r="K167" t="s">
        <v>37</v>
      </c>
      <c r="L167" t="s">
        <v>2047</v>
      </c>
      <c r="M167">
        <f>VLOOKUP(SUBSTITUTE(J167,"'",""),Sheet1!L:M,2,FALSE)</f>
        <v>64100</v>
      </c>
    </row>
    <row r="168" spans="1:13" ht="13.5" customHeight="1" x14ac:dyDescent="0.4">
      <c r="A168" s="1">
        <v>45710</v>
      </c>
      <c r="B168" t="s">
        <v>948</v>
      </c>
      <c r="C168">
        <v>1100</v>
      </c>
      <c r="D168" s="2" t="s">
        <v>1861</v>
      </c>
      <c r="E168" t="s">
        <v>948</v>
      </c>
      <c r="F168" t="s">
        <v>950</v>
      </c>
      <c r="G168" s="2" t="s">
        <v>41</v>
      </c>
      <c r="H168">
        <v>10001</v>
      </c>
      <c r="I168" t="s">
        <v>16</v>
      </c>
      <c r="J168" t="s">
        <v>1862</v>
      </c>
      <c r="K168" t="s">
        <v>126</v>
      </c>
      <c r="L168" t="s">
        <v>2047</v>
      </c>
      <c r="M168">
        <f>VLOOKUP(SUBSTITUTE(J168,"'",""),Sheet1!L:M,2,FALSE)</f>
        <v>61215</v>
      </c>
    </row>
    <row r="169" spans="1:13" ht="13.5" customHeight="1" x14ac:dyDescent="0.4">
      <c r="A169" s="1">
        <v>45710</v>
      </c>
      <c r="B169" t="s">
        <v>948</v>
      </c>
      <c r="C169">
        <v>99.48</v>
      </c>
      <c r="D169" s="2" t="s">
        <v>1859</v>
      </c>
      <c r="E169" t="s">
        <v>948</v>
      </c>
      <c r="F169" t="s">
        <v>950</v>
      </c>
      <c r="G169" s="2" t="s">
        <v>41</v>
      </c>
      <c r="H169">
        <v>10001</v>
      </c>
      <c r="I169" t="s">
        <v>16</v>
      </c>
      <c r="J169" t="s">
        <v>1860</v>
      </c>
      <c r="K169" t="s">
        <v>126</v>
      </c>
      <c r="L169" t="s">
        <v>2047</v>
      </c>
      <c r="M169">
        <f>VLOOKUP(SUBSTITUTE(J169,"'",""),Sheet1!L:M,2,FALSE)</f>
        <v>61215</v>
      </c>
    </row>
    <row r="170" spans="1:13" ht="13.5" customHeight="1" x14ac:dyDescent="0.4">
      <c r="A170" s="1">
        <v>45710</v>
      </c>
      <c r="B170" t="s">
        <v>4466</v>
      </c>
      <c r="C170">
        <v>7.49</v>
      </c>
      <c r="D170" s="2" t="s">
        <v>4467</v>
      </c>
      <c r="E170" t="s">
        <v>4466</v>
      </c>
      <c r="F170" t="s">
        <v>4468</v>
      </c>
      <c r="G170" s="2" t="s">
        <v>41</v>
      </c>
      <c r="H170">
        <v>10010</v>
      </c>
      <c r="I170" t="s">
        <v>16</v>
      </c>
      <c r="J170" t="s">
        <v>4469</v>
      </c>
      <c r="K170" t="s">
        <v>1218</v>
      </c>
      <c r="L170" t="s">
        <v>4673</v>
      </c>
      <c r="M170">
        <f>VLOOKUP(SUBSTITUTE(J170,"'",""),Sheet1!L:M,2,FALSE)</f>
        <v>54820</v>
      </c>
    </row>
    <row r="171" spans="1:13" ht="13.5" customHeight="1" x14ac:dyDescent="0.4">
      <c r="A171" s="1">
        <v>45711</v>
      </c>
      <c r="B171" t="s">
        <v>977</v>
      </c>
      <c r="C171">
        <v>10</v>
      </c>
      <c r="D171" s="2" t="s">
        <v>4462</v>
      </c>
      <c r="E171" t="s">
        <v>977</v>
      </c>
      <c r="F171" s="2" t="s">
        <v>979</v>
      </c>
      <c r="G171" s="2" t="s">
        <v>980</v>
      </c>
      <c r="H171">
        <v>78259</v>
      </c>
      <c r="I171" t="s">
        <v>16</v>
      </c>
      <c r="J171" t="s">
        <v>4463</v>
      </c>
      <c r="K171" t="s">
        <v>164</v>
      </c>
      <c r="L171" t="s">
        <v>4673</v>
      </c>
      <c r="M171">
        <f>VLOOKUP(SUBSTITUTE(J171,"'",""),Sheet1!L:M,2,FALSE)</f>
        <v>54820</v>
      </c>
    </row>
    <row r="172" spans="1:13" ht="13.5" customHeight="1" x14ac:dyDescent="0.4">
      <c r="A172" s="1">
        <v>45711</v>
      </c>
      <c r="B172" t="s">
        <v>478</v>
      </c>
      <c r="C172">
        <v>34.380000000000003</v>
      </c>
      <c r="D172" s="2" t="s">
        <v>1857</v>
      </c>
      <c r="E172" t="s">
        <v>480</v>
      </c>
      <c r="F172" s="2" t="s">
        <v>481</v>
      </c>
      <c r="G172" s="2" t="s">
        <v>35</v>
      </c>
      <c r="H172">
        <v>94103</v>
      </c>
      <c r="I172" t="s">
        <v>16</v>
      </c>
      <c r="J172" t="s">
        <v>1858</v>
      </c>
      <c r="K172" t="s">
        <v>483</v>
      </c>
      <c r="L172" t="s">
        <v>2047</v>
      </c>
      <c r="M172">
        <f>VLOOKUP(SUBSTITUTE(J172,"'",""),Sheet1!L:M,2,FALSE)</f>
        <v>61130</v>
      </c>
    </row>
    <row r="173" spans="1:13" ht="13.5" customHeight="1" x14ac:dyDescent="0.4">
      <c r="A173" s="1">
        <v>45711</v>
      </c>
      <c r="B173" t="s">
        <v>1646</v>
      </c>
      <c r="C173">
        <v>500</v>
      </c>
      <c r="D173" s="2" t="s">
        <v>1855</v>
      </c>
      <c r="E173" t="s">
        <v>1646</v>
      </c>
      <c r="F173" t="s">
        <v>1648</v>
      </c>
      <c r="G173" s="2" t="s">
        <v>1649</v>
      </c>
      <c r="H173">
        <v>59601</v>
      </c>
      <c r="I173" t="s">
        <v>16</v>
      </c>
      <c r="J173" t="s">
        <v>1856</v>
      </c>
      <c r="K173" t="s">
        <v>1334</v>
      </c>
      <c r="L173" t="s">
        <v>2047</v>
      </c>
      <c r="M173">
        <f>VLOOKUP(SUBSTITUTE(J173,"'",""),Sheet1!L:M,2,FALSE)</f>
        <v>65505</v>
      </c>
    </row>
    <row r="174" spans="1:13" ht="13.5" customHeight="1" x14ac:dyDescent="0.4">
      <c r="A174" s="1">
        <v>45711</v>
      </c>
      <c r="B174" t="s">
        <v>1300</v>
      </c>
      <c r="C174">
        <v>41.06</v>
      </c>
      <c r="D174" s="2" t="s">
        <v>4464</v>
      </c>
      <c r="E174" t="s">
        <v>1300</v>
      </c>
      <c r="F174" t="s">
        <v>1302</v>
      </c>
      <c r="G174" s="2" t="s">
        <v>41</v>
      </c>
      <c r="H174">
        <v>10003</v>
      </c>
      <c r="I174" t="s">
        <v>16</v>
      </c>
      <c r="J174" t="s">
        <v>4465</v>
      </c>
      <c r="K174" t="s">
        <v>1304</v>
      </c>
      <c r="L174" t="s">
        <v>4673</v>
      </c>
      <c r="M174">
        <f>VLOOKUP(SUBSTITUTE(J174,"'",""),Sheet1!L:M,2,FALSE)</f>
        <v>54820</v>
      </c>
    </row>
    <row r="175" spans="1:13" ht="13.5" customHeight="1" x14ac:dyDescent="0.4">
      <c r="A175" s="1">
        <v>45711</v>
      </c>
      <c r="B175" t="s">
        <v>1849</v>
      </c>
      <c r="C175">
        <v>2.17</v>
      </c>
      <c r="D175" s="2" t="s">
        <v>1850</v>
      </c>
      <c r="E175" t="s">
        <v>1849</v>
      </c>
      <c r="F175" t="s">
        <v>1770</v>
      </c>
      <c r="G175" s="2" t="s">
        <v>1771</v>
      </c>
      <c r="H175">
        <v>85284</v>
      </c>
      <c r="I175" t="s">
        <v>16</v>
      </c>
      <c r="J175" t="s">
        <v>1851</v>
      </c>
      <c r="K175" t="s">
        <v>96</v>
      </c>
      <c r="L175" t="s">
        <v>2047</v>
      </c>
      <c r="M175">
        <f>VLOOKUP(SUBSTITUTE(J175,"'",""),Sheet1!L:M,2,FALSE)</f>
        <v>64100</v>
      </c>
    </row>
    <row r="176" spans="1:13" ht="13.5" customHeight="1" x14ac:dyDescent="0.4">
      <c r="A176" s="1">
        <v>45711</v>
      </c>
      <c r="B176" t="s">
        <v>1852</v>
      </c>
      <c r="C176">
        <v>94.32</v>
      </c>
      <c r="D176" s="2" t="s">
        <v>1853</v>
      </c>
      <c r="E176" t="s">
        <v>1852</v>
      </c>
      <c r="F176" t="s">
        <v>1770</v>
      </c>
      <c r="G176" s="2" t="s">
        <v>1771</v>
      </c>
      <c r="H176">
        <v>85284</v>
      </c>
      <c r="I176" t="s">
        <v>16</v>
      </c>
      <c r="J176" t="s">
        <v>1854</v>
      </c>
      <c r="K176" t="s">
        <v>96</v>
      </c>
      <c r="L176" t="s">
        <v>2047</v>
      </c>
      <c r="M176">
        <f>VLOOKUP(SUBSTITUTE(J176,"'",""),Sheet1!L:M,2,FALSE)</f>
        <v>64100</v>
      </c>
    </row>
    <row r="177" spans="1:13" ht="13.5" customHeight="1" x14ac:dyDescent="0.4">
      <c r="A177" s="1">
        <v>45712</v>
      </c>
      <c r="B177" t="s">
        <v>22</v>
      </c>
      <c r="C177">
        <v>-7500</v>
      </c>
      <c r="D177" t="s">
        <v>22</v>
      </c>
      <c r="E177" t="s">
        <v>22</v>
      </c>
      <c r="J177" t="s">
        <v>4461</v>
      </c>
      <c r="L177" t="s">
        <v>4673</v>
      </c>
      <c r="M177" t="e">
        <f>VLOOKUP(SUBSTITUTE(J177,"'",""),Sheet1!L:M,2,FALSE)</f>
        <v>#N/A</v>
      </c>
    </row>
    <row r="178" spans="1:13" ht="13.5" customHeight="1" x14ac:dyDescent="0.4">
      <c r="A178" s="1">
        <v>45712</v>
      </c>
      <c r="B178" t="s">
        <v>4457</v>
      </c>
      <c r="C178">
        <v>33.979999999999997</v>
      </c>
      <c r="D178" s="2" t="s">
        <v>4458</v>
      </c>
      <c r="E178" t="s">
        <v>4457</v>
      </c>
      <c r="F178" s="2" t="s">
        <v>4459</v>
      </c>
      <c r="G178" s="2" t="s">
        <v>41</v>
      </c>
      <c r="H178">
        <v>10038</v>
      </c>
      <c r="I178" t="s">
        <v>16</v>
      </c>
      <c r="J178" t="s">
        <v>4460</v>
      </c>
      <c r="K178" t="s">
        <v>116</v>
      </c>
      <c r="L178" t="s">
        <v>4673</v>
      </c>
      <c r="M178">
        <f>VLOOKUP(SUBSTITUTE(J178,"'",""),Sheet1!L:M,2,FALSE)</f>
        <v>67500</v>
      </c>
    </row>
    <row r="179" spans="1:13" ht="13.5" customHeight="1" x14ac:dyDescent="0.4">
      <c r="A179" s="1">
        <v>45713</v>
      </c>
      <c r="B179" t="s">
        <v>4302</v>
      </c>
      <c r="C179">
        <v>78.95</v>
      </c>
      <c r="D179" s="2" t="s">
        <v>4453</v>
      </c>
      <c r="E179" t="s">
        <v>4302</v>
      </c>
      <c r="F179" t="s">
        <v>4304</v>
      </c>
      <c r="G179" s="2" t="s">
        <v>4305</v>
      </c>
      <c r="H179">
        <v>60510</v>
      </c>
      <c r="I179" t="s">
        <v>16</v>
      </c>
      <c r="J179" t="s">
        <v>4454</v>
      </c>
      <c r="K179" t="s">
        <v>1218</v>
      </c>
      <c r="L179" t="s">
        <v>4673</v>
      </c>
      <c r="M179">
        <f>VLOOKUP(SUBSTITUTE(J179,"'",""),Sheet1!L:M,2,FALSE)</f>
        <v>54820</v>
      </c>
    </row>
    <row r="180" spans="1:13" ht="13.5" customHeight="1" x14ac:dyDescent="0.4">
      <c r="A180" s="1">
        <v>45713</v>
      </c>
      <c r="B180" t="s">
        <v>2240</v>
      </c>
      <c r="C180">
        <v>44.5</v>
      </c>
      <c r="D180" s="2" t="s">
        <v>4455</v>
      </c>
      <c r="E180" t="s">
        <v>2240</v>
      </c>
      <c r="F180" t="s">
        <v>2242</v>
      </c>
      <c r="G180" s="2" t="s">
        <v>41</v>
      </c>
      <c r="H180">
        <v>10003</v>
      </c>
      <c r="I180" t="s">
        <v>16</v>
      </c>
      <c r="J180" t="s">
        <v>4456</v>
      </c>
      <c r="K180" t="s">
        <v>1218</v>
      </c>
      <c r="L180" t="s">
        <v>4673</v>
      </c>
      <c r="M180">
        <f>VLOOKUP(SUBSTITUTE(J180,"'",""),Sheet1!L:M,2,FALSE)</f>
        <v>54820</v>
      </c>
    </row>
    <row r="181" spans="1:13" ht="13.5" customHeight="1" x14ac:dyDescent="0.4">
      <c r="A181" s="1">
        <v>45714</v>
      </c>
      <c r="B181" t="s">
        <v>1842</v>
      </c>
      <c r="C181">
        <v>9.99</v>
      </c>
      <c r="D181" s="2" t="s">
        <v>1843</v>
      </c>
      <c r="E181" t="s">
        <v>1842</v>
      </c>
      <c r="F181" t="s">
        <v>13</v>
      </c>
      <c r="G181" s="2" t="s">
        <v>14</v>
      </c>
      <c r="H181" t="s">
        <v>15</v>
      </c>
      <c r="I181" t="s">
        <v>16</v>
      </c>
      <c r="J181" t="s">
        <v>1844</v>
      </c>
      <c r="K181" t="s">
        <v>18</v>
      </c>
      <c r="L181" t="s">
        <v>2047</v>
      </c>
      <c r="M181">
        <f>VLOOKUP(SUBSTITUTE(J181,"'",""),Sheet1!L:M,2,FALSE)</f>
        <v>54820</v>
      </c>
    </row>
    <row r="182" spans="1:13" ht="13.5" customHeight="1" x14ac:dyDescent="0.4">
      <c r="A182" s="1">
        <v>45714</v>
      </c>
      <c r="B182" t="s">
        <v>478</v>
      </c>
      <c r="C182">
        <v>51.51</v>
      </c>
      <c r="D182" s="2" t="s">
        <v>1847</v>
      </c>
      <c r="E182" t="s">
        <v>480</v>
      </c>
      <c r="F182" s="2" t="s">
        <v>481</v>
      </c>
      <c r="G182" s="2" t="s">
        <v>35</v>
      </c>
      <c r="H182">
        <v>94103</v>
      </c>
      <c r="I182" t="s">
        <v>16</v>
      </c>
      <c r="J182" t="s">
        <v>1848</v>
      </c>
      <c r="K182" t="s">
        <v>483</v>
      </c>
      <c r="L182" t="s">
        <v>2047</v>
      </c>
      <c r="M182">
        <f>VLOOKUP(SUBSTITUTE(J182,"'",""),Sheet1!L:M,2,FALSE)</f>
        <v>61130</v>
      </c>
    </row>
    <row r="183" spans="1:13" ht="13.5" customHeight="1" x14ac:dyDescent="0.4">
      <c r="A183" s="1">
        <v>45714</v>
      </c>
      <c r="B183" t="s">
        <v>4449</v>
      </c>
      <c r="C183">
        <v>4.05</v>
      </c>
      <c r="D183" s="2" t="s">
        <v>4450</v>
      </c>
      <c r="E183" t="s">
        <v>4449</v>
      </c>
      <c r="F183" t="s">
        <v>4451</v>
      </c>
      <c r="G183" s="2" t="s">
        <v>41</v>
      </c>
      <c r="H183">
        <v>10038</v>
      </c>
      <c r="I183" t="s">
        <v>16</v>
      </c>
      <c r="J183" t="s">
        <v>4452</v>
      </c>
      <c r="K183" t="s">
        <v>305</v>
      </c>
      <c r="L183" t="s">
        <v>4673</v>
      </c>
      <c r="M183">
        <f>VLOOKUP(SUBSTITUTE(J183,"'",""),Sheet1!L:M,2,FALSE)</f>
        <v>54820</v>
      </c>
    </row>
    <row r="184" spans="1:13" ht="13.5" customHeight="1" x14ac:dyDescent="0.4">
      <c r="A184" s="1">
        <v>45714</v>
      </c>
      <c r="B184" t="s">
        <v>1756</v>
      </c>
      <c r="C184">
        <v>9.15</v>
      </c>
      <c r="D184" s="2" t="s">
        <v>1845</v>
      </c>
      <c r="E184" t="s">
        <v>1756</v>
      </c>
      <c r="F184" t="s">
        <v>29</v>
      </c>
      <c r="G184" t="e">
        <f>-
NY</f>
        <v>#NAME?</v>
      </c>
      <c r="H184">
        <v>11577</v>
      </c>
      <c r="I184" t="s">
        <v>16</v>
      </c>
      <c r="J184" t="s">
        <v>1846</v>
      </c>
      <c r="K184" t="s">
        <v>31</v>
      </c>
      <c r="L184" t="s">
        <v>2047</v>
      </c>
      <c r="M184">
        <f>VLOOKUP(SUBSTITUTE(J184,"'",""),Sheet1!L:M,2,FALSE)</f>
        <v>61131</v>
      </c>
    </row>
    <row r="185" spans="1:13" ht="13.5" customHeight="1" x14ac:dyDescent="0.4">
      <c r="A185" s="1">
        <v>45714</v>
      </c>
      <c r="B185" t="s">
        <v>2458</v>
      </c>
      <c r="C185">
        <v>2.9</v>
      </c>
      <c r="D185" s="2" t="s">
        <v>4447</v>
      </c>
      <c r="E185" t="s">
        <v>2458</v>
      </c>
      <c r="F185" s="2" t="s">
        <v>2460</v>
      </c>
      <c r="G185" s="2" t="s">
        <v>41</v>
      </c>
      <c r="H185">
        <v>10004</v>
      </c>
      <c r="I185" t="s">
        <v>16</v>
      </c>
      <c r="J185" t="s">
        <v>4448</v>
      </c>
      <c r="K185" t="s">
        <v>2462</v>
      </c>
      <c r="L185" t="s">
        <v>4673</v>
      </c>
      <c r="M185">
        <f>VLOOKUP(SUBSTITUTE(J185,"'",""),Sheet1!L:M,2,FALSE)</f>
        <v>61133</v>
      </c>
    </row>
    <row r="186" spans="1:13" ht="13.5" customHeight="1" x14ac:dyDescent="0.4">
      <c r="A186" s="1">
        <v>45714</v>
      </c>
      <c r="B186" t="s">
        <v>1792</v>
      </c>
      <c r="C186">
        <v>16.05</v>
      </c>
      <c r="D186" s="2" t="s">
        <v>4445</v>
      </c>
      <c r="E186" t="s">
        <v>1792</v>
      </c>
      <c r="F186" t="s">
        <v>1794</v>
      </c>
      <c r="G186" s="2" t="s">
        <v>35</v>
      </c>
      <c r="H186">
        <v>94105</v>
      </c>
      <c r="I186" t="s">
        <v>16</v>
      </c>
      <c r="J186" t="s">
        <v>4446</v>
      </c>
      <c r="K186" t="s">
        <v>37</v>
      </c>
      <c r="L186" t="s">
        <v>4673</v>
      </c>
      <c r="M186">
        <f>VLOOKUP(SUBSTITUTE(J186,"'",""),Sheet1!L:M,2,FALSE)</f>
        <v>64100</v>
      </c>
    </row>
    <row r="187" spans="1:13" ht="13.5" customHeight="1" x14ac:dyDescent="0.4">
      <c r="A187" s="1">
        <v>45715</v>
      </c>
      <c r="B187" t="s">
        <v>4435</v>
      </c>
      <c r="C187">
        <v>15</v>
      </c>
      <c r="D187" s="2" t="s">
        <v>4436</v>
      </c>
      <c r="E187" t="s">
        <v>4435</v>
      </c>
      <c r="F187" s="2" t="s">
        <v>4437</v>
      </c>
      <c r="I187" t="s">
        <v>4217</v>
      </c>
      <c r="J187" t="s">
        <v>4438</v>
      </c>
      <c r="K187" t="s">
        <v>37</v>
      </c>
      <c r="L187" t="s">
        <v>4673</v>
      </c>
      <c r="M187">
        <f>VLOOKUP(SUBSTITUTE(J187,"'",""),Sheet1!L:M,2,FALSE)</f>
        <v>54820</v>
      </c>
    </row>
    <row r="188" spans="1:13" ht="13.5" customHeight="1" x14ac:dyDescent="0.4">
      <c r="A188" s="1">
        <v>45715</v>
      </c>
      <c r="B188" t="s">
        <v>977</v>
      </c>
      <c r="C188">
        <v>10</v>
      </c>
      <c r="D188" s="2" t="s">
        <v>4439</v>
      </c>
      <c r="E188" t="s">
        <v>977</v>
      </c>
      <c r="F188" s="2" t="s">
        <v>979</v>
      </c>
      <c r="G188" s="2" t="s">
        <v>980</v>
      </c>
      <c r="H188">
        <v>78259</v>
      </c>
      <c r="I188" t="s">
        <v>16</v>
      </c>
      <c r="J188" t="s">
        <v>4440</v>
      </c>
      <c r="K188" t="s">
        <v>164</v>
      </c>
      <c r="L188" t="s">
        <v>4673</v>
      </c>
      <c r="M188">
        <f>VLOOKUP(SUBSTITUTE(J188,"'",""),Sheet1!L:M,2,FALSE)</f>
        <v>54820</v>
      </c>
    </row>
    <row r="189" spans="1:13" ht="13.5" customHeight="1" x14ac:dyDescent="0.4">
      <c r="A189" s="1">
        <v>45715</v>
      </c>
      <c r="B189" t="s">
        <v>1422</v>
      </c>
      <c r="C189">
        <v>218.28</v>
      </c>
      <c r="D189" s="2" t="s">
        <v>1840</v>
      </c>
      <c r="E189" t="s">
        <v>1422</v>
      </c>
      <c r="F189" t="s">
        <v>1424</v>
      </c>
      <c r="G189" s="2" t="s">
        <v>35</v>
      </c>
      <c r="H189">
        <v>94158</v>
      </c>
      <c r="I189" t="s">
        <v>16</v>
      </c>
      <c r="J189" t="s">
        <v>1841</v>
      </c>
      <c r="K189" t="s">
        <v>18</v>
      </c>
      <c r="L189" t="s">
        <v>2047</v>
      </c>
      <c r="M189">
        <f>VLOOKUP(SUBSTITUTE(J189,"'",""),Sheet1!L:M,2,FALSE)</f>
        <v>64100</v>
      </c>
    </row>
    <row r="190" spans="1:13" ht="13.5" customHeight="1" x14ac:dyDescent="0.4">
      <c r="A190" s="1">
        <v>45715</v>
      </c>
      <c r="B190" t="s">
        <v>3151</v>
      </c>
      <c r="C190">
        <v>109.78</v>
      </c>
      <c r="D190" s="2" t="s">
        <v>4443</v>
      </c>
      <c r="E190" t="s">
        <v>3151</v>
      </c>
      <c r="F190" t="s">
        <v>2743</v>
      </c>
      <c r="G190" s="2" t="s">
        <v>41</v>
      </c>
      <c r="H190">
        <v>10003</v>
      </c>
      <c r="I190" t="s">
        <v>16</v>
      </c>
      <c r="J190" t="s">
        <v>4444</v>
      </c>
      <c r="K190" t="s">
        <v>207</v>
      </c>
      <c r="L190" t="s">
        <v>4673</v>
      </c>
      <c r="M190">
        <f>VLOOKUP(SUBSTITUTE(J190,"'",""),Sheet1!L:M,2,FALSE)</f>
        <v>54820</v>
      </c>
    </row>
    <row r="191" spans="1:13" ht="13.5" customHeight="1" x14ac:dyDescent="0.4">
      <c r="A191" s="1">
        <v>45715</v>
      </c>
      <c r="B191" t="s">
        <v>1837</v>
      </c>
      <c r="C191">
        <v>2.25</v>
      </c>
      <c r="D191" s="2" t="s">
        <v>1838</v>
      </c>
      <c r="E191" t="s">
        <v>1837</v>
      </c>
      <c r="F191" t="s">
        <v>29</v>
      </c>
      <c r="G191" t="e">
        <f>-
NY</f>
        <v>#NAME?</v>
      </c>
      <c r="H191">
        <v>11577</v>
      </c>
      <c r="I191" t="s">
        <v>16</v>
      </c>
      <c r="J191" t="s">
        <v>1839</v>
      </c>
      <c r="K191" t="s">
        <v>31</v>
      </c>
      <c r="L191" t="s">
        <v>2047</v>
      </c>
      <c r="M191">
        <f>VLOOKUP(SUBSTITUTE(J191,"'",""),Sheet1!L:M,2,FALSE)</f>
        <v>61131</v>
      </c>
    </row>
    <row r="192" spans="1:13" ht="13.5" customHeight="1" x14ac:dyDescent="0.4">
      <c r="A192" s="1">
        <v>45715</v>
      </c>
      <c r="B192" t="s">
        <v>3558</v>
      </c>
      <c r="C192">
        <v>27</v>
      </c>
      <c r="D192" s="2" t="s">
        <v>4441</v>
      </c>
      <c r="E192" t="s">
        <v>3558</v>
      </c>
      <c r="F192" s="2" t="s">
        <v>2785</v>
      </c>
      <c r="G192" s="2" t="s">
        <v>2786</v>
      </c>
      <c r="H192">
        <v>10011</v>
      </c>
      <c r="I192" t="s">
        <v>16</v>
      </c>
      <c r="J192" t="s">
        <v>4442</v>
      </c>
      <c r="K192" t="s">
        <v>1304</v>
      </c>
      <c r="L192" t="s">
        <v>4673</v>
      </c>
      <c r="M192">
        <f>VLOOKUP(SUBSTITUTE(J192,"'",""),Sheet1!L:M,2,FALSE)</f>
        <v>54820</v>
      </c>
    </row>
    <row r="193" spans="1:13" ht="13.5" customHeight="1" x14ac:dyDescent="0.4">
      <c r="A193" s="1">
        <v>45715</v>
      </c>
      <c r="B193" t="s">
        <v>1412</v>
      </c>
      <c r="C193">
        <v>700</v>
      </c>
      <c r="D193" s="2" t="s">
        <v>1835</v>
      </c>
      <c r="E193" t="s">
        <v>1412</v>
      </c>
      <c r="F193" s="2" t="s">
        <v>1414</v>
      </c>
      <c r="G193" s="2" t="s">
        <v>41</v>
      </c>
      <c r="H193">
        <v>10004</v>
      </c>
      <c r="I193" t="s">
        <v>16</v>
      </c>
      <c r="J193" t="s">
        <v>1836</v>
      </c>
      <c r="K193" t="s">
        <v>126</v>
      </c>
      <c r="L193" t="s">
        <v>2047</v>
      </c>
      <c r="M193">
        <f>VLOOKUP(SUBSTITUTE(J193,"'",""),Sheet1!L:M,2,FALSE)</f>
        <v>61215</v>
      </c>
    </row>
    <row r="194" spans="1:13" ht="13.5" customHeight="1" x14ac:dyDescent="0.4">
      <c r="A194" s="1">
        <v>45716</v>
      </c>
      <c r="B194" t="s">
        <v>885</v>
      </c>
      <c r="C194">
        <v>80.58</v>
      </c>
      <c r="D194" s="2" t="s">
        <v>4433</v>
      </c>
      <c r="E194" t="s">
        <v>885</v>
      </c>
      <c r="F194" t="s">
        <v>108</v>
      </c>
      <c r="G194" s="2" t="s">
        <v>41</v>
      </c>
      <c r="H194">
        <v>10012</v>
      </c>
      <c r="I194" t="s">
        <v>16</v>
      </c>
      <c r="J194" t="s">
        <v>4434</v>
      </c>
      <c r="K194" t="s">
        <v>483</v>
      </c>
      <c r="L194" t="s">
        <v>4673</v>
      </c>
      <c r="M194">
        <f>VLOOKUP(SUBSTITUTE(J194,"'",""),Sheet1!L:M,2,FALSE)</f>
        <v>67500</v>
      </c>
    </row>
    <row r="195" spans="1:13" ht="13.5" customHeight="1" x14ac:dyDescent="0.4">
      <c r="A195" s="1">
        <v>45716</v>
      </c>
      <c r="B195" t="s">
        <v>478</v>
      </c>
      <c r="C195">
        <v>68.52</v>
      </c>
      <c r="D195" s="2" t="s">
        <v>1833</v>
      </c>
      <c r="E195" t="s">
        <v>480</v>
      </c>
      <c r="F195" s="2" t="s">
        <v>481</v>
      </c>
      <c r="G195" s="2" t="s">
        <v>35</v>
      </c>
      <c r="H195">
        <v>94103</v>
      </c>
      <c r="I195" t="s">
        <v>16</v>
      </c>
      <c r="J195" t="s">
        <v>1834</v>
      </c>
      <c r="K195" t="s">
        <v>483</v>
      </c>
      <c r="L195" t="s">
        <v>2047</v>
      </c>
      <c r="M195">
        <f>VLOOKUP(SUBSTITUTE(J195,"'",""),Sheet1!L:M,2,FALSE)</f>
        <v>61130</v>
      </c>
    </row>
    <row r="196" spans="1:13" ht="13.5" customHeight="1" x14ac:dyDescent="0.4">
      <c r="A196" s="1">
        <v>45716</v>
      </c>
      <c r="B196" t="s">
        <v>1830</v>
      </c>
      <c r="C196">
        <v>198.14</v>
      </c>
      <c r="D196" s="2" t="s">
        <v>1831</v>
      </c>
      <c r="E196" t="s">
        <v>1830</v>
      </c>
      <c r="F196" t="s">
        <v>1615</v>
      </c>
      <c r="G196" s="2" t="s">
        <v>1616</v>
      </c>
      <c r="H196">
        <v>95131</v>
      </c>
      <c r="I196" t="s">
        <v>16</v>
      </c>
      <c r="J196" t="s">
        <v>1832</v>
      </c>
      <c r="K196" t="s">
        <v>133</v>
      </c>
      <c r="L196" t="s">
        <v>2047</v>
      </c>
      <c r="M196">
        <f>VLOOKUP(SUBSTITUTE(J196,"'",""),Sheet1!L:M,2,FALSE)</f>
        <v>64210</v>
      </c>
    </row>
    <row r="197" spans="1:13" ht="13.5" customHeight="1" x14ac:dyDescent="0.4">
      <c r="A197" s="1">
        <v>45716</v>
      </c>
      <c r="B197" t="s">
        <v>977</v>
      </c>
      <c r="C197">
        <v>20</v>
      </c>
      <c r="D197" s="2" t="s">
        <v>4431</v>
      </c>
      <c r="E197" t="s">
        <v>977</v>
      </c>
      <c r="F197" s="2" t="s">
        <v>979</v>
      </c>
      <c r="G197" s="2" t="s">
        <v>980</v>
      </c>
      <c r="H197">
        <v>78259</v>
      </c>
      <c r="I197" t="s">
        <v>16</v>
      </c>
      <c r="J197" t="s">
        <v>4432</v>
      </c>
      <c r="K197" t="s">
        <v>164</v>
      </c>
      <c r="L197" t="s">
        <v>4673</v>
      </c>
      <c r="M197">
        <f>VLOOKUP(SUBSTITUTE(J197,"'",""),Sheet1!L:M,2,FALSE)</f>
        <v>54820</v>
      </c>
    </row>
    <row r="198" spans="1:13" ht="13.5" customHeight="1" x14ac:dyDescent="0.4">
      <c r="A198" s="1">
        <v>45717</v>
      </c>
      <c r="B198" t="s">
        <v>234</v>
      </c>
      <c r="C198">
        <v>230.78</v>
      </c>
      <c r="D198" s="2" t="s">
        <v>1828</v>
      </c>
      <c r="E198" t="s">
        <v>236</v>
      </c>
      <c r="F198" t="s">
        <v>237</v>
      </c>
      <c r="G198" s="2" t="s">
        <v>238</v>
      </c>
      <c r="H198" t="s">
        <v>239</v>
      </c>
      <c r="I198" t="s">
        <v>16</v>
      </c>
      <c r="J198" t="s">
        <v>1829</v>
      </c>
      <c r="K198" t="s">
        <v>90</v>
      </c>
      <c r="L198" t="s">
        <v>2047</v>
      </c>
      <c r="M198">
        <f>VLOOKUP(SUBSTITUTE(J198,"'",""),Sheet1!L:M,2,FALSE)</f>
        <v>65700</v>
      </c>
    </row>
    <row r="199" spans="1:13" ht="13.5" customHeight="1" x14ac:dyDescent="0.4">
      <c r="A199" s="1">
        <v>45717</v>
      </c>
      <c r="B199" t="s">
        <v>4427</v>
      </c>
      <c r="C199">
        <v>5.5</v>
      </c>
      <c r="D199" s="2" t="s">
        <v>4428</v>
      </c>
      <c r="E199" t="s">
        <v>4427</v>
      </c>
      <c r="F199" t="s">
        <v>4429</v>
      </c>
      <c r="G199" s="2" t="s">
        <v>41</v>
      </c>
      <c r="H199">
        <v>10012</v>
      </c>
      <c r="I199" t="s">
        <v>16</v>
      </c>
      <c r="J199" t="s">
        <v>4430</v>
      </c>
      <c r="K199" t="s">
        <v>1218</v>
      </c>
      <c r="L199" t="s">
        <v>4673</v>
      </c>
      <c r="M199">
        <f>VLOOKUP(SUBSTITUTE(J199,"'",""),Sheet1!L:M,2,FALSE)</f>
        <v>54820</v>
      </c>
    </row>
    <row r="200" spans="1:13" ht="13.5" customHeight="1" x14ac:dyDescent="0.4">
      <c r="A200" s="1">
        <v>45717</v>
      </c>
      <c r="B200" t="s">
        <v>2458</v>
      </c>
      <c r="C200">
        <v>2.9</v>
      </c>
      <c r="D200" s="2" t="s">
        <v>4425</v>
      </c>
      <c r="E200" t="s">
        <v>2458</v>
      </c>
      <c r="F200" s="2" t="s">
        <v>2460</v>
      </c>
      <c r="G200" s="2" t="s">
        <v>41</v>
      </c>
      <c r="H200">
        <v>10004</v>
      </c>
      <c r="I200" t="s">
        <v>16</v>
      </c>
      <c r="J200" t="s">
        <v>4426</v>
      </c>
      <c r="K200" t="s">
        <v>2462</v>
      </c>
      <c r="L200" t="s">
        <v>4673</v>
      </c>
      <c r="M200">
        <f>VLOOKUP(SUBSTITUTE(J200,"'",""),Sheet1!L:M,2,FALSE)</f>
        <v>61133</v>
      </c>
    </row>
    <row r="201" spans="1:13" ht="13.5" customHeight="1" x14ac:dyDescent="0.4">
      <c r="A201" s="1">
        <v>45717</v>
      </c>
      <c r="B201" t="s">
        <v>4421</v>
      </c>
      <c r="C201">
        <v>13.07</v>
      </c>
      <c r="D201" s="2" t="s">
        <v>4422</v>
      </c>
      <c r="E201" t="s">
        <v>4421</v>
      </c>
      <c r="F201" t="s">
        <v>4423</v>
      </c>
      <c r="G201" s="2" t="s">
        <v>41</v>
      </c>
      <c r="H201">
        <v>10001</v>
      </c>
      <c r="I201" t="s">
        <v>16</v>
      </c>
      <c r="J201" t="s">
        <v>4424</v>
      </c>
      <c r="K201" t="s">
        <v>305</v>
      </c>
      <c r="L201" t="s">
        <v>4673</v>
      </c>
      <c r="M201">
        <f>VLOOKUP(SUBSTITUTE(J201,"'",""),Sheet1!L:M,2,FALSE)</f>
        <v>54820</v>
      </c>
    </row>
    <row r="202" spans="1:13" ht="13.5" customHeight="1" x14ac:dyDescent="0.4">
      <c r="A202" s="1">
        <v>45717</v>
      </c>
      <c r="B202" t="s">
        <v>2429</v>
      </c>
      <c r="C202">
        <v>1438.18</v>
      </c>
      <c r="D202" s="2" t="s">
        <v>4417</v>
      </c>
      <c r="E202" t="s">
        <v>2429</v>
      </c>
      <c r="F202" t="s">
        <v>13</v>
      </c>
      <c r="G202" s="2" t="s">
        <v>14</v>
      </c>
      <c r="H202">
        <v>98101</v>
      </c>
      <c r="I202" t="s">
        <v>16</v>
      </c>
      <c r="J202" t="s">
        <v>4418</v>
      </c>
      <c r="K202" t="s">
        <v>18</v>
      </c>
      <c r="L202" t="s">
        <v>4673</v>
      </c>
      <c r="M202">
        <f>VLOOKUP(SUBSTITUTE(J202,"'",""),Sheet1!L:M,2,FALSE)</f>
        <v>64101</v>
      </c>
    </row>
    <row r="203" spans="1:13" ht="13.5" customHeight="1" x14ac:dyDescent="0.4">
      <c r="A203" s="1">
        <v>45717</v>
      </c>
      <c r="B203" t="s">
        <v>3073</v>
      </c>
      <c r="C203">
        <v>65.37</v>
      </c>
      <c r="D203" s="2" t="s">
        <v>4419</v>
      </c>
      <c r="E203" t="s">
        <v>3073</v>
      </c>
      <c r="F203" s="2" t="s">
        <v>3075</v>
      </c>
      <c r="G203" s="2" t="s">
        <v>3076</v>
      </c>
      <c r="H203">
        <v>91436</v>
      </c>
      <c r="I203" t="s">
        <v>16</v>
      </c>
      <c r="J203" t="s">
        <v>4420</v>
      </c>
      <c r="K203" t="s">
        <v>370</v>
      </c>
      <c r="L203" t="s">
        <v>4673</v>
      </c>
      <c r="M203">
        <f>VLOOKUP(SUBSTITUTE(J203,"'",""),Sheet1!L:M,2,FALSE)</f>
        <v>54820</v>
      </c>
    </row>
    <row r="204" spans="1:13" ht="13.5" customHeight="1" x14ac:dyDescent="0.4">
      <c r="A204" s="1">
        <v>45718</v>
      </c>
      <c r="B204" t="s">
        <v>57</v>
      </c>
      <c r="C204">
        <v>67.040000000000006</v>
      </c>
      <c r="D204" s="2" t="s">
        <v>1824</v>
      </c>
      <c r="E204" t="s">
        <v>57</v>
      </c>
      <c r="F204" t="s">
        <v>59</v>
      </c>
      <c r="G204" s="2" t="s">
        <v>47</v>
      </c>
      <c r="H204">
        <v>12866</v>
      </c>
      <c r="I204" t="s">
        <v>16</v>
      </c>
      <c r="J204" t="s">
        <v>1825</v>
      </c>
      <c r="K204" t="s">
        <v>61</v>
      </c>
      <c r="L204" t="s">
        <v>2047</v>
      </c>
      <c r="M204">
        <f>VLOOKUP(SUBSTITUTE(J204,"'",""),Sheet1!L:M,2,FALSE)</f>
        <v>63100</v>
      </c>
    </row>
    <row r="205" spans="1:13" ht="13.5" customHeight="1" x14ac:dyDescent="0.4">
      <c r="A205" s="1">
        <v>45718</v>
      </c>
      <c r="B205" t="s">
        <v>222</v>
      </c>
      <c r="C205">
        <v>79</v>
      </c>
      <c r="D205" s="2" t="s">
        <v>1826</v>
      </c>
      <c r="E205" t="s">
        <v>222</v>
      </c>
      <c r="F205" t="s">
        <v>224</v>
      </c>
      <c r="G205" s="2" t="s">
        <v>35</v>
      </c>
      <c r="H205">
        <v>94104</v>
      </c>
      <c r="I205" t="s">
        <v>16</v>
      </c>
      <c r="J205" t="s">
        <v>1827</v>
      </c>
      <c r="K205" t="s">
        <v>37</v>
      </c>
      <c r="L205" t="s">
        <v>2047</v>
      </c>
      <c r="M205">
        <f>VLOOKUP(SUBSTITUTE(J205,"'",""),Sheet1!L:M,2,FALSE)</f>
        <v>64200</v>
      </c>
    </row>
    <row r="206" spans="1:13" ht="13.5" customHeight="1" x14ac:dyDescent="0.4">
      <c r="A206" s="1">
        <v>45719</v>
      </c>
      <c r="B206" t="s">
        <v>2400</v>
      </c>
      <c r="C206">
        <v>21.39</v>
      </c>
      <c r="D206" s="2" t="s">
        <v>2401</v>
      </c>
      <c r="E206" t="s">
        <v>2400</v>
      </c>
      <c r="F206" t="s">
        <v>2402</v>
      </c>
      <c r="G206" s="2" t="s">
        <v>41</v>
      </c>
      <c r="H206">
        <v>10019</v>
      </c>
      <c r="I206" t="s">
        <v>16</v>
      </c>
      <c r="J206" t="s">
        <v>4416</v>
      </c>
      <c r="K206" t="s">
        <v>110</v>
      </c>
      <c r="L206" t="s">
        <v>4673</v>
      </c>
      <c r="M206">
        <f>VLOOKUP(SUBSTITUTE(J206,"'",""),Sheet1!L:M,2,FALSE)</f>
        <v>67500</v>
      </c>
    </row>
    <row r="207" spans="1:13" ht="13.5" customHeight="1" x14ac:dyDescent="0.4">
      <c r="A207" s="1">
        <v>45719</v>
      </c>
      <c r="B207" t="s">
        <v>1756</v>
      </c>
      <c r="C207">
        <v>2.25</v>
      </c>
      <c r="D207" s="2" t="s">
        <v>1822</v>
      </c>
      <c r="E207" t="s">
        <v>1756</v>
      </c>
      <c r="F207" t="s">
        <v>29</v>
      </c>
      <c r="G207" t="e">
        <f>-
NY</f>
        <v>#NAME?</v>
      </c>
      <c r="H207">
        <v>11577</v>
      </c>
      <c r="I207" t="s">
        <v>16</v>
      </c>
      <c r="J207" t="s">
        <v>1823</v>
      </c>
      <c r="K207" t="s">
        <v>31</v>
      </c>
      <c r="L207" t="s">
        <v>2047</v>
      </c>
      <c r="M207">
        <f>VLOOKUP(SUBSTITUTE(J207,"'",""),Sheet1!L:M,2,FALSE)</f>
        <v>61131</v>
      </c>
    </row>
    <row r="208" spans="1:13" ht="13.5" customHeight="1" x14ac:dyDescent="0.4">
      <c r="A208" s="1">
        <v>45719</v>
      </c>
      <c r="B208" t="s">
        <v>1817</v>
      </c>
      <c r="C208">
        <v>2145</v>
      </c>
      <c r="D208" s="2" t="s">
        <v>1818</v>
      </c>
      <c r="E208" t="s">
        <v>1817</v>
      </c>
      <c r="F208" s="2" t="s">
        <v>1819</v>
      </c>
      <c r="G208" s="2" t="s">
        <v>1820</v>
      </c>
      <c r="H208">
        <v>98373</v>
      </c>
      <c r="I208" t="s">
        <v>16</v>
      </c>
      <c r="J208" t="s">
        <v>1821</v>
      </c>
      <c r="K208" t="s">
        <v>96</v>
      </c>
      <c r="L208" t="s">
        <v>2047</v>
      </c>
      <c r="M208">
        <f>VLOOKUP(SUBSTITUTE(J208,"'",""),Sheet1!L:M,2,FALSE)</f>
        <v>61100</v>
      </c>
    </row>
    <row r="209" spans="1:13" ht="13.5" customHeight="1" x14ac:dyDescent="0.4">
      <c r="A209" s="1">
        <v>45720</v>
      </c>
      <c r="B209" t="s">
        <v>196</v>
      </c>
      <c r="C209">
        <v>7.99</v>
      </c>
      <c r="D209" s="2" t="s">
        <v>197</v>
      </c>
      <c r="E209" t="s">
        <v>196</v>
      </c>
      <c r="F209" t="s">
        <v>198</v>
      </c>
      <c r="G209" s="2" t="s">
        <v>199</v>
      </c>
      <c r="H209">
        <v>91608</v>
      </c>
      <c r="I209" t="s">
        <v>16</v>
      </c>
      <c r="J209" t="s">
        <v>1812</v>
      </c>
      <c r="K209" t="s">
        <v>201</v>
      </c>
      <c r="L209" t="s">
        <v>2047</v>
      </c>
      <c r="M209">
        <f>VLOOKUP(SUBSTITUTE(J209,"'",""),Sheet1!L:M,2,FALSE)</f>
        <v>54820</v>
      </c>
    </row>
    <row r="210" spans="1:13" ht="13.5" customHeight="1" x14ac:dyDescent="0.4">
      <c r="A210" s="1">
        <v>45720</v>
      </c>
      <c r="B210" t="s">
        <v>4302</v>
      </c>
      <c r="C210">
        <v>78.95</v>
      </c>
      <c r="D210" s="2" t="s">
        <v>4414</v>
      </c>
      <c r="E210" t="s">
        <v>4302</v>
      </c>
      <c r="F210" t="s">
        <v>4304</v>
      </c>
      <c r="G210" s="2" t="s">
        <v>4305</v>
      </c>
      <c r="H210">
        <v>60510</v>
      </c>
      <c r="I210" t="s">
        <v>16</v>
      </c>
      <c r="J210" t="s">
        <v>4415</v>
      </c>
      <c r="K210" t="s">
        <v>1218</v>
      </c>
      <c r="L210" t="s">
        <v>4673</v>
      </c>
      <c r="M210">
        <f>VLOOKUP(SUBSTITUTE(J210,"'",""),Sheet1!L:M,2,FALSE)</f>
        <v>54820</v>
      </c>
    </row>
    <row r="211" spans="1:13" ht="13.5" customHeight="1" x14ac:dyDescent="0.4">
      <c r="A211" s="1">
        <v>45720</v>
      </c>
      <c r="B211" t="s">
        <v>1243</v>
      </c>
      <c r="C211">
        <v>11.2</v>
      </c>
      <c r="D211" s="2" t="s">
        <v>1806</v>
      </c>
      <c r="E211" t="s">
        <v>816</v>
      </c>
      <c r="F211" t="s">
        <v>1245</v>
      </c>
      <c r="G211" s="2" t="s">
        <v>819</v>
      </c>
      <c r="H211">
        <v>30344</v>
      </c>
      <c r="I211" t="s">
        <v>16</v>
      </c>
      <c r="J211" t="s">
        <v>1807</v>
      </c>
      <c r="K211" t="s">
        <v>682</v>
      </c>
      <c r="L211" t="s">
        <v>2047</v>
      </c>
      <c r="M211">
        <f>VLOOKUP(SUBSTITUTE(J211,"'",""),Sheet1!L:M,2,FALSE)</f>
        <v>61120</v>
      </c>
    </row>
    <row r="212" spans="1:13" ht="13.5" customHeight="1" x14ac:dyDescent="0.4">
      <c r="A212" s="1">
        <v>45720</v>
      </c>
      <c r="B212" t="s">
        <v>1243</v>
      </c>
      <c r="C212">
        <v>11.2</v>
      </c>
      <c r="D212" s="2" t="s">
        <v>1808</v>
      </c>
      <c r="E212" t="s">
        <v>816</v>
      </c>
      <c r="F212" t="s">
        <v>1245</v>
      </c>
      <c r="G212" s="2" t="s">
        <v>819</v>
      </c>
      <c r="H212">
        <v>30344</v>
      </c>
      <c r="I212" t="s">
        <v>16</v>
      </c>
      <c r="J212" t="s">
        <v>1809</v>
      </c>
      <c r="K212" t="s">
        <v>682</v>
      </c>
      <c r="L212" t="s">
        <v>2047</v>
      </c>
      <c r="M212">
        <f>VLOOKUP(SUBSTITUTE(J212,"'",""),Sheet1!L:M,2,FALSE)</f>
        <v>61120</v>
      </c>
    </row>
    <row r="213" spans="1:13" ht="13.5" customHeight="1" x14ac:dyDescent="0.4">
      <c r="A213" s="1">
        <v>45720</v>
      </c>
      <c r="B213" t="s">
        <v>165</v>
      </c>
      <c r="C213">
        <v>26.76</v>
      </c>
      <c r="D213" s="2" t="s">
        <v>4404</v>
      </c>
      <c r="E213" t="s">
        <v>165</v>
      </c>
      <c r="F213" s="2" t="s">
        <v>167</v>
      </c>
      <c r="G213" s="2" t="s">
        <v>87</v>
      </c>
      <c r="H213">
        <v>75202</v>
      </c>
      <c r="I213" t="s">
        <v>16</v>
      </c>
      <c r="J213" t="s">
        <v>4405</v>
      </c>
      <c r="K213" t="s">
        <v>96</v>
      </c>
      <c r="L213" t="s">
        <v>4673</v>
      </c>
      <c r="M213">
        <f>VLOOKUP(SUBSTITUTE(J213,"'",""),Sheet1!L:M,2,FALSE)</f>
        <v>64100</v>
      </c>
    </row>
    <row r="214" spans="1:13" ht="13.5" customHeight="1" x14ac:dyDescent="0.4">
      <c r="A214" s="1">
        <v>45720</v>
      </c>
      <c r="B214" t="s">
        <v>165</v>
      </c>
      <c r="C214">
        <v>32.07</v>
      </c>
      <c r="D214" s="2" t="s">
        <v>4406</v>
      </c>
      <c r="E214" t="s">
        <v>165</v>
      </c>
      <c r="F214" s="2" t="s">
        <v>167</v>
      </c>
      <c r="G214" s="2" t="s">
        <v>87</v>
      </c>
      <c r="H214">
        <v>75202</v>
      </c>
      <c r="I214" t="s">
        <v>16</v>
      </c>
      <c r="J214" t="s">
        <v>4407</v>
      </c>
      <c r="K214" t="s">
        <v>96</v>
      </c>
      <c r="L214" t="s">
        <v>4673</v>
      </c>
      <c r="M214">
        <f>VLOOKUP(SUBSTITUTE(J214,"'",""),Sheet1!L:M,2,FALSE)</f>
        <v>64100</v>
      </c>
    </row>
    <row r="215" spans="1:13" ht="13.5" customHeight="1" x14ac:dyDescent="0.4">
      <c r="A215" s="1">
        <v>45720</v>
      </c>
      <c r="B215" t="s">
        <v>165</v>
      </c>
      <c r="C215">
        <v>21.4</v>
      </c>
      <c r="D215" s="2" t="s">
        <v>4402</v>
      </c>
      <c r="E215" t="s">
        <v>165</v>
      </c>
      <c r="F215" s="2" t="s">
        <v>167</v>
      </c>
      <c r="G215" s="2" t="s">
        <v>87</v>
      </c>
      <c r="H215">
        <v>75202</v>
      </c>
      <c r="I215" t="s">
        <v>16</v>
      </c>
      <c r="J215" t="s">
        <v>4403</v>
      </c>
      <c r="K215" t="s">
        <v>96</v>
      </c>
      <c r="L215" t="s">
        <v>4673</v>
      </c>
      <c r="M215">
        <f>VLOOKUP(SUBSTITUTE(J215,"'",""),Sheet1!L:M,2,FALSE)</f>
        <v>64100</v>
      </c>
    </row>
    <row r="216" spans="1:13" ht="13.5" customHeight="1" x14ac:dyDescent="0.4">
      <c r="A216" s="1">
        <v>45720</v>
      </c>
      <c r="B216" t="s">
        <v>165</v>
      </c>
      <c r="C216">
        <v>59.92</v>
      </c>
      <c r="D216" s="2" t="s">
        <v>4408</v>
      </c>
      <c r="E216" t="s">
        <v>165</v>
      </c>
      <c r="F216" s="2" t="s">
        <v>167</v>
      </c>
      <c r="G216" s="2" t="s">
        <v>87</v>
      </c>
      <c r="H216">
        <v>75202</v>
      </c>
      <c r="I216" t="s">
        <v>16</v>
      </c>
      <c r="J216" t="s">
        <v>4409</v>
      </c>
      <c r="K216" t="s">
        <v>96</v>
      </c>
      <c r="L216" t="s">
        <v>4673</v>
      </c>
      <c r="M216">
        <f>VLOOKUP(SUBSTITUTE(J216,"'",""),Sheet1!L:M,2,FALSE)</f>
        <v>64100</v>
      </c>
    </row>
    <row r="217" spans="1:13" ht="13.5" customHeight="1" x14ac:dyDescent="0.4">
      <c r="A217" s="1">
        <v>45720</v>
      </c>
      <c r="B217" t="s">
        <v>2390</v>
      </c>
      <c r="C217">
        <v>21.4</v>
      </c>
      <c r="D217" s="2" t="s">
        <v>4412</v>
      </c>
      <c r="E217" t="s">
        <v>2390</v>
      </c>
      <c r="F217" s="2" t="s">
        <v>167</v>
      </c>
      <c r="G217" s="2" t="s">
        <v>87</v>
      </c>
      <c r="H217">
        <v>75202</v>
      </c>
      <c r="I217" t="s">
        <v>16</v>
      </c>
      <c r="J217" t="s">
        <v>4413</v>
      </c>
      <c r="K217" t="s">
        <v>96</v>
      </c>
      <c r="L217" t="s">
        <v>4673</v>
      </c>
      <c r="M217">
        <f>VLOOKUP(SUBSTITUTE(J217,"'",""),Sheet1!L:M,2,FALSE)</f>
        <v>64100</v>
      </c>
    </row>
    <row r="218" spans="1:13" ht="13.5" customHeight="1" x14ac:dyDescent="0.4">
      <c r="A218" s="1">
        <v>45720</v>
      </c>
      <c r="B218" t="s">
        <v>165</v>
      </c>
      <c r="C218">
        <v>289.06</v>
      </c>
      <c r="D218" s="2" t="s">
        <v>4410</v>
      </c>
      <c r="E218" t="s">
        <v>165</v>
      </c>
      <c r="F218" s="2" t="s">
        <v>167</v>
      </c>
      <c r="G218" s="2" t="s">
        <v>87</v>
      </c>
      <c r="H218">
        <v>75202</v>
      </c>
      <c r="I218" t="s">
        <v>16</v>
      </c>
      <c r="J218" t="s">
        <v>4411</v>
      </c>
      <c r="K218" t="s">
        <v>96</v>
      </c>
      <c r="L218" t="s">
        <v>4673</v>
      </c>
      <c r="M218">
        <f>VLOOKUP(SUBSTITUTE(J218,"'",""),Sheet1!L:M,2,FALSE)</f>
        <v>64100</v>
      </c>
    </row>
    <row r="219" spans="1:13" ht="13.5" customHeight="1" x14ac:dyDescent="0.4">
      <c r="A219" s="1">
        <v>45720</v>
      </c>
      <c r="B219" t="s">
        <v>165</v>
      </c>
      <c r="C219">
        <v>24.62</v>
      </c>
      <c r="D219" s="2" t="s">
        <v>1804</v>
      </c>
      <c r="E219" t="s">
        <v>165</v>
      </c>
      <c r="F219" s="2" t="s">
        <v>167</v>
      </c>
      <c r="G219" s="2" t="s">
        <v>87</v>
      </c>
      <c r="H219">
        <v>75202</v>
      </c>
      <c r="I219" t="s">
        <v>16</v>
      </c>
      <c r="J219" t="s">
        <v>1805</v>
      </c>
      <c r="K219" t="s">
        <v>96</v>
      </c>
      <c r="L219" t="s">
        <v>2047</v>
      </c>
      <c r="M219">
        <f>VLOOKUP(SUBSTITUTE(J219,"'",""),Sheet1!L:M,2,FALSE)</f>
        <v>64100</v>
      </c>
    </row>
    <row r="220" spans="1:13" ht="13.5" customHeight="1" x14ac:dyDescent="0.4">
      <c r="A220" s="1">
        <v>45720</v>
      </c>
      <c r="B220" t="s">
        <v>1527</v>
      </c>
      <c r="C220">
        <v>313.77999999999997</v>
      </c>
      <c r="D220" s="2" t="s">
        <v>1815</v>
      </c>
      <c r="E220" t="s">
        <v>1527</v>
      </c>
      <c r="F220" s="2" t="s">
        <v>1489</v>
      </c>
      <c r="G220" s="2" t="s">
        <v>1485</v>
      </c>
      <c r="H220" t="s">
        <v>1529</v>
      </c>
      <c r="I220" t="s">
        <v>16</v>
      </c>
      <c r="J220" t="s">
        <v>1816</v>
      </c>
      <c r="K220" t="s">
        <v>50</v>
      </c>
      <c r="L220" t="s">
        <v>2047</v>
      </c>
      <c r="M220">
        <f>VLOOKUP(SUBSTITUTE(J220,"'",""),Sheet1!L:M,2,FALSE)</f>
        <v>61110</v>
      </c>
    </row>
    <row r="221" spans="1:13" ht="13.5" customHeight="1" x14ac:dyDescent="0.4">
      <c r="A221" s="1">
        <v>45720</v>
      </c>
      <c r="B221" t="s">
        <v>38</v>
      </c>
      <c r="C221">
        <v>653.32000000000005</v>
      </c>
      <c r="D221" s="2" t="s">
        <v>1810</v>
      </c>
      <c r="E221" t="s">
        <v>38</v>
      </c>
      <c r="F221" t="s">
        <v>40</v>
      </c>
      <c r="G221" s="2" t="s">
        <v>41</v>
      </c>
      <c r="H221">
        <v>10012</v>
      </c>
      <c r="I221" t="s">
        <v>16</v>
      </c>
      <c r="J221" t="s">
        <v>1811</v>
      </c>
      <c r="K221" t="s">
        <v>43</v>
      </c>
      <c r="L221" t="s">
        <v>2047</v>
      </c>
      <c r="M221">
        <f>VLOOKUP(SUBSTITUTE(J221,"'",""),Sheet1!L:M,2,FALSE)</f>
        <v>61131</v>
      </c>
    </row>
    <row r="222" spans="1:13" ht="13.5" customHeight="1" x14ac:dyDescent="0.4">
      <c r="A222" s="1">
        <v>45720</v>
      </c>
      <c r="B222" t="s">
        <v>1431</v>
      </c>
      <c r="C222">
        <v>600</v>
      </c>
      <c r="D222" s="2" t="s">
        <v>1813</v>
      </c>
      <c r="E222" t="s">
        <v>1431</v>
      </c>
      <c r="F222" t="s">
        <v>1433</v>
      </c>
      <c r="G222" s="2" t="s">
        <v>41</v>
      </c>
      <c r="H222">
        <v>10013</v>
      </c>
      <c r="I222" t="s">
        <v>16</v>
      </c>
      <c r="J222" t="s">
        <v>1814</v>
      </c>
      <c r="K222" t="s">
        <v>126</v>
      </c>
      <c r="L222" t="s">
        <v>2047</v>
      </c>
      <c r="M222">
        <f>VLOOKUP(SUBSTITUTE(J222,"'",""),Sheet1!L:M,2,FALSE)</f>
        <v>61215</v>
      </c>
    </row>
    <row r="223" spans="1:13" ht="13.5" customHeight="1" x14ac:dyDescent="0.4">
      <c r="A223" s="1">
        <v>45721</v>
      </c>
      <c r="B223" t="s">
        <v>165</v>
      </c>
      <c r="C223">
        <v>24.62</v>
      </c>
      <c r="D223" s="2" t="s">
        <v>1782</v>
      </c>
      <c r="E223" t="s">
        <v>165</v>
      </c>
      <c r="F223" s="2" t="s">
        <v>167</v>
      </c>
      <c r="G223" s="2" t="s">
        <v>87</v>
      </c>
      <c r="H223">
        <v>75202</v>
      </c>
      <c r="I223" t="s">
        <v>16</v>
      </c>
      <c r="J223" t="s">
        <v>1783</v>
      </c>
      <c r="K223" t="s">
        <v>96</v>
      </c>
      <c r="L223" t="s">
        <v>2047</v>
      </c>
      <c r="M223">
        <f>VLOOKUP(SUBSTITUTE(J223,"'",""),Sheet1!L:M,2,FALSE)</f>
        <v>64100</v>
      </c>
    </row>
    <row r="224" spans="1:13" ht="13.5" customHeight="1" x14ac:dyDescent="0.4">
      <c r="A224" s="1">
        <v>45721</v>
      </c>
      <c r="B224" t="s">
        <v>517</v>
      </c>
      <c r="C224">
        <v>4</v>
      </c>
      <c r="D224" s="2" t="s">
        <v>1796</v>
      </c>
      <c r="E224" t="s">
        <v>517</v>
      </c>
      <c r="F224" t="s">
        <v>519</v>
      </c>
      <c r="G224" s="2" t="s">
        <v>35</v>
      </c>
      <c r="H224">
        <v>94107</v>
      </c>
      <c r="I224" t="s">
        <v>16</v>
      </c>
      <c r="J224" t="s">
        <v>1797</v>
      </c>
      <c r="K224" t="s">
        <v>96</v>
      </c>
      <c r="L224" t="s">
        <v>2047</v>
      </c>
      <c r="M224">
        <f>VLOOKUP(SUBSTITUTE(J224,"'",""),Sheet1!L:M,2,FALSE)</f>
        <v>64100</v>
      </c>
    </row>
    <row r="225" spans="1:13" ht="13.5" customHeight="1" x14ac:dyDescent="0.4">
      <c r="A225" s="1">
        <v>45721</v>
      </c>
      <c r="B225" t="s">
        <v>478</v>
      </c>
      <c r="C225">
        <v>26.97</v>
      </c>
      <c r="D225" s="2" t="s">
        <v>1802</v>
      </c>
      <c r="E225" t="s">
        <v>480</v>
      </c>
      <c r="F225" s="2" t="s">
        <v>481</v>
      </c>
      <c r="G225" s="2" t="s">
        <v>35</v>
      </c>
      <c r="H225">
        <v>94103</v>
      </c>
      <c r="I225" t="s">
        <v>16</v>
      </c>
      <c r="J225" t="s">
        <v>1803</v>
      </c>
      <c r="K225" t="s">
        <v>483</v>
      </c>
      <c r="L225" t="s">
        <v>2047</v>
      </c>
      <c r="M225">
        <f>VLOOKUP(SUBSTITUTE(J225,"'",""),Sheet1!L:M,2,FALSE)</f>
        <v>61130</v>
      </c>
    </row>
    <row r="226" spans="1:13" ht="13.5" customHeight="1" x14ac:dyDescent="0.4">
      <c r="A226" s="1">
        <v>45721</v>
      </c>
      <c r="B226" t="s">
        <v>906</v>
      </c>
      <c r="C226">
        <v>9.9499999999999993</v>
      </c>
      <c r="D226" s="2" t="s">
        <v>1798</v>
      </c>
      <c r="E226" t="s">
        <v>906</v>
      </c>
      <c r="F226" t="s">
        <v>908</v>
      </c>
      <c r="G226" s="2" t="s">
        <v>909</v>
      </c>
      <c r="H226">
        <v>85016</v>
      </c>
      <c r="I226" t="s">
        <v>910</v>
      </c>
      <c r="J226" t="s">
        <v>1799</v>
      </c>
      <c r="K226" t="s">
        <v>321</v>
      </c>
      <c r="L226" t="s">
        <v>2047</v>
      </c>
      <c r="M226">
        <f>VLOOKUP(SUBSTITUTE(J226,"'",""),Sheet1!L:M,2,FALSE)</f>
        <v>61120</v>
      </c>
    </row>
    <row r="227" spans="1:13" ht="13.5" customHeight="1" x14ac:dyDescent="0.4">
      <c r="A227" s="1">
        <v>45721</v>
      </c>
      <c r="B227" t="s">
        <v>906</v>
      </c>
      <c r="C227">
        <v>9.9499999999999993</v>
      </c>
      <c r="D227" s="2" t="s">
        <v>1800</v>
      </c>
      <c r="E227" t="s">
        <v>906</v>
      </c>
      <c r="F227" t="s">
        <v>908</v>
      </c>
      <c r="G227" s="2" t="s">
        <v>909</v>
      </c>
      <c r="H227">
        <v>85016</v>
      </c>
      <c r="I227" t="s">
        <v>910</v>
      </c>
      <c r="J227" t="s">
        <v>1801</v>
      </c>
      <c r="K227" t="s">
        <v>321</v>
      </c>
      <c r="L227" t="s">
        <v>2047</v>
      </c>
      <c r="M227">
        <f>VLOOKUP(SUBSTITUTE(J227,"'",""),Sheet1!L:M,2,FALSE)</f>
        <v>61120</v>
      </c>
    </row>
    <row r="228" spans="1:13" ht="13.5" customHeight="1" x14ac:dyDescent="0.4">
      <c r="A228" s="1">
        <v>45721</v>
      </c>
      <c r="B228" t="s">
        <v>895</v>
      </c>
      <c r="C228">
        <v>9.9499999999999993</v>
      </c>
      <c r="D228" s="2" t="s">
        <v>1788</v>
      </c>
      <c r="E228" t="s">
        <v>895</v>
      </c>
      <c r="F228" s="2" t="s">
        <v>897</v>
      </c>
      <c r="G228" s="2" t="s">
        <v>898</v>
      </c>
      <c r="H228">
        <v>33337</v>
      </c>
      <c r="I228" t="s">
        <v>16</v>
      </c>
      <c r="J228" t="s">
        <v>1789</v>
      </c>
      <c r="K228" t="s">
        <v>321</v>
      </c>
      <c r="L228" t="s">
        <v>2047</v>
      </c>
      <c r="M228">
        <f>VLOOKUP(SUBSTITUTE(J228,"'",""),Sheet1!L:M,2,FALSE)</f>
        <v>61120</v>
      </c>
    </row>
    <row r="229" spans="1:13" ht="13.5" customHeight="1" x14ac:dyDescent="0.4">
      <c r="A229" s="1">
        <v>45721</v>
      </c>
      <c r="B229" t="s">
        <v>895</v>
      </c>
      <c r="C229">
        <v>9.9499999999999993</v>
      </c>
      <c r="D229" s="2" t="s">
        <v>1790</v>
      </c>
      <c r="E229" t="s">
        <v>895</v>
      </c>
      <c r="F229" s="2" t="s">
        <v>897</v>
      </c>
      <c r="G229" s="2" t="s">
        <v>898</v>
      </c>
      <c r="H229">
        <v>33337</v>
      </c>
      <c r="I229" t="s">
        <v>16</v>
      </c>
      <c r="J229" t="s">
        <v>1791</v>
      </c>
      <c r="K229" t="s">
        <v>321</v>
      </c>
      <c r="L229" t="s">
        <v>2047</v>
      </c>
      <c r="M229">
        <f>VLOOKUP(SUBSTITUTE(J229,"'",""),Sheet1!L:M,2,FALSE)</f>
        <v>61120</v>
      </c>
    </row>
    <row r="230" spans="1:13" ht="13.5" customHeight="1" x14ac:dyDescent="0.4">
      <c r="A230" s="1">
        <v>45721</v>
      </c>
      <c r="B230" t="s">
        <v>888</v>
      </c>
      <c r="C230">
        <v>14</v>
      </c>
      <c r="D230" s="2" t="s">
        <v>1784</v>
      </c>
      <c r="E230" t="s">
        <v>888</v>
      </c>
      <c r="F230" t="s">
        <v>890</v>
      </c>
      <c r="G230" s="2" t="s">
        <v>891</v>
      </c>
      <c r="H230">
        <v>54307</v>
      </c>
      <c r="I230" t="s">
        <v>16</v>
      </c>
      <c r="J230" t="s">
        <v>1785</v>
      </c>
      <c r="K230" t="s">
        <v>321</v>
      </c>
      <c r="L230" t="s">
        <v>2047</v>
      </c>
      <c r="M230">
        <f>VLOOKUP(SUBSTITUTE(J230,"'",""),Sheet1!L:M,2,FALSE)</f>
        <v>61120</v>
      </c>
    </row>
    <row r="231" spans="1:13" ht="13.5" customHeight="1" x14ac:dyDescent="0.4">
      <c r="A231" s="1">
        <v>45721</v>
      </c>
      <c r="B231" t="s">
        <v>888</v>
      </c>
      <c r="C231">
        <v>14</v>
      </c>
      <c r="D231" s="2" t="s">
        <v>1786</v>
      </c>
      <c r="E231" t="s">
        <v>888</v>
      </c>
      <c r="F231" t="s">
        <v>890</v>
      </c>
      <c r="G231" s="2" t="s">
        <v>891</v>
      </c>
      <c r="H231">
        <v>54307</v>
      </c>
      <c r="I231" t="s">
        <v>16</v>
      </c>
      <c r="J231" t="s">
        <v>1787</v>
      </c>
      <c r="K231" t="s">
        <v>321</v>
      </c>
      <c r="L231" t="s">
        <v>2047</v>
      </c>
      <c r="M231">
        <f>VLOOKUP(SUBSTITUTE(J231,"'",""),Sheet1!L:M,2,FALSE)</f>
        <v>61120</v>
      </c>
    </row>
    <row r="232" spans="1:13" ht="13.5" customHeight="1" x14ac:dyDescent="0.4">
      <c r="A232" s="1">
        <v>45721</v>
      </c>
      <c r="B232" t="s">
        <v>1792</v>
      </c>
      <c r="C232">
        <v>128.4</v>
      </c>
      <c r="D232" s="2" t="s">
        <v>1793</v>
      </c>
      <c r="E232" t="s">
        <v>1792</v>
      </c>
      <c r="F232" t="s">
        <v>1794</v>
      </c>
      <c r="G232" s="2" t="s">
        <v>35</v>
      </c>
      <c r="H232">
        <v>94105</v>
      </c>
      <c r="I232" t="s">
        <v>16</v>
      </c>
      <c r="J232" t="s">
        <v>1795</v>
      </c>
      <c r="K232" t="s">
        <v>37</v>
      </c>
      <c r="L232" t="s">
        <v>2047</v>
      </c>
      <c r="M232">
        <f>VLOOKUP(SUBSTITUTE(J232,"'",""),Sheet1!L:M,2,FALSE)</f>
        <v>64100</v>
      </c>
    </row>
    <row r="233" spans="1:13" ht="13.5" customHeight="1" x14ac:dyDescent="0.4">
      <c r="A233" s="1">
        <v>45721</v>
      </c>
      <c r="B233" t="s">
        <v>2340</v>
      </c>
      <c r="C233">
        <v>16.87</v>
      </c>
      <c r="D233" s="2" t="s">
        <v>4398</v>
      </c>
      <c r="E233" t="s">
        <v>2340</v>
      </c>
      <c r="F233" s="2" t="s">
        <v>2342</v>
      </c>
      <c r="G233" s="2" t="s">
        <v>14</v>
      </c>
      <c r="H233">
        <v>98119</v>
      </c>
      <c r="I233" t="s">
        <v>16</v>
      </c>
      <c r="J233" t="s">
        <v>4399</v>
      </c>
      <c r="K233" t="s">
        <v>96</v>
      </c>
      <c r="L233" t="s">
        <v>4673</v>
      </c>
      <c r="M233">
        <f>VLOOKUP(SUBSTITUTE(J233,"'",""),Sheet1!L:M,2,FALSE)</f>
        <v>65700</v>
      </c>
    </row>
    <row r="234" spans="1:13" ht="13.5" customHeight="1" x14ac:dyDescent="0.4">
      <c r="A234" s="1">
        <v>45721</v>
      </c>
      <c r="B234" t="s">
        <v>2158</v>
      </c>
      <c r="C234">
        <v>200</v>
      </c>
      <c r="D234" s="2" t="s">
        <v>4400</v>
      </c>
      <c r="E234" t="s">
        <v>2158</v>
      </c>
      <c r="F234" s="2" t="s">
        <v>3032</v>
      </c>
      <c r="G234" s="2" t="s">
        <v>41</v>
      </c>
      <c r="H234">
        <v>10017</v>
      </c>
      <c r="I234" t="s">
        <v>16</v>
      </c>
      <c r="J234" t="s">
        <v>4401</v>
      </c>
      <c r="K234" t="s">
        <v>116</v>
      </c>
      <c r="L234" t="s">
        <v>4673</v>
      </c>
      <c r="M234">
        <f>VLOOKUP(SUBSTITUTE(J234,"'",""),Sheet1!L:M,2,FALSE)</f>
        <v>54820</v>
      </c>
    </row>
    <row r="235" spans="1:13" ht="13.5" customHeight="1" x14ac:dyDescent="0.4">
      <c r="A235" s="1">
        <v>45722</v>
      </c>
      <c r="B235" t="s">
        <v>2217</v>
      </c>
      <c r="C235">
        <v>11.33</v>
      </c>
      <c r="D235" s="2" t="s">
        <v>4394</v>
      </c>
      <c r="E235" t="s">
        <v>2217</v>
      </c>
      <c r="F235" t="s">
        <v>2219</v>
      </c>
      <c r="G235" s="2" t="s">
        <v>41</v>
      </c>
      <c r="H235">
        <v>10013</v>
      </c>
      <c r="I235" t="s">
        <v>16</v>
      </c>
      <c r="J235" t="s">
        <v>4395</v>
      </c>
      <c r="K235" t="s">
        <v>321</v>
      </c>
      <c r="L235" t="s">
        <v>4673</v>
      </c>
      <c r="M235">
        <f>VLOOKUP(SUBSTITUTE(J235,"'",""),Sheet1!L:M,2,FALSE)</f>
        <v>54820</v>
      </c>
    </row>
    <row r="236" spans="1:13" ht="13.5" customHeight="1" x14ac:dyDescent="0.4">
      <c r="A236" s="1">
        <v>45722</v>
      </c>
      <c r="B236" t="s">
        <v>583</v>
      </c>
      <c r="C236">
        <v>86.7</v>
      </c>
      <c r="D236" s="2" t="s">
        <v>1780</v>
      </c>
      <c r="E236" t="s">
        <v>583</v>
      </c>
      <c r="F236" s="2" t="s">
        <v>585</v>
      </c>
      <c r="G236" s="2" t="s">
        <v>35</v>
      </c>
      <c r="H236">
        <v>94103</v>
      </c>
      <c r="I236" t="s">
        <v>16</v>
      </c>
      <c r="J236" t="s">
        <v>1781</v>
      </c>
      <c r="K236" t="s">
        <v>126</v>
      </c>
      <c r="L236" t="s">
        <v>2047</v>
      </c>
      <c r="M236">
        <f>VLOOKUP(SUBSTITUTE(J236,"'",""),Sheet1!L:M,2,FALSE)</f>
        <v>54820</v>
      </c>
    </row>
    <row r="237" spans="1:13" ht="13.5" customHeight="1" x14ac:dyDescent="0.4">
      <c r="A237" s="1">
        <v>45722</v>
      </c>
      <c r="B237" t="s">
        <v>2354</v>
      </c>
      <c r="C237">
        <v>109.99</v>
      </c>
      <c r="D237" s="2" t="s">
        <v>4396</v>
      </c>
      <c r="E237" t="s">
        <v>2354</v>
      </c>
      <c r="F237" t="s">
        <v>2356</v>
      </c>
      <c r="G237" s="2" t="s">
        <v>2357</v>
      </c>
      <c r="H237">
        <v>63131</v>
      </c>
      <c r="I237" t="s">
        <v>16</v>
      </c>
      <c r="J237" t="s">
        <v>4397</v>
      </c>
      <c r="K237" t="s">
        <v>201</v>
      </c>
      <c r="L237" t="s">
        <v>4673</v>
      </c>
      <c r="M237">
        <f>VLOOKUP(SUBSTITUTE(J237,"'",""),Sheet1!L:M,2,FALSE)</f>
        <v>65700</v>
      </c>
    </row>
    <row r="238" spans="1:13" ht="13.5" customHeight="1" x14ac:dyDescent="0.4">
      <c r="A238" s="1">
        <v>45722</v>
      </c>
      <c r="B238" t="s">
        <v>1666</v>
      </c>
      <c r="C238">
        <v>24.95</v>
      </c>
      <c r="D238" s="2" t="s">
        <v>1778</v>
      </c>
      <c r="E238" t="s">
        <v>1666</v>
      </c>
      <c r="F238" s="2" t="s">
        <v>319</v>
      </c>
      <c r="G238" s="2" t="s">
        <v>41</v>
      </c>
      <c r="H238">
        <v>10285</v>
      </c>
      <c r="I238" t="s">
        <v>16</v>
      </c>
      <c r="J238" t="s">
        <v>1779</v>
      </c>
      <c r="K238" t="s">
        <v>321</v>
      </c>
      <c r="L238" t="s">
        <v>2047</v>
      </c>
      <c r="M238">
        <f>VLOOKUP(SUBSTITUTE(J238,"'",""),Sheet1!L:M,2,FALSE)</f>
        <v>61131</v>
      </c>
    </row>
    <row r="239" spans="1:13" ht="13.5" customHeight="1" x14ac:dyDescent="0.4">
      <c r="A239" s="1">
        <v>45722</v>
      </c>
      <c r="B239" t="s">
        <v>1775</v>
      </c>
      <c r="C239">
        <v>25.17</v>
      </c>
      <c r="D239" s="2" t="s">
        <v>1776</v>
      </c>
      <c r="E239" t="s">
        <v>1775</v>
      </c>
      <c r="F239" t="s">
        <v>1770</v>
      </c>
      <c r="G239" s="2" t="s">
        <v>1771</v>
      </c>
      <c r="H239">
        <v>85284</v>
      </c>
      <c r="I239" t="s">
        <v>16</v>
      </c>
      <c r="J239" t="s">
        <v>1777</v>
      </c>
      <c r="K239" t="s">
        <v>96</v>
      </c>
      <c r="L239" t="s">
        <v>2047</v>
      </c>
      <c r="M239">
        <f>VLOOKUP(SUBSTITUTE(J239,"'",""),Sheet1!L:M,2,FALSE)</f>
        <v>64100</v>
      </c>
    </row>
    <row r="240" spans="1:13" ht="13.5" customHeight="1" x14ac:dyDescent="0.4">
      <c r="A240" s="1">
        <v>45722</v>
      </c>
      <c r="B240" t="s">
        <v>2142</v>
      </c>
      <c r="C240">
        <v>42.19</v>
      </c>
      <c r="D240" s="2" t="s">
        <v>4390</v>
      </c>
      <c r="E240" t="s">
        <v>2142</v>
      </c>
      <c r="F240" t="s">
        <v>2144</v>
      </c>
      <c r="G240" s="2" t="s">
        <v>41</v>
      </c>
      <c r="H240">
        <v>10012</v>
      </c>
      <c r="I240" t="s">
        <v>16</v>
      </c>
      <c r="J240" t="s">
        <v>4391</v>
      </c>
      <c r="K240" t="s">
        <v>1304</v>
      </c>
      <c r="L240" t="s">
        <v>4673</v>
      </c>
      <c r="M240">
        <f>VLOOKUP(SUBSTITUTE(J240,"'",""),Sheet1!L:M,2,FALSE)</f>
        <v>54820</v>
      </c>
    </row>
    <row r="241" spans="1:13" ht="13.5" customHeight="1" x14ac:dyDescent="0.4">
      <c r="A241" s="1">
        <v>45722</v>
      </c>
      <c r="B241" t="s">
        <v>3558</v>
      </c>
      <c r="C241">
        <v>2.98</v>
      </c>
      <c r="D241" s="2" t="s">
        <v>4392</v>
      </c>
      <c r="E241" t="s">
        <v>3558</v>
      </c>
      <c r="F241" s="2" t="s">
        <v>2785</v>
      </c>
      <c r="G241" s="2" t="s">
        <v>2786</v>
      </c>
      <c r="H241">
        <v>10011</v>
      </c>
      <c r="I241" t="s">
        <v>16</v>
      </c>
      <c r="J241" t="s">
        <v>4393</v>
      </c>
      <c r="K241" t="s">
        <v>1304</v>
      </c>
      <c r="L241" t="s">
        <v>4673</v>
      </c>
      <c r="M241">
        <f>VLOOKUP(SUBSTITUTE(J241,"'",""),Sheet1!L:M,2,FALSE)</f>
        <v>54820</v>
      </c>
    </row>
    <row r="242" spans="1:13" ht="13.5" customHeight="1" x14ac:dyDescent="0.4">
      <c r="A242" s="1">
        <v>45723</v>
      </c>
      <c r="B242" t="s">
        <v>165</v>
      </c>
      <c r="C242">
        <v>21.38</v>
      </c>
      <c r="D242" s="2" t="s">
        <v>1764</v>
      </c>
      <c r="E242" t="s">
        <v>165</v>
      </c>
      <c r="F242" s="2" t="s">
        <v>167</v>
      </c>
      <c r="G242" s="2" t="s">
        <v>87</v>
      </c>
      <c r="H242">
        <v>75202</v>
      </c>
      <c r="I242" t="s">
        <v>16</v>
      </c>
      <c r="J242" t="s">
        <v>1765</v>
      </c>
      <c r="K242" t="s">
        <v>96</v>
      </c>
      <c r="L242" t="s">
        <v>2047</v>
      </c>
      <c r="M242">
        <f>VLOOKUP(SUBSTITUTE(J242,"'",""),Sheet1!L:M,2,FALSE)</f>
        <v>64100</v>
      </c>
    </row>
    <row r="243" spans="1:13" ht="13.5" customHeight="1" x14ac:dyDescent="0.4">
      <c r="A243" s="1">
        <v>45723</v>
      </c>
      <c r="B243" t="s">
        <v>260</v>
      </c>
      <c r="C243">
        <v>27.22</v>
      </c>
      <c r="D243" s="2" t="s">
        <v>1773</v>
      </c>
      <c r="E243" t="s">
        <v>260</v>
      </c>
      <c r="F243" t="s">
        <v>29</v>
      </c>
      <c r="G243" t="e">
        <f>-
TX</f>
        <v>#NAME?</v>
      </c>
      <c r="H243">
        <v>75231</v>
      </c>
      <c r="I243" t="s">
        <v>16</v>
      </c>
      <c r="J243" t="s">
        <v>1774</v>
      </c>
      <c r="K243" t="s">
        <v>61</v>
      </c>
      <c r="L243" t="s">
        <v>2047</v>
      </c>
      <c r="M243">
        <f>VLOOKUP(SUBSTITUTE(J243,"'",""),Sheet1!L:M,2,FALSE)</f>
        <v>63100</v>
      </c>
    </row>
    <row r="244" spans="1:13" ht="13.5" customHeight="1" x14ac:dyDescent="0.4">
      <c r="A244" s="1">
        <v>45723</v>
      </c>
      <c r="B244" t="s">
        <v>1768</v>
      </c>
      <c r="C244">
        <v>134.33000000000001</v>
      </c>
      <c r="D244" s="2" t="s">
        <v>1769</v>
      </c>
      <c r="E244" t="s">
        <v>1768</v>
      </c>
      <c r="F244" t="s">
        <v>1770</v>
      </c>
      <c r="G244" s="2" t="s">
        <v>1771</v>
      </c>
      <c r="H244">
        <v>85284</v>
      </c>
      <c r="I244" t="s">
        <v>16</v>
      </c>
      <c r="J244" t="s">
        <v>1772</v>
      </c>
      <c r="K244" t="s">
        <v>96</v>
      </c>
      <c r="L244" t="s">
        <v>2047</v>
      </c>
      <c r="M244">
        <f>VLOOKUP(SUBSTITUTE(J244,"'",""),Sheet1!L:M,2,FALSE)</f>
        <v>64100</v>
      </c>
    </row>
    <row r="245" spans="1:13" ht="13.5" customHeight="1" x14ac:dyDescent="0.4">
      <c r="A245" s="1">
        <v>45723</v>
      </c>
      <c r="B245" t="s">
        <v>2311</v>
      </c>
      <c r="C245">
        <v>97.17</v>
      </c>
      <c r="D245" s="2" t="s">
        <v>4388</v>
      </c>
      <c r="E245" t="s">
        <v>2311</v>
      </c>
      <c r="F245" s="2" t="s">
        <v>2313</v>
      </c>
      <c r="G245" s="2" t="s">
        <v>2314</v>
      </c>
      <c r="H245" t="s">
        <v>2315</v>
      </c>
      <c r="I245" t="s">
        <v>16</v>
      </c>
      <c r="J245" t="s">
        <v>4389</v>
      </c>
      <c r="K245" t="s">
        <v>37</v>
      </c>
      <c r="L245" t="s">
        <v>4673</v>
      </c>
      <c r="M245">
        <f>VLOOKUP(SUBSTITUTE(J245,"'",""),Sheet1!L:M,2,FALSE)</f>
        <v>64100</v>
      </c>
    </row>
    <row r="246" spans="1:13" ht="13.5" customHeight="1" x14ac:dyDescent="0.4">
      <c r="A246" s="1">
        <v>45723</v>
      </c>
      <c r="B246" t="s">
        <v>2146</v>
      </c>
      <c r="C246">
        <v>41.72</v>
      </c>
      <c r="D246" s="2" t="s">
        <v>4386</v>
      </c>
      <c r="E246" t="s">
        <v>2146</v>
      </c>
      <c r="F246" t="s">
        <v>2148</v>
      </c>
      <c r="G246" s="2" t="s">
        <v>2149</v>
      </c>
      <c r="H246" s="3" t="s">
        <v>2150</v>
      </c>
      <c r="I246" t="s">
        <v>16</v>
      </c>
      <c r="J246" t="s">
        <v>4387</v>
      </c>
      <c r="K246" t="s">
        <v>1904</v>
      </c>
      <c r="L246" t="s">
        <v>4673</v>
      </c>
      <c r="M246">
        <f>VLOOKUP(SUBSTITUTE(J246,"'",""),Sheet1!L:M,2,FALSE)</f>
        <v>67500</v>
      </c>
    </row>
    <row r="247" spans="1:13" ht="13.5" customHeight="1" x14ac:dyDescent="0.4">
      <c r="A247" s="1">
        <v>45723</v>
      </c>
      <c r="B247" t="s">
        <v>169</v>
      </c>
      <c r="C247">
        <v>21.39</v>
      </c>
      <c r="D247" s="2" t="s">
        <v>1766</v>
      </c>
      <c r="E247" t="s">
        <v>169</v>
      </c>
      <c r="F247" s="2" t="s">
        <v>171</v>
      </c>
      <c r="G247" s="2" t="s">
        <v>172</v>
      </c>
      <c r="H247">
        <v>95035</v>
      </c>
      <c r="I247" t="s">
        <v>16</v>
      </c>
      <c r="J247" t="s">
        <v>1767</v>
      </c>
      <c r="K247" t="s">
        <v>174</v>
      </c>
      <c r="L247" t="s">
        <v>2047</v>
      </c>
      <c r="M247">
        <f>VLOOKUP(SUBSTITUTE(J247,"'",""),Sheet1!L:M,2,FALSE)</f>
        <v>64100</v>
      </c>
    </row>
    <row r="248" spans="1:13" ht="13.5" customHeight="1" x14ac:dyDescent="0.4">
      <c r="A248" s="1">
        <v>45724</v>
      </c>
      <c r="B248" t="s">
        <v>22</v>
      </c>
      <c r="C248">
        <v>-10000</v>
      </c>
      <c r="D248" t="s">
        <v>22</v>
      </c>
      <c r="E248" t="s">
        <v>22</v>
      </c>
      <c r="J248" t="s">
        <v>1763</v>
      </c>
      <c r="L248" t="s">
        <v>2047</v>
      </c>
      <c r="M248" t="e">
        <f>VLOOKUP(SUBSTITUTE(J248,"'",""),Sheet1!L:M,2,FALSE)</f>
        <v>#N/A</v>
      </c>
    </row>
    <row r="249" spans="1:13" ht="13.5" customHeight="1" x14ac:dyDescent="0.4">
      <c r="A249" s="1">
        <v>45724</v>
      </c>
      <c r="B249" t="s">
        <v>4382</v>
      </c>
      <c r="C249">
        <v>616.95000000000005</v>
      </c>
      <c r="D249" s="2" t="s">
        <v>4383</v>
      </c>
      <c r="E249" t="s">
        <v>4382</v>
      </c>
      <c r="F249" s="2" t="s">
        <v>4384</v>
      </c>
      <c r="G249" s="2" t="s">
        <v>2786</v>
      </c>
      <c r="H249">
        <v>10011</v>
      </c>
      <c r="I249" t="s">
        <v>16</v>
      </c>
      <c r="J249" t="s">
        <v>4385</v>
      </c>
      <c r="K249" t="s">
        <v>116</v>
      </c>
      <c r="L249" t="s">
        <v>4673</v>
      </c>
      <c r="M249">
        <f>VLOOKUP(SUBSTITUTE(J249,"'",""),Sheet1!L:M,2,FALSE)</f>
        <v>54820</v>
      </c>
    </row>
    <row r="250" spans="1:13" ht="13.5" customHeight="1" x14ac:dyDescent="0.4">
      <c r="A250" s="1">
        <v>45724</v>
      </c>
      <c r="B250" t="s">
        <v>1756</v>
      </c>
      <c r="C250">
        <v>9.15</v>
      </c>
      <c r="D250" s="2" t="s">
        <v>1757</v>
      </c>
      <c r="E250" t="s">
        <v>1756</v>
      </c>
      <c r="F250" t="s">
        <v>29</v>
      </c>
      <c r="G250" t="e">
        <f>-
NY</f>
        <v>#NAME?</v>
      </c>
      <c r="H250">
        <v>11577</v>
      </c>
      <c r="I250" t="s">
        <v>16</v>
      </c>
      <c r="J250" t="s">
        <v>1758</v>
      </c>
      <c r="K250" t="s">
        <v>31</v>
      </c>
      <c r="L250" t="s">
        <v>2047</v>
      </c>
      <c r="M250">
        <f>VLOOKUP(SUBSTITUTE(J250,"'",""),Sheet1!L:M,2,FALSE)</f>
        <v>61131</v>
      </c>
    </row>
    <row r="251" spans="1:13" ht="13.5" customHeight="1" x14ac:dyDescent="0.4">
      <c r="A251" s="1">
        <v>45724</v>
      </c>
      <c r="B251" t="s">
        <v>1759</v>
      </c>
      <c r="C251">
        <v>63.92</v>
      </c>
      <c r="D251" s="2" t="s">
        <v>1760</v>
      </c>
      <c r="E251" t="s">
        <v>1759</v>
      </c>
      <c r="F251" t="s">
        <v>1761</v>
      </c>
      <c r="G251" s="2" t="s">
        <v>47</v>
      </c>
      <c r="H251">
        <v>12866</v>
      </c>
      <c r="I251" t="s">
        <v>16</v>
      </c>
      <c r="J251" t="s">
        <v>1762</v>
      </c>
      <c r="K251" t="s">
        <v>305</v>
      </c>
      <c r="L251" t="s">
        <v>2047</v>
      </c>
      <c r="M251">
        <f>VLOOKUP(SUBSTITUTE(J251,"'",""),Sheet1!L:M,2,FALSE)</f>
        <v>54820</v>
      </c>
    </row>
    <row r="252" spans="1:13" ht="13.5" customHeight="1" x14ac:dyDescent="0.4">
      <c r="A252" s="1">
        <v>45724</v>
      </c>
      <c r="B252" t="s">
        <v>1752</v>
      </c>
      <c r="C252">
        <v>80</v>
      </c>
      <c r="D252" s="2" t="s">
        <v>1753</v>
      </c>
      <c r="E252" t="s">
        <v>1752</v>
      </c>
      <c r="F252" s="2" t="s">
        <v>1754</v>
      </c>
      <c r="G252" s="2" t="s">
        <v>47</v>
      </c>
      <c r="H252">
        <v>12866</v>
      </c>
      <c r="I252" t="s">
        <v>16</v>
      </c>
      <c r="J252" t="s">
        <v>1755</v>
      </c>
      <c r="K252" t="s">
        <v>126</v>
      </c>
      <c r="L252" t="s">
        <v>2047</v>
      </c>
      <c r="M252">
        <f>VLOOKUP(SUBSTITUTE(J252,"'",""),Sheet1!L:M,2,FALSE)</f>
        <v>61215</v>
      </c>
    </row>
    <row r="253" spans="1:13" ht="13.5" customHeight="1" x14ac:dyDescent="0.4">
      <c r="A253" s="1">
        <v>45725</v>
      </c>
      <c r="B253" t="s">
        <v>153</v>
      </c>
      <c r="C253">
        <v>151.34</v>
      </c>
      <c r="D253" s="2" t="s">
        <v>4380</v>
      </c>
      <c r="E253" t="s">
        <v>153</v>
      </c>
      <c r="F253" t="s">
        <v>155</v>
      </c>
      <c r="G253" s="2" t="s">
        <v>156</v>
      </c>
      <c r="H253">
        <v>98052</v>
      </c>
      <c r="I253" t="s">
        <v>16</v>
      </c>
      <c r="J253" t="s">
        <v>4381</v>
      </c>
      <c r="K253" t="s">
        <v>96</v>
      </c>
      <c r="L253" t="s">
        <v>4673</v>
      </c>
      <c r="M253">
        <f>VLOOKUP(SUBSTITUTE(J253,"'",""),Sheet1!L:M,2,FALSE)</f>
        <v>64100</v>
      </c>
    </row>
    <row r="254" spans="1:13" ht="13.5" customHeight="1" x14ac:dyDescent="0.4">
      <c r="A254" s="1">
        <v>45725</v>
      </c>
      <c r="B254" t="s">
        <v>153</v>
      </c>
      <c r="C254">
        <v>201.72</v>
      </c>
      <c r="D254" s="2" t="s">
        <v>1748</v>
      </c>
      <c r="E254" t="s">
        <v>153</v>
      </c>
      <c r="F254" t="s">
        <v>155</v>
      </c>
      <c r="G254" s="2" t="s">
        <v>156</v>
      </c>
      <c r="H254">
        <v>98052</v>
      </c>
      <c r="I254" t="s">
        <v>16</v>
      </c>
      <c r="J254" t="s">
        <v>1749</v>
      </c>
      <c r="K254" t="s">
        <v>96</v>
      </c>
      <c r="L254" t="s">
        <v>2047</v>
      </c>
      <c r="M254">
        <f>VLOOKUP(SUBSTITUTE(J254,"'",""),Sheet1!L:M,2,FALSE)</f>
        <v>64100</v>
      </c>
    </row>
    <row r="255" spans="1:13" ht="13.5" customHeight="1" x14ac:dyDescent="0.4">
      <c r="A255" s="1">
        <v>45725</v>
      </c>
      <c r="B255" t="s">
        <v>57</v>
      </c>
      <c r="C255">
        <v>30.65</v>
      </c>
      <c r="D255" s="2" t="s">
        <v>1750</v>
      </c>
      <c r="E255" t="s">
        <v>57</v>
      </c>
      <c r="F255" t="s">
        <v>59</v>
      </c>
      <c r="G255" s="2" t="s">
        <v>47</v>
      </c>
      <c r="H255">
        <v>12866</v>
      </c>
      <c r="I255" t="s">
        <v>16</v>
      </c>
      <c r="J255" t="s">
        <v>1751</v>
      </c>
      <c r="K255" t="s">
        <v>61</v>
      </c>
      <c r="L255" t="s">
        <v>2047</v>
      </c>
      <c r="M255">
        <f>VLOOKUP(SUBSTITUTE(J255,"'",""),Sheet1!L:M,2,FALSE)</f>
        <v>63100</v>
      </c>
    </row>
    <row r="256" spans="1:13" ht="13.5" customHeight="1" x14ac:dyDescent="0.4">
      <c r="A256" s="1">
        <v>45726</v>
      </c>
      <c r="B256" t="s">
        <v>1742</v>
      </c>
      <c r="C256">
        <v>2420.5</v>
      </c>
      <c r="D256" s="2" t="s">
        <v>1743</v>
      </c>
      <c r="E256" t="s">
        <v>1742</v>
      </c>
      <c r="F256" s="2" t="s">
        <v>1744</v>
      </c>
      <c r="G256" s="2" t="s">
        <v>1376</v>
      </c>
      <c r="H256">
        <v>78730</v>
      </c>
      <c r="I256" t="s">
        <v>16</v>
      </c>
      <c r="J256" t="s">
        <v>1745</v>
      </c>
      <c r="K256" t="s">
        <v>1746</v>
      </c>
      <c r="L256" t="s">
        <v>2047</v>
      </c>
      <c r="M256">
        <f>VLOOKUP(SUBSTITUTE(J256,"'",""),Sheet1!L:M,2,FALSE)</f>
        <v>65505</v>
      </c>
    </row>
    <row r="257" spans="1:13" ht="13.5" customHeight="1" x14ac:dyDescent="0.4">
      <c r="A257" s="1">
        <v>45726</v>
      </c>
      <c r="B257" t="s">
        <v>175</v>
      </c>
      <c r="C257">
        <v>430</v>
      </c>
      <c r="D257" s="2" t="s">
        <v>1655</v>
      </c>
      <c r="E257" t="s">
        <v>175</v>
      </c>
      <c r="F257" t="s">
        <v>177</v>
      </c>
      <c r="G257" s="2" t="s">
        <v>41</v>
      </c>
      <c r="H257">
        <v>10012</v>
      </c>
      <c r="I257" t="s">
        <v>16</v>
      </c>
      <c r="J257" t="s">
        <v>1747</v>
      </c>
      <c r="K257" t="s">
        <v>126</v>
      </c>
      <c r="L257" t="s">
        <v>2047</v>
      </c>
      <c r="M257">
        <f>VLOOKUP(SUBSTITUTE(J257,"'",""),Sheet1!L:M,2,FALSE)</f>
        <v>61215</v>
      </c>
    </row>
    <row r="258" spans="1:13" ht="13.5" customHeight="1" x14ac:dyDescent="0.4">
      <c r="A258" s="1">
        <v>45726</v>
      </c>
      <c r="B258" t="s">
        <v>1693</v>
      </c>
      <c r="C258">
        <v>10.88</v>
      </c>
      <c r="D258" s="2" t="s">
        <v>1740</v>
      </c>
      <c r="E258" t="s">
        <v>1693</v>
      </c>
      <c r="F258" t="s">
        <v>29</v>
      </c>
      <c r="G258" t="e">
        <f>-
NY</f>
        <v>#NAME?</v>
      </c>
      <c r="H258">
        <v>11577</v>
      </c>
      <c r="I258" t="s">
        <v>16</v>
      </c>
      <c r="J258" t="s">
        <v>1741</v>
      </c>
      <c r="K258" t="s">
        <v>31</v>
      </c>
      <c r="L258" t="s">
        <v>2047</v>
      </c>
      <c r="M258">
        <f>VLOOKUP(SUBSTITUTE(J258,"'",""),Sheet1!L:M,2,FALSE)</f>
        <v>61131</v>
      </c>
    </row>
    <row r="259" spans="1:13" ht="13.5" customHeight="1" x14ac:dyDescent="0.4">
      <c r="A259" s="1">
        <v>45726</v>
      </c>
      <c r="B259" t="s">
        <v>3558</v>
      </c>
      <c r="C259">
        <v>2.98</v>
      </c>
      <c r="D259" s="2" t="s">
        <v>4378</v>
      </c>
      <c r="E259" t="s">
        <v>3558</v>
      </c>
      <c r="F259" s="2" t="s">
        <v>2785</v>
      </c>
      <c r="G259" s="2" t="s">
        <v>2786</v>
      </c>
      <c r="H259">
        <v>10011</v>
      </c>
      <c r="I259" t="s">
        <v>16</v>
      </c>
      <c r="J259" t="s">
        <v>4379</v>
      </c>
      <c r="K259" t="s">
        <v>1304</v>
      </c>
      <c r="L259" t="s">
        <v>4673</v>
      </c>
      <c r="M259">
        <f>VLOOKUP(SUBSTITUTE(J259,"'",""),Sheet1!L:M,2,FALSE)</f>
        <v>54820</v>
      </c>
    </row>
    <row r="260" spans="1:13" ht="13.5" customHeight="1" x14ac:dyDescent="0.4">
      <c r="A260" s="1">
        <v>45726</v>
      </c>
      <c r="B260" t="s">
        <v>38</v>
      </c>
      <c r="C260">
        <v>734.35</v>
      </c>
      <c r="D260" s="2" t="s">
        <v>1738</v>
      </c>
      <c r="E260" t="s">
        <v>38</v>
      </c>
      <c r="F260" t="s">
        <v>40</v>
      </c>
      <c r="G260" s="2" t="s">
        <v>41</v>
      </c>
      <c r="H260">
        <v>10012</v>
      </c>
      <c r="I260" t="s">
        <v>16</v>
      </c>
      <c r="J260" t="s">
        <v>1739</v>
      </c>
      <c r="K260" t="s">
        <v>43</v>
      </c>
      <c r="L260" t="s">
        <v>2047</v>
      </c>
      <c r="M260">
        <f>VLOOKUP(SUBSTITUTE(J260,"'",""),Sheet1!L:M,2,FALSE)</f>
        <v>61131</v>
      </c>
    </row>
    <row r="261" spans="1:13" ht="13.5" customHeight="1" x14ac:dyDescent="0.4">
      <c r="A261" s="1">
        <v>45727</v>
      </c>
      <c r="B261" t="s">
        <v>2259</v>
      </c>
      <c r="C261">
        <v>21.64</v>
      </c>
      <c r="D261" s="2" t="s">
        <v>4376</v>
      </c>
      <c r="E261" t="s">
        <v>2259</v>
      </c>
      <c r="F261" t="s">
        <v>2261</v>
      </c>
      <c r="G261" s="2" t="s">
        <v>14</v>
      </c>
      <c r="H261">
        <v>98103</v>
      </c>
      <c r="I261" t="s">
        <v>16</v>
      </c>
      <c r="J261" t="s">
        <v>4377</v>
      </c>
      <c r="K261" t="s">
        <v>1904</v>
      </c>
      <c r="L261" t="s">
        <v>4673</v>
      </c>
      <c r="M261">
        <f>VLOOKUP(SUBSTITUTE(J261,"'",""),Sheet1!L:M,2,FALSE)</f>
        <v>64100</v>
      </c>
    </row>
    <row r="262" spans="1:13" ht="13.5" customHeight="1" x14ac:dyDescent="0.4">
      <c r="A262" s="1">
        <v>45728</v>
      </c>
      <c r="B262" t="s">
        <v>885</v>
      </c>
      <c r="C262">
        <v>74.11</v>
      </c>
      <c r="D262" s="2" t="s">
        <v>4374</v>
      </c>
      <c r="E262" t="s">
        <v>885</v>
      </c>
      <c r="F262" t="s">
        <v>108</v>
      </c>
      <c r="G262" s="2" t="s">
        <v>41</v>
      </c>
      <c r="H262">
        <v>10012</v>
      </c>
      <c r="I262" t="s">
        <v>16</v>
      </c>
      <c r="J262" t="s">
        <v>4375</v>
      </c>
      <c r="K262" t="s">
        <v>483</v>
      </c>
      <c r="L262" t="s">
        <v>4673</v>
      </c>
      <c r="M262">
        <f>VLOOKUP(SUBSTITUTE(J262,"'",""),Sheet1!L:M,2,FALSE)</f>
        <v>67500</v>
      </c>
    </row>
    <row r="263" spans="1:13" ht="13.5" customHeight="1" x14ac:dyDescent="0.4">
      <c r="A263" s="1">
        <v>45728</v>
      </c>
      <c r="B263" t="s">
        <v>885</v>
      </c>
      <c r="C263">
        <v>24.99</v>
      </c>
      <c r="D263" s="2" t="s">
        <v>4372</v>
      </c>
      <c r="E263" t="s">
        <v>885</v>
      </c>
      <c r="F263" t="s">
        <v>108</v>
      </c>
      <c r="G263" s="2" t="s">
        <v>41</v>
      </c>
      <c r="H263">
        <v>10012</v>
      </c>
      <c r="I263" t="s">
        <v>16</v>
      </c>
      <c r="J263" t="s">
        <v>4373</v>
      </c>
      <c r="K263" t="s">
        <v>483</v>
      </c>
      <c r="L263" t="s">
        <v>4673</v>
      </c>
      <c r="M263">
        <f>VLOOKUP(SUBSTITUTE(J263,"'",""),Sheet1!L:M,2,FALSE)</f>
        <v>67500</v>
      </c>
    </row>
    <row r="264" spans="1:13" ht="13.5" customHeight="1" x14ac:dyDescent="0.4">
      <c r="A264" s="1">
        <v>45728</v>
      </c>
      <c r="B264" t="s">
        <v>458</v>
      </c>
      <c r="C264">
        <v>16.04</v>
      </c>
      <c r="D264" s="2" t="s">
        <v>1734</v>
      </c>
      <c r="E264" t="s">
        <v>458</v>
      </c>
      <c r="F264" t="s">
        <v>129</v>
      </c>
      <c r="G264" s="2" t="s">
        <v>130</v>
      </c>
      <c r="H264" t="s">
        <v>131</v>
      </c>
      <c r="I264" t="s">
        <v>16</v>
      </c>
      <c r="J264" t="s">
        <v>1735</v>
      </c>
      <c r="K264" t="s">
        <v>133</v>
      </c>
      <c r="L264" t="s">
        <v>2047</v>
      </c>
      <c r="M264">
        <f>VLOOKUP(SUBSTITUTE(J264,"'",""),Sheet1!L:M,2,FALSE)</f>
        <v>64100</v>
      </c>
    </row>
    <row r="265" spans="1:13" ht="13.5" customHeight="1" x14ac:dyDescent="0.4">
      <c r="A265" s="1">
        <v>45728</v>
      </c>
      <c r="B265" t="s">
        <v>1666</v>
      </c>
      <c r="C265">
        <v>24.95</v>
      </c>
      <c r="D265" s="2" t="s">
        <v>1736</v>
      </c>
      <c r="E265" t="s">
        <v>1666</v>
      </c>
      <c r="F265" s="2" t="s">
        <v>319</v>
      </c>
      <c r="G265" s="2" t="s">
        <v>41</v>
      </c>
      <c r="H265">
        <v>10285</v>
      </c>
      <c r="I265" t="s">
        <v>16</v>
      </c>
      <c r="J265" t="s">
        <v>1737</v>
      </c>
      <c r="K265" t="s">
        <v>321</v>
      </c>
      <c r="L265" t="s">
        <v>2047</v>
      </c>
      <c r="M265">
        <f>VLOOKUP(SUBSTITUTE(J265,"'",""),Sheet1!L:M,2,FALSE)</f>
        <v>61131</v>
      </c>
    </row>
    <row r="266" spans="1:13" ht="13.5" customHeight="1" x14ac:dyDescent="0.4">
      <c r="A266" s="1">
        <v>45728</v>
      </c>
      <c r="B266" t="s">
        <v>2246</v>
      </c>
      <c r="C266">
        <v>11.99</v>
      </c>
      <c r="D266" s="2" t="s">
        <v>4370</v>
      </c>
      <c r="E266" t="s">
        <v>2246</v>
      </c>
      <c r="F266" t="s">
        <v>2248</v>
      </c>
      <c r="G266" s="2" t="s">
        <v>2249</v>
      </c>
      <c r="H266">
        <v>94025</v>
      </c>
      <c r="I266" t="s">
        <v>16</v>
      </c>
      <c r="J266" t="s">
        <v>4371</v>
      </c>
      <c r="K266" t="s">
        <v>164</v>
      </c>
      <c r="L266" t="s">
        <v>4673</v>
      </c>
      <c r="M266">
        <f>VLOOKUP(SUBSTITUTE(J266,"'",""),Sheet1!L:M,2,FALSE)</f>
        <v>54820</v>
      </c>
    </row>
    <row r="267" spans="1:13" ht="13.5" customHeight="1" x14ac:dyDescent="0.4">
      <c r="A267" s="1">
        <v>45729</v>
      </c>
      <c r="B267" t="s">
        <v>1729</v>
      </c>
      <c r="C267">
        <v>3060.9</v>
      </c>
      <c r="D267" s="2" t="s">
        <v>1730</v>
      </c>
      <c r="E267" t="s">
        <v>1729</v>
      </c>
      <c r="F267" s="2" t="s">
        <v>1700</v>
      </c>
      <c r="G267" s="2" t="s">
        <v>41</v>
      </c>
      <c r="H267">
        <v>10013</v>
      </c>
      <c r="I267" t="s">
        <v>16</v>
      </c>
      <c r="J267" t="s">
        <v>1731</v>
      </c>
      <c r="K267" t="s">
        <v>126</v>
      </c>
      <c r="L267" t="s">
        <v>2047</v>
      </c>
      <c r="M267">
        <f>VLOOKUP(SUBSTITUTE(J267,"'",""),Sheet1!L:M,2,FALSE)</f>
        <v>61215</v>
      </c>
    </row>
    <row r="268" spans="1:13" ht="13.5" customHeight="1" x14ac:dyDescent="0.4">
      <c r="A268" s="1">
        <v>45729</v>
      </c>
      <c r="B268" t="s">
        <v>4367</v>
      </c>
      <c r="C268">
        <v>106.99</v>
      </c>
      <c r="D268" s="2" t="s">
        <v>4368</v>
      </c>
      <c r="E268" t="s">
        <v>4367</v>
      </c>
      <c r="F268" s="2" t="s">
        <v>2233</v>
      </c>
      <c r="G268" s="2" t="s">
        <v>130</v>
      </c>
      <c r="H268" t="s">
        <v>2234</v>
      </c>
      <c r="I268" t="s">
        <v>16</v>
      </c>
      <c r="J268" t="s">
        <v>4369</v>
      </c>
      <c r="K268" t="s">
        <v>18</v>
      </c>
      <c r="L268" t="s">
        <v>4673</v>
      </c>
      <c r="M268">
        <f>VLOOKUP(SUBSTITUTE(J268,"'",""),Sheet1!L:M,2,FALSE)</f>
        <v>61100</v>
      </c>
    </row>
    <row r="269" spans="1:13" ht="13.5" customHeight="1" x14ac:dyDescent="0.4">
      <c r="A269" s="1">
        <v>45729</v>
      </c>
      <c r="B269" t="s">
        <v>478</v>
      </c>
      <c r="C269">
        <v>43.12</v>
      </c>
      <c r="D269" s="2" t="s">
        <v>1732</v>
      </c>
      <c r="E269" t="s">
        <v>480</v>
      </c>
      <c r="F269" s="2" t="s">
        <v>481</v>
      </c>
      <c r="G269" s="2" t="s">
        <v>35</v>
      </c>
      <c r="H269">
        <v>94103</v>
      </c>
      <c r="I269" t="s">
        <v>16</v>
      </c>
      <c r="J269" t="s">
        <v>1733</v>
      </c>
      <c r="K269" t="s">
        <v>483</v>
      </c>
      <c r="L269" t="s">
        <v>2047</v>
      </c>
      <c r="M269">
        <f>VLOOKUP(SUBSTITUTE(J269,"'",""),Sheet1!L:M,2,FALSE)</f>
        <v>61130</v>
      </c>
    </row>
    <row r="270" spans="1:13" ht="13.5" customHeight="1" x14ac:dyDescent="0.4">
      <c r="A270" s="1">
        <v>45730</v>
      </c>
      <c r="B270" t="s">
        <v>2222</v>
      </c>
      <c r="C270">
        <v>20.18</v>
      </c>
      <c r="D270" s="2" t="s">
        <v>4365</v>
      </c>
      <c r="E270" t="s">
        <v>2222</v>
      </c>
      <c r="F270" s="2" t="s">
        <v>2224</v>
      </c>
      <c r="G270" s="2" t="s">
        <v>35</v>
      </c>
      <c r="H270">
        <v>94103</v>
      </c>
      <c r="I270" t="s">
        <v>16</v>
      </c>
      <c r="J270" t="s">
        <v>4366</v>
      </c>
      <c r="K270" t="s">
        <v>164</v>
      </c>
      <c r="L270" t="s">
        <v>4673</v>
      </c>
      <c r="M270">
        <f>VLOOKUP(SUBSTITUTE(J270,"'",""),Sheet1!L:M,2,FALSE)</f>
        <v>54820</v>
      </c>
    </row>
    <row r="271" spans="1:13" ht="13.5" customHeight="1" x14ac:dyDescent="0.4">
      <c r="A271" s="1">
        <v>45730</v>
      </c>
      <c r="B271" t="s">
        <v>83</v>
      </c>
      <c r="C271">
        <v>104.4</v>
      </c>
      <c r="D271" s="2" t="s">
        <v>1727</v>
      </c>
      <c r="E271" t="s">
        <v>315</v>
      </c>
      <c r="F271" s="2" t="s">
        <v>86</v>
      </c>
      <c r="G271" s="2" t="s">
        <v>87</v>
      </c>
      <c r="H271" t="s">
        <v>88</v>
      </c>
      <c r="I271" t="s">
        <v>16</v>
      </c>
      <c r="J271" t="s">
        <v>1728</v>
      </c>
      <c r="K271" t="s">
        <v>90</v>
      </c>
      <c r="L271" t="s">
        <v>2047</v>
      </c>
      <c r="M271">
        <f>VLOOKUP(SUBSTITUTE(J271,"'",""),Sheet1!L:M,2,FALSE)</f>
        <v>65700</v>
      </c>
    </row>
    <row r="272" spans="1:13" ht="13.5" customHeight="1" x14ac:dyDescent="0.4">
      <c r="A272" s="1">
        <v>45730</v>
      </c>
      <c r="B272" t="s">
        <v>2344</v>
      </c>
      <c r="C272">
        <v>50.67</v>
      </c>
      <c r="D272" s="2" t="s">
        <v>4363</v>
      </c>
      <c r="E272" t="s">
        <v>2344</v>
      </c>
      <c r="F272" t="s">
        <v>2219</v>
      </c>
      <c r="G272" s="2" t="s">
        <v>41</v>
      </c>
      <c r="H272">
        <v>10013</v>
      </c>
      <c r="I272" t="s">
        <v>16</v>
      </c>
      <c r="J272" t="s">
        <v>4364</v>
      </c>
      <c r="K272" t="s">
        <v>321</v>
      </c>
      <c r="L272" t="s">
        <v>4673</v>
      </c>
      <c r="M272">
        <f>VLOOKUP(SUBSTITUTE(J272,"'",""),Sheet1!L:M,2,FALSE)</f>
        <v>54820</v>
      </c>
    </row>
    <row r="273" spans="1:13" ht="13.5" customHeight="1" x14ac:dyDescent="0.4">
      <c r="A273" s="1">
        <v>45731</v>
      </c>
      <c r="B273" t="s">
        <v>437</v>
      </c>
      <c r="C273">
        <v>10</v>
      </c>
      <c r="D273" s="2" t="s">
        <v>1725</v>
      </c>
      <c r="E273" t="s">
        <v>437</v>
      </c>
      <c r="F273" s="2" t="s">
        <v>80</v>
      </c>
      <c r="H273">
        <v>2150</v>
      </c>
      <c r="I273" t="s">
        <v>81</v>
      </c>
      <c r="J273" t="s">
        <v>1726</v>
      </c>
      <c r="K273" t="s">
        <v>37</v>
      </c>
      <c r="L273" t="s">
        <v>2047</v>
      </c>
      <c r="M273">
        <f>VLOOKUP(SUBSTITUTE(J273,"'",""),Sheet1!L:M,2,FALSE)</f>
        <v>64100</v>
      </c>
    </row>
    <row r="274" spans="1:13" ht="13.5" customHeight="1" x14ac:dyDescent="0.4">
      <c r="A274" s="1">
        <v>45732</v>
      </c>
      <c r="B274" t="s">
        <v>3894</v>
      </c>
      <c r="C274">
        <v>27.99</v>
      </c>
      <c r="D274" s="2" t="s">
        <v>4361</v>
      </c>
      <c r="E274" t="s">
        <v>3894</v>
      </c>
      <c r="F274" t="s">
        <v>2127</v>
      </c>
      <c r="G274" s="2" t="s">
        <v>41</v>
      </c>
      <c r="H274">
        <v>10003</v>
      </c>
      <c r="I274" t="s">
        <v>16</v>
      </c>
      <c r="J274" t="s">
        <v>4362</v>
      </c>
      <c r="K274" t="s">
        <v>37</v>
      </c>
      <c r="L274" t="s">
        <v>4673</v>
      </c>
      <c r="M274">
        <f>VLOOKUP(SUBSTITUTE(J274,"'",""),Sheet1!L:M,2,FALSE)</f>
        <v>54820</v>
      </c>
    </row>
    <row r="275" spans="1:13" ht="13.5" customHeight="1" x14ac:dyDescent="0.4">
      <c r="A275" s="1">
        <v>45732</v>
      </c>
      <c r="B275" t="s">
        <v>38</v>
      </c>
      <c r="C275">
        <v>1007.25</v>
      </c>
      <c r="D275" s="2" t="s">
        <v>1723</v>
      </c>
      <c r="E275" t="s">
        <v>38</v>
      </c>
      <c r="F275" t="s">
        <v>40</v>
      </c>
      <c r="G275" s="2" t="s">
        <v>41</v>
      </c>
      <c r="H275">
        <v>10012</v>
      </c>
      <c r="I275" t="s">
        <v>16</v>
      </c>
      <c r="J275" t="s">
        <v>1724</v>
      </c>
      <c r="K275" t="s">
        <v>43</v>
      </c>
      <c r="L275" t="s">
        <v>2047</v>
      </c>
      <c r="M275">
        <f>VLOOKUP(SUBSTITUTE(J275,"'",""),Sheet1!L:M,2,FALSE)</f>
        <v>61131</v>
      </c>
    </row>
    <row r="276" spans="1:13" ht="13.5" customHeight="1" x14ac:dyDescent="0.4">
      <c r="A276" s="1">
        <v>45733</v>
      </c>
      <c r="B276" t="s">
        <v>1718</v>
      </c>
      <c r="C276">
        <v>137.31</v>
      </c>
      <c r="D276" s="2" t="s">
        <v>1719</v>
      </c>
      <c r="E276" t="s">
        <v>1718</v>
      </c>
      <c r="F276" s="2" t="s">
        <v>1318</v>
      </c>
      <c r="G276" s="2" t="s">
        <v>1319</v>
      </c>
      <c r="H276">
        <v>94103</v>
      </c>
      <c r="I276" t="s">
        <v>16</v>
      </c>
      <c r="J276" t="s">
        <v>1720</v>
      </c>
      <c r="K276" t="s">
        <v>126</v>
      </c>
      <c r="L276" t="s">
        <v>2047</v>
      </c>
      <c r="M276">
        <f>VLOOKUP(SUBSTITUTE(J276,"'",""),Sheet1!L:M,2,FALSE)</f>
        <v>61130</v>
      </c>
    </row>
    <row r="277" spans="1:13" ht="13.5" customHeight="1" x14ac:dyDescent="0.4">
      <c r="A277" s="1">
        <v>45733</v>
      </c>
      <c r="B277" t="s">
        <v>4354</v>
      </c>
      <c r="C277">
        <v>433.94</v>
      </c>
      <c r="D277" s="2" t="s">
        <v>4355</v>
      </c>
      <c r="E277" t="s">
        <v>4354</v>
      </c>
      <c r="F277" t="s">
        <v>4356</v>
      </c>
      <c r="G277" s="2" t="s">
        <v>4357</v>
      </c>
      <c r="H277">
        <v>22102</v>
      </c>
      <c r="I277" t="s">
        <v>16</v>
      </c>
      <c r="J277" t="s">
        <v>4358</v>
      </c>
      <c r="K277" t="s">
        <v>1904</v>
      </c>
      <c r="L277" t="s">
        <v>4673</v>
      </c>
      <c r="M277">
        <f>VLOOKUP(SUBSTITUTE(J277,"'",""),Sheet1!L:M,2,FALSE)</f>
        <v>61100</v>
      </c>
    </row>
    <row r="278" spans="1:13" ht="13.5" customHeight="1" x14ac:dyDescent="0.4">
      <c r="A278" s="1">
        <v>45733</v>
      </c>
      <c r="B278" t="s">
        <v>1693</v>
      </c>
      <c r="C278">
        <v>9.15</v>
      </c>
      <c r="D278" s="2" t="s">
        <v>1709</v>
      </c>
      <c r="E278" t="s">
        <v>1693</v>
      </c>
      <c r="F278" t="s">
        <v>29</v>
      </c>
      <c r="G278" t="e">
        <f>-
NY</f>
        <v>#NAME?</v>
      </c>
      <c r="H278">
        <v>11577</v>
      </c>
      <c r="I278" t="s">
        <v>16</v>
      </c>
      <c r="J278" t="s">
        <v>1710</v>
      </c>
      <c r="K278" t="s">
        <v>31</v>
      </c>
      <c r="L278" t="s">
        <v>2047</v>
      </c>
      <c r="M278">
        <f>VLOOKUP(SUBSTITUTE(J278,"'",""),Sheet1!L:M,2,FALSE)</f>
        <v>61131</v>
      </c>
    </row>
    <row r="279" spans="1:13" ht="13.5" customHeight="1" x14ac:dyDescent="0.4">
      <c r="A279" s="1">
        <v>45733</v>
      </c>
      <c r="B279" t="s">
        <v>2240</v>
      </c>
      <c r="C279">
        <v>87.46</v>
      </c>
      <c r="D279" s="2" t="s">
        <v>4359</v>
      </c>
      <c r="E279" t="s">
        <v>2240</v>
      </c>
      <c r="F279" t="s">
        <v>2242</v>
      </c>
      <c r="G279" s="2" t="s">
        <v>41</v>
      </c>
      <c r="H279">
        <v>10003</v>
      </c>
      <c r="I279" t="s">
        <v>16</v>
      </c>
      <c r="J279" t="s">
        <v>4360</v>
      </c>
      <c r="K279" t="s">
        <v>1218</v>
      </c>
      <c r="L279" t="s">
        <v>4673</v>
      </c>
      <c r="M279">
        <f>VLOOKUP(SUBSTITUTE(J279,"'",""),Sheet1!L:M,2,FALSE)</f>
        <v>54820</v>
      </c>
    </row>
    <row r="280" spans="1:13" ht="13.5" customHeight="1" x14ac:dyDescent="0.4">
      <c r="A280" s="1">
        <v>45733</v>
      </c>
      <c r="B280" t="s">
        <v>1711</v>
      </c>
      <c r="C280">
        <v>54.09</v>
      </c>
      <c r="D280" s="2" t="s">
        <v>1712</v>
      </c>
      <c r="E280" t="s">
        <v>1711</v>
      </c>
      <c r="F280" t="s">
        <v>29</v>
      </c>
      <c r="G280" t="e">
        <f>-
NY</f>
        <v>#NAME?</v>
      </c>
      <c r="H280">
        <v>11577</v>
      </c>
      <c r="I280" t="s">
        <v>16</v>
      </c>
      <c r="J280" t="s">
        <v>1713</v>
      </c>
      <c r="K280" t="s">
        <v>31</v>
      </c>
      <c r="L280" t="s">
        <v>2047</v>
      </c>
      <c r="M280">
        <f>VLOOKUP(SUBSTITUTE(J280,"'",""),Sheet1!L:M,2,FALSE)</f>
        <v>61131</v>
      </c>
    </row>
    <row r="281" spans="1:13" ht="13.5" customHeight="1" x14ac:dyDescent="0.4">
      <c r="A281" s="1">
        <v>45733</v>
      </c>
      <c r="B281" t="s">
        <v>1714</v>
      </c>
      <c r="C281">
        <v>22.18</v>
      </c>
      <c r="D281" s="2" t="s">
        <v>1715</v>
      </c>
      <c r="E281" t="s">
        <v>1714</v>
      </c>
      <c r="F281" t="s">
        <v>1716</v>
      </c>
      <c r="G281" s="2" t="s">
        <v>41</v>
      </c>
      <c r="H281">
        <v>10018</v>
      </c>
      <c r="I281" t="s">
        <v>16</v>
      </c>
      <c r="J281" t="s">
        <v>1717</v>
      </c>
      <c r="K281" t="s">
        <v>1218</v>
      </c>
      <c r="L281" t="s">
        <v>2047</v>
      </c>
      <c r="M281">
        <f>VLOOKUP(SUBSTITUTE(J281,"'",""),Sheet1!L:M,2,FALSE)</f>
        <v>54820</v>
      </c>
    </row>
    <row r="282" spans="1:13" ht="13.5" customHeight="1" x14ac:dyDescent="0.4">
      <c r="A282" s="1">
        <v>45733</v>
      </c>
      <c r="B282" t="s">
        <v>478</v>
      </c>
      <c r="C282">
        <v>48.92</v>
      </c>
      <c r="D282" s="2" t="s">
        <v>1721</v>
      </c>
      <c r="E282" t="s">
        <v>480</v>
      </c>
      <c r="F282" s="2" t="s">
        <v>481</v>
      </c>
      <c r="G282" s="2" t="s">
        <v>35</v>
      </c>
      <c r="H282">
        <v>94103</v>
      </c>
      <c r="I282" t="s">
        <v>16</v>
      </c>
      <c r="J282" t="s">
        <v>1722</v>
      </c>
      <c r="K282" t="s">
        <v>483</v>
      </c>
      <c r="L282" t="s">
        <v>2047</v>
      </c>
      <c r="M282">
        <f>VLOOKUP(SUBSTITUTE(J282,"'",""),Sheet1!L:M,2,FALSE)</f>
        <v>61130</v>
      </c>
    </row>
    <row r="283" spans="1:13" ht="13.5" customHeight="1" x14ac:dyDescent="0.4">
      <c r="A283" s="1">
        <v>45734</v>
      </c>
      <c r="B283" t="s">
        <v>4347</v>
      </c>
      <c r="C283">
        <v>199</v>
      </c>
      <c r="D283" s="2" t="s">
        <v>4348</v>
      </c>
      <c r="E283" t="s">
        <v>4347</v>
      </c>
      <c r="F283" s="2" t="s">
        <v>4349</v>
      </c>
      <c r="G283" s="2" t="s">
        <v>35</v>
      </c>
      <c r="H283">
        <v>94111</v>
      </c>
      <c r="I283" t="s">
        <v>16</v>
      </c>
      <c r="J283" t="s">
        <v>4350</v>
      </c>
      <c r="K283" t="s">
        <v>116</v>
      </c>
      <c r="L283" t="s">
        <v>4673</v>
      </c>
      <c r="M283">
        <f>VLOOKUP(SUBSTITUTE(J283,"'",""),Sheet1!L:M,2,FALSE)</f>
        <v>67500</v>
      </c>
    </row>
    <row r="284" spans="1:13" ht="13.5" customHeight="1" x14ac:dyDescent="0.4">
      <c r="A284" s="1">
        <v>45734</v>
      </c>
      <c r="B284" t="s">
        <v>4302</v>
      </c>
      <c r="C284">
        <v>78.95</v>
      </c>
      <c r="D284" s="2" t="s">
        <v>4345</v>
      </c>
      <c r="E284" t="s">
        <v>4302</v>
      </c>
      <c r="F284" t="s">
        <v>4304</v>
      </c>
      <c r="G284" s="2" t="s">
        <v>4305</v>
      </c>
      <c r="H284">
        <v>60510</v>
      </c>
      <c r="I284" t="s">
        <v>16</v>
      </c>
      <c r="J284" t="s">
        <v>4346</v>
      </c>
      <c r="K284" t="s">
        <v>1218</v>
      </c>
      <c r="L284" t="s">
        <v>4673</v>
      </c>
      <c r="M284">
        <f>VLOOKUP(SUBSTITUTE(J284,"'",""),Sheet1!L:M,2,FALSE)</f>
        <v>54820</v>
      </c>
    </row>
    <row r="285" spans="1:13" ht="13.5" customHeight="1" x14ac:dyDescent="0.4">
      <c r="A285" s="1">
        <v>45734</v>
      </c>
      <c r="B285" t="s">
        <v>1666</v>
      </c>
      <c r="C285">
        <v>24.95</v>
      </c>
      <c r="D285" s="2" t="s">
        <v>1707</v>
      </c>
      <c r="E285" t="s">
        <v>1666</v>
      </c>
      <c r="F285" s="2" t="s">
        <v>319</v>
      </c>
      <c r="G285" s="2" t="s">
        <v>41</v>
      </c>
      <c r="H285">
        <v>10285</v>
      </c>
      <c r="I285" t="s">
        <v>16</v>
      </c>
      <c r="J285" t="s">
        <v>1708</v>
      </c>
      <c r="K285" t="s">
        <v>321</v>
      </c>
      <c r="L285" t="s">
        <v>2047</v>
      </c>
      <c r="M285">
        <f>VLOOKUP(SUBSTITUTE(J285,"'",""),Sheet1!L:M,2,FALSE)</f>
        <v>61131</v>
      </c>
    </row>
    <row r="286" spans="1:13" ht="13.5" customHeight="1" x14ac:dyDescent="0.4">
      <c r="A286" s="1">
        <v>45734</v>
      </c>
      <c r="B286" t="s">
        <v>4351</v>
      </c>
      <c r="C286">
        <v>442.4</v>
      </c>
      <c r="D286" s="2" t="s">
        <v>4352</v>
      </c>
      <c r="E286" t="s">
        <v>4351</v>
      </c>
      <c r="F286" t="s">
        <v>1551</v>
      </c>
      <c r="G286" s="2" t="s">
        <v>1485</v>
      </c>
      <c r="H286">
        <v>89109</v>
      </c>
      <c r="I286" t="s">
        <v>16</v>
      </c>
      <c r="J286" t="s">
        <v>4353</v>
      </c>
      <c r="K286" t="s">
        <v>50</v>
      </c>
      <c r="L286" t="s">
        <v>4673</v>
      </c>
      <c r="M286">
        <f>VLOOKUP(SUBSTITUTE(J286,"'",""),Sheet1!L:M,2,FALSE)</f>
        <v>54820</v>
      </c>
    </row>
    <row r="287" spans="1:13" ht="13.5" customHeight="1" x14ac:dyDescent="0.4">
      <c r="A287" s="1">
        <v>45735</v>
      </c>
      <c r="B287" t="s">
        <v>4336</v>
      </c>
      <c r="C287">
        <v>382.98</v>
      </c>
      <c r="D287" s="2" t="s">
        <v>4337</v>
      </c>
      <c r="E287" t="s">
        <v>4336</v>
      </c>
      <c r="F287" t="s">
        <v>4338</v>
      </c>
      <c r="G287" s="2" t="s">
        <v>1485</v>
      </c>
      <c r="H287">
        <v>89109</v>
      </c>
      <c r="I287" t="s">
        <v>16</v>
      </c>
      <c r="J287" t="s">
        <v>4339</v>
      </c>
      <c r="K287" t="s">
        <v>4340</v>
      </c>
      <c r="L287" t="s">
        <v>4673</v>
      </c>
      <c r="M287">
        <f>VLOOKUP(SUBSTITUTE(J287,"'",""),Sheet1!L:M,2,FALSE)</f>
        <v>54820</v>
      </c>
    </row>
    <row r="288" spans="1:13" ht="13.5" customHeight="1" x14ac:dyDescent="0.4">
      <c r="A288" s="1">
        <v>45735</v>
      </c>
      <c r="B288" t="s">
        <v>4341</v>
      </c>
      <c r="C288">
        <v>33.520000000000003</v>
      </c>
      <c r="D288" s="2" t="s">
        <v>4342</v>
      </c>
      <c r="E288" t="s">
        <v>4341</v>
      </c>
      <c r="F288" t="s">
        <v>4343</v>
      </c>
      <c r="G288" s="2" t="s">
        <v>41</v>
      </c>
      <c r="H288">
        <v>10128</v>
      </c>
      <c r="I288" t="s">
        <v>16</v>
      </c>
      <c r="J288" t="s">
        <v>4344</v>
      </c>
      <c r="K288" t="s">
        <v>126</v>
      </c>
      <c r="L288" t="s">
        <v>4673</v>
      </c>
      <c r="M288">
        <f>VLOOKUP(SUBSTITUTE(J288,"'",""),Sheet1!L:M,2,FALSE)</f>
        <v>54820</v>
      </c>
    </row>
    <row r="289" spans="1:13" ht="13.5" customHeight="1" x14ac:dyDescent="0.4">
      <c r="A289" s="1">
        <v>45735</v>
      </c>
      <c r="B289" t="s">
        <v>1702</v>
      </c>
      <c r="C289">
        <v>185.84</v>
      </c>
      <c r="D289" s="2" t="s">
        <v>1703</v>
      </c>
      <c r="E289" t="s">
        <v>1702</v>
      </c>
      <c r="F289" s="2" t="s">
        <v>1704</v>
      </c>
      <c r="G289" s="2" t="s">
        <v>41</v>
      </c>
      <c r="H289">
        <v>10009</v>
      </c>
      <c r="I289" t="s">
        <v>16</v>
      </c>
      <c r="J289" t="s">
        <v>1706</v>
      </c>
      <c r="K289" t="s">
        <v>126</v>
      </c>
      <c r="L289" t="s">
        <v>2047</v>
      </c>
      <c r="M289">
        <f>VLOOKUP(SUBSTITUTE(J289,"'",""),Sheet1!L:M,2,FALSE)</f>
        <v>61215</v>
      </c>
    </row>
    <row r="290" spans="1:13" ht="13.5" customHeight="1" x14ac:dyDescent="0.4">
      <c r="A290" s="1">
        <v>45735</v>
      </c>
      <c r="B290" t="s">
        <v>1702</v>
      </c>
      <c r="C290">
        <v>160</v>
      </c>
      <c r="D290" s="2" t="s">
        <v>1703</v>
      </c>
      <c r="E290" t="s">
        <v>1702</v>
      </c>
      <c r="F290" s="2" t="s">
        <v>1704</v>
      </c>
      <c r="G290" s="2" t="s">
        <v>41</v>
      </c>
      <c r="H290">
        <v>10009</v>
      </c>
      <c r="I290" t="s">
        <v>16</v>
      </c>
      <c r="J290" t="s">
        <v>1705</v>
      </c>
      <c r="K290" t="s">
        <v>126</v>
      </c>
      <c r="L290" t="s">
        <v>2047</v>
      </c>
      <c r="M290">
        <f>VLOOKUP(SUBSTITUTE(J290,"'",""),Sheet1!L:M,2,FALSE)</f>
        <v>61215</v>
      </c>
    </row>
    <row r="291" spans="1:13" ht="13.5" customHeight="1" x14ac:dyDescent="0.4">
      <c r="A291" s="1">
        <v>45735</v>
      </c>
      <c r="B291" t="s">
        <v>4332</v>
      </c>
      <c r="C291">
        <v>81.05</v>
      </c>
      <c r="D291" s="2" t="s">
        <v>4333</v>
      </c>
      <c r="E291" t="s">
        <v>4332</v>
      </c>
      <c r="F291" t="s">
        <v>4334</v>
      </c>
      <c r="G291" s="2" t="s">
        <v>1485</v>
      </c>
      <c r="H291">
        <v>89104</v>
      </c>
      <c r="I291" t="s">
        <v>16</v>
      </c>
      <c r="J291" t="s">
        <v>4335</v>
      </c>
      <c r="K291" t="s">
        <v>126</v>
      </c>
      <c r="L291" t="s">
        <v>4673</v>
      </c>
      <c r="M291">
        <f>VLOOKUP(SUBSTITUTE(J291,"'",""),Sheet1!L:M,2,FALSE)</f>
        <v>54820</v>
      </c>
    </row>
    <row r="292" spans="1:13" ht="13.5" customHeight="1" x14ac:dyDescent="0.4">
      <c r="A292" s="1">
        <v>45736</v>
      </c>
      <c r="B292" t="s">
        <v>22</v>
      </c>
      <c r="C292">
        <v>-5000</v>
      </c>
      <c r="D292" t="s">
        <v>22</v>
      </c>
      <c r="E292" t="s">
        <v>22</v>
      </c>
      <c r="J292" t="s">
        <v>1696</v>
      </c>
      <c r="L292" t="s">
        <v>2047</v>
      </c>
      <c r="M292" t="e">
        <f>VLOOKUP(SUBSTITUTE(J292,"'",""),Sheet1!L:M,2,FALSE)</f>
        <v>#N/A</v>
      </c>
    </row>
    <row r="293" spans="1:13" ht="13.5" customHeight="1" x14ac:dyDescent="0.4">
      <c r="A293" s="1">
        <v>45736</v>
      </c>
      <c r="B293" t="s">
        <v>22</v>
      </c>
      <c r="C293">
        <v>-5000</v>
      </c>
      <c r="D293" t="s">
        <v>22</v>
      </c>
      <c r="E293" t="s">
        <v>22</v>
      </c>
      <c r="J293" t="s">
        <v>1697</v>
      </c>
      <c r="L293" t="s">
        <v>2047</v>
      </c>
      <c r="M293" t="e">
        <f>VLOOKUP(SUBSTITUTE(J293,"'",""),Sheet1!L:M,2,FALSE)</f>
        <v>#N/A</v>
      </c>
    </row>
    <row r="294" spans="1:13" ht="13.5" customHeight="1" x14ac:dyDescent="0.4">
      <c r="A294" s="1">
        <v>45736</v>
      </c>
      <c r="B294" t="s">
        <v>3894</v>
      </c>
      <c r="C294">
        <v>13.9</v>
      </c>
      <c r="D294" s="2" t="s">
        <v>4330</v>
      </c>
      <c r="E294" t="s">
        <v>3894</v>
      </c>
      <c r="F294" t="s">
        <v>2127</v>
      </c>
      <c r="G294" s="2" t="s">
        <v>41</v>
      </c>
      <c r="H294">
        <v>10003</v>
      </c>
      <c r="I294" t="s">
        <v>16</v>
      </c>
      <c r="J294" t="s">
        <v>4331</v>
      </c>
      <c r="K294" t="s">
        <v>37</v>
      </c>
      <c r="L294" t="s">
        <v>4673</v>
      </c>
      <c r="M294">
        <f>VLOOKUP(SUBSTITUTE(J294,"'",""),Sheet1!L:M,2,FALSE)</f>
        <v>54820</v>
      </c>
    </row>
    <row r="295" spans="1:13" ht="13.5" customHeight="1" x14ac:dyDescent="0.4">
      <c r="A295" s="1">
        <v>45736</v>
      </c>
      <c r="B295" t="s">
        <v>4325</v>
      </c>
      <c r="C295">
        <v>1300</v>
      </c>
      <c r="D295" s="2" t="s">
        <v>4326</v>
      </c>
      <c r="E295" t="s">
        <v>4325</v>
      </c>
      <c r="F295" s="2" t="s">
        <v>4327</v>
      </c>
      <c r="G295" s="2" t="s">
        <v>41</v>
      </c>
      <c r="H295" t="s">
        <v>4328</v>
      </c>
      <c r="I295" t="s">
        <v>16</v>
      </c>
      <c r="J295" t="s">
        <v>4329</v>
      </c>
      <c r="K295" t="s">
        <v>116</v>
      </c>
      <c r="L295" t="s">
        <v>4673</v>
      </c>
      <c r="M295">
        <f>VLOOKUP(SUBSTITUTE(J295,"'",""),Sheet1!L:M,2,FALSE)</f>
        <v>54820</v>
      </c>
    </row>
    <row r="296" spans="1:13" ht="13.5" customHeight="1" x14ac:dyDescent="0.4">
      <c r="A296" s="1">
        <v>45736</v>
      </c>
      <c r="B296" t="s">
        <v>2554</v>
      </c>
      <c r="C296">
        <v>45.95</v>
      </c>
      <c r="D296" s="2" t="s">
        <v>4323</v>
      </c>
      <c r="E296" t="s">
        <v>2554</v>
      </c>
      <c r="F296" t="s">
        <v>2556</v>
      </c>
      <c r="G296" s="2" t="s">
        <v>41</v>
      </c>
      <c r="H296">
        <v>10003</v>
      </c>
      <c r="I296" t="s">
        <v>16</v>
      </c>
      <c r="J296" t="s">
        <v>4324</v>
      </c>
      <c r="K296" t="s">
        <v>1218</v>
      </c>
      <c r="L296" t="s">
        <v>4673</v>
      </c>
      <c r="M296">
        <f>VLOOKUP(SUBSTITUTE(J296,"'",""),Sheet1!L:M,2,FALSE)</f>
        <v>54820</v>
      </c>
    </row>
    <row r="297" spans="1:13" ht="13.5" customHeight="1" x14ac:dyDescent="0.4">
      <c r="A297" s="1">
        <v>45736</v>
      </c>
      <c r="B297" t="s">
        <v>1693</v>
      </c>
      <c r="C297">
        <v>9.15</v>
      </c>
      <c r="D297" s="2" t="s">
        <v>1694</v>
      </c>
      <c r="E297" t="s">
        <v>1693</v>
      </c>
      <c r="F297" t="s">
        <v>29</v>
      </c>
      <c r="G297" t="e">
        <f>-
NY</f>
        <v>#NAME?</v>
      </c>
      <c r="H297">
        <v>11577</v>
      </c>
      <c r="I297" t="s">
        <v>16</v>
      </c>
      <c r="J297" t="s">
        <v>1695</v>
      </c>
      <c r="K297" t="s">
        <v>31</v>
      </c>
      <c r="L297" t="s">
        <v>2047</v>
      </c>
      <c r="M297">
        <f>VLOOKUP(SUBSTITUTE(J297,"'",""),Sheet1!L:M,2,FALSE)</f>
        <v>61131</v>
      </c>
    </row>
    <row r="298" spans="1:13" ht="13.5" customHeight="1" x14ac:dyDescent="0.4">
      <c r="A298" s="1">
        <v>45736</v>
      </c>
      <c r="B298" t="s">
        <v>1698</v>
      </c>
      <c r="C298">
        <v>3000</v>
      </c>
      <c r="D298" s="2" t="s">
        <v>1699</v>
      </c>
      <c r="E298" t="s">
        <v>1698</v>
      </c>
      <c r="F298" s="2" t="s">
        <v>1700</v>
      </c>
      <c r="G298" s="2" t="s">
        <v>41</v>
      </c>
      <c r="H298">
        <v>10013</v>
      </c>
      <c r="I298" t="s">
        <v>16</v>
      </c>
      <c r="J298" t="s">
        <v>1701</v>
      </c>
      <c r="K298" t="s">
        <v>126</v>
      </c>
      <c r="L298" t="s">
        <v>2047</v>
      </c>
      <c r="M298">
        <f>VLOOKUP(SUBSTITUTE(J298,"'",""),Sheet1!L:M,2,FALSE)</f>
        <v>61215</v>
      </c>
    </row>
    <row r="299" spans="1:13" ht="13.5" customHeight="1" x14ac:dyDescent="0.4">
      <c r="A299" s="1">
        <v>45737</v>
      </c>
      <c r="B299" t="s">
        <v>478</v>
      </c>
      <c r="C299">
        <v>30.95</v>
      </c>
      <c r="D299" s="2" t="s">
        <v>1689</v>
      </c>
      <c r="E299" t="s">
        <v>480</v>
      </c>
      <c r="F299" s="2" t="s">
        <v>481</v>
      </c>
      <c r="G299" s="2" t="s">
        <v>35</v>
      </c>
      <c r="H299">
        <v>94103</v>
      </c>
      <c r="I299" t="s">
        <v>16</v>
      </c>
      <c r="J299" t="s">
        <v>1690</v>
      </c>
      <c r="K299" t="s">
        <v>483</v>
      </c>
      <c r="L299" t="s">
        <v>2047</v>
      </c>
      <c r="M299">
        <f>VLOOKUP(SUBSTITUTE(J299,"'",""),Sheet1!L:M,2,FALSE)</f>
        <v>61130</v>
      </c>
    </row>
    <row r="300" spans="1:13" ht="13.5" customHeight="1" x14ac:dyDescent="0.4">
      <c r="A300" s="1">
        <v>45737</v>
      </c>
      <c r="B300" t="s">
        <v>478</v>
      </c>
      <c r="C300">
        <v>125.24</v>
      </c>
      <c r="D300" s="4" t="s">
        <v>1691</v>
      </c>
      <c r="E300" t="s">
        <v>480</v>
      </c>
      <c r="F300" s="2" t="s">
        <v>481</v>
      </c>
      <c r="G300" s="2" t="s">
        <v>35</v>
      </c>
      <c r="H300">
        <v>94103</v>
      </c>
      <c r="I300" t="s">
        <v>16</v>
      </c>
      <c r="J300" t="s">
        <v>1692</v>
      </c>
      <c r="K300" t="s">
        <v>483</v>
      </c>
      <c r="L300" t="s">
        <v>2047</v>
      </c>
      <c r="M300">
        <f>VLOOKUP(SUBSTITUTE(J300,"'",""),Sheet1!L:M,2,FALSE)</f>
        <v>61130</v>
      </c>
    </row>
    <row r="301" spans="1:13" ht="13.5" customHeight="1" x14ac:dyDescent="0.4">
      <c r="A301" s="1">
        <v>45737</v>
      </c>
      <c r="B301" t="s">
        <v>4318</v>
      </c>
      <c r="C301">
        <v>25</v>
      </c>
      <c r="D301" s="2" t="s">
        <v>4319</v>
      </c>
      <c r="E301" t="s">
        <v>4318</v>
      </c>
      <c r="F301" t="s">
        <v>2248</v>
      </c>
      <c r="G301" s="2" t="s">
        <v>2249</v>
      </c>
      <c r="H301">
        <v>94025</v>
      </c>
      <c r="I301" t="s">
        <v>16</v>
      </c>
      <c r="J301" t="s">
        <v>4320</v>
      </c>
      <c r="K301" t="s">
        <v>2335</v>
      </c>
      <c r="L301" t="s">
        <v>4673</v>
      </c>
      <c r="M301">
        <f>VLOOKUP(SUBSTITUTE(J301,"'",""),Sheet1!L:M,2,FALSE)</f>
        <v>54820</v>
      </c>
    </row>
    <row r="302" spans="1:13" ht="13.5" customHeight="1" x14ac:dyDescent="0.4">
      <c r="A302" s="1">
        <v>45737</v>
      </c>
      <c r="B302" t="s">
        <v>4315</v>
      </c>
      <c r="C302">
        <v>15</v>
      </c>
      <c r="D302" s="2" t="s">
        <v>4316</v>
      </c>
      <c r="E302" t="s">
        <v>4315</v>
      </c>
      <c r="F302" t="s">
        <v>2091</v>
      </c>
      <c r="G302" s="2" t="s">
        <v>2092</v>
      </c>
      <c r="H302">
        <v>19934</v>
      </c>
      <c r="I302" t="s">
        <v>16</v>
      </c>
      <c r="J302" t="s">
        <v>4317</v>
      </c>
      <c r="K302" t="s">
        <v>56</v>
      </c>
      <c r="L302" t="s">
        <v>4673</v>
      </c>
      <c r="M302">
        <f>VLOOKUP(SUBSTITUTE(J302,"'",""),Sheet1!L:M,2,FALSE)</f>
        <v>64100</v>
      </c>
    </row>
    <row r="303" spans="1:13" ht="13.5" customHeight="1" x14ac:dyDescent="0.4">
      <c r="A303" s="1">
        <v>45737</v>
      </c>
      <c r="B303" t="s">
        <v>1684</v>
      </c>
      <c r="C303">
        <v>500</v>
      </c>
      <c r="D303" s="2" t="s">
        <v>1685</v>
      </c>
      <c r="E303" t="s">
        <v>1684</v>
      </c>
      <c r="F303" t="s">
        <v>1686</v>
      </c>
      <c r="G303" s="2" t="s">
        <v>1687</v>
      </c>
      <c r="H303">
        <v>14607</v>
      </c>
      <c r="I303" t="s">
        <v>16</v>
      </c>
      <c r="J303" t="s">
        <v>1688</v>
      </c>
      <c r="K303" t="s">
        <v>126</v>
      </c>
      <c r="L303" t="s">
        <v>2047</v>
      </c>
      <c r="M303">
        <f>VLOOKUP(SUBSTITUTE(J303,"'",""),Sheet1!L:M,2,FALSE)</f>
        <v>61215</v>
      </c>
    </row>
    <row r="304" spans="1:13" ht="13.5" customHeight="1" x14ac:dyDescent="0.4">
      <c r="A304" s="1">
        <v>45737</v>
      </c>
      <c r="B304" t="s">
        <v>2240</v>
      </c>
      <c r="C304">
        <v>129.77000000000001</v>
      </c>
      <c r="D304" s="2" t="s">
        <v>4321</v>
      </c>
      <c r="E304" t="s">
        <v>2240</v>
      </c>
      <c r="F304" t="s">
        <v>2242</v>
      </c>
      <c r="G304" s="2" t="s">
        <v>41</v>
      </c>
      <c r="H304">
        <v>10003</v>
      </c>
      <c r="I304" t="s">
        <v>16</v>
      </c>
      <c r="J304" t="s">
        <v>4322</v>
      </c>
      <c r="K304" t="s">
        <v>1218</v>
      </c>
      <c r="L304" t="s">
        <v>4673</v>
      </c>
      <c r="M304">
        <f>VLOOKUP(SUBSTITUTE(J304,"'",""),Sheet1!L:M,2,FALSE)</f>
        <v>54820</v>
      </c>
    </row>
    <row r="305" spans="1:13" ht="13.5" customHeight="1" x14ac:dyDescent="0.4">
      <c r="A305" s="1">
        <v>45738</v>
      </c>
      <c r="B305" t="s">
        <v>478</v>
      </c>
      <c r="C305">
        <v>27.76</v>
      </c>
      <c r="D305" s="2" t="s">
        <v>1682</v>
      </c>
      <c r="E305" t="s">
        <v>480</v>
      </c>
      <c r="F305" s="2" t="s">
        <v>481</v>
      </c>
      <c r="G305" s="2" t="s">
        <v>35</v>
      </c>
      <c r="H305">
        <v>94103</v>
      </c>
      <c r="I305" t="s">
        <v>16</v>
      </c>
      <c r="J305" t="s">
        <v>1683</v>
      </c>
      <c r="K305" t="s">
        <v>483</v>
      </c>
      <c r="L305" t="s">
        <v>2047</v>
      </c>
      <c r="M305">
        <f>VLOOKUP(SUBSTITUTE(J305,"'",""),Sheet1!L:M,2,FALSE)</f>
        <v>61130</v>
      </c>
    </row>
    <row r="306" spans="1:13" ht="13.5" customHeight="1" x14ac:dyDescent="0.4">
      <c r="A306" s="1">
        <v>45738</v>
      </c>
      <c r="B306" t="s">
        <v>32</v>
      </c>
      <c r="C306">
        <v>21.4</v>
      </c>
      <c r="D306" s="2" t="s">
        <v>1680</v>
      </c>
      <c r="E306" t="s">
        <v>32</v>
      </c>
      <c r="F306" s="2" t="s">
        <v>34</v>
      </c>
      <c r="G306" s="2" t="s">
        <v>35</v>
      </c>
      <c r="H306">
        <v>94110</v>
      </c>
      <c r="I306" t="s">
        <v>16</v>
      </c>
      <c r="J306" t="s">
        <v>1681</v>
      </c>
      <c r="K306" t="s">
        <v>37</v>
      </c>
      <c r="L306" t="s">
        <v>2047</v>
      </c>
      <c r="M306">
        <f>VLOOKUP(SUBSTITUTE(J306,"'",""),Sheet1!L:M,2,FALSE)</f>
        <v>64100</v>
      </c>
    </row>
    <row r="307" spans="1:13" ht="13.5" customHeight="1" x14ac:dyDescent="0.4">
      <c r="A307" s="1">
        <v>45739</v>
      </c>
      <c r="B307" t="s">
        <v>1677</v>
      </c>
      <c r="C307">
        <v>38.340000000000003</v>
      </c>
      <c r="D307" s="2" t="s">
        <v>1678</v>
      </c>
      <c r="E307" t="s">
        <v>1677</v>
      </c>
      <c r="F307" t="s">
        <v>29</v>
      </c>
      <c r="G307" t="e">
        <f>-
NY</f>
        <v>#NAME?</v>
      </c>
      <c r="H307">
        <v>11577</v>
      </c>
      <c r="I307" t="s">
        <v>16</v>
      </c>
      <c r="J307" t="s">
        <v>1679</v>
      </c>
      <c r="K307" t="s">
        <v>31</v>
      </c>
      <c r="L307" t="s">
        <v>2047</v>
      </c>
      <c r="M307">
        <f>VLOOKUP(SUBSTITUTE(J307,"'",""),Sheet1!L:M,2,FALSE)</f>
        <v>61131</v>
      </c>
    </row>
    <row r="308" spans="1:13" ht="13.5" customHeight="1" x14ac:dyDescent="0.4">
      <c r="A308" s="1">
        <v>45740</v>
      </c>
      <c r="B308" t="s">
        <v>153</v>
      </c>
      <c r="C308">
        <v>19.95</v>
      </c>
      <c r="D308" s="2" t="s">
        <v>1675</v>
      </c>
      <c r="E308" t="s">
        <v>153</v>
      </c>
      <c r="F308" t="s">
        <v>155</v>
      </c>
      <c r="G308" s="2" t="s">
        <v>156</v>
      </c>
      <c r="H308">
        <v>98052</v>
      </c>
      <c r="I308" t="s">
        <v>16</v>
      </c>
      <c r="J308" t="s">
        <v>1676</v>
      </c>
      <c r="K308" t="s">
        <v>18</v>
      </c>
      <c r="L308" t="s">
        <v>2047</v>
      </c>
      <c r="M308">
        <f>VLOOKUP(SUBSTITUTE(J308,"'",""),Sheet1!L:M,2,FALSE)</f>
        <v>64100</v>
      </c>
    </row>
    <row r="309" spans="1:13" ht="13.5" customHeight="1" x14ac:dyDescent="0.4">
      <c r="A309" s="1">
        <v>45740</v>
      </c>
      <c r="B309" t="s">
        <v>1412</v>
      </c>
      <c r="C309">
        <v>700</v>
      </c>
      <c r="D309" s="2" t="s">
        <v>1671</v>
      </c>
      <c r="E309" t="s">
        <v>1412</v>
      </c>
      <c r="F309" s="2" t="s">
        <v>1414</v>
      </c>
      <c r="G309" s="2" t="s">
        <v>41</v>
      </c>
      <c r="H309">
        <v>10004</v>
      </c>
      <c r="I309" t="s">
        <v>16</v>
      </c>
      <c r="J309" t="s">
        <v>1672</v>
      </c>
      <c r="K309" t="s">
        <v>126</v>
      </c>
      <c r="L309" t="s">
        <v>2047</v>
      </c>
      <c r="M309">
        <f>VLOOKUP(SUBSTITUTE(J309,"'",""),Sheet1!L:M,2,FALSE)</f>
        <v>61215</v>
      </c>
    </row>
    <row r="310" spans="1:13" ht="13.5" customHeight="1" x14ac:dyDescent="0.4">
      <c r="A310" s="1">
        <v>45740</v>
      </c>
      <c r="B310" t="s">
        <v>3151</v>
      </c>
      <c r="C310">
        <v>37.020000000000003</v>
      </c>
      <c r="D310" s="2" t="s">
        <v>4311</v>
      </c>
      <c r="E310" t="s">
        <v>3151</v>
      </c>
      <c r="F310" t="s">
        <v>2743</v>
      </c>
      <c r="G310" s="2" t="s">
        <v>41</v>
      </c>
      <c r="H310">
        <v>10003</v>
      </c>
      <c r="I310" t="s">
        <v>16</v>
      </c>
      <c r="J310" t="s">
        <v>4312</v>
      </c>
      <c r="K310" t="s">
        <v>207</v>
      </c>
      <c r="L310" t="s">
        <v>4673</v>
      </c>
      <c r="M310">
        <f>VLOOKUP(SUBSTITUTE(J310,"'",""),Sheet1!L:M,2,FALSE)</f>
        <v>54820</v>
      </c>
    </row>
    <row r="311" spans="1:13" ht="13.5" customHeight="1" x14ac:dyDescent="0.4">
      <c r="A311" s="1">
        <v>45740</v>
      </c>
      <c r="B311" t="s">
        <v>2085</v>
      </c>
      <c r="C311">
        <v>19.38</v>
      </c>
      <c r="D311" s="2" t="s">
        <v>4313</v>
      </c>
      <c r="E311" t="s">
        <v>2085</v>
      </c>
      <c r="F311" t="s">
        <v>2087</v>
      </c>
      <c r="G311" s="2" t="s">
        <v>41</v>
      </c>
      <c r="H311">
        <v>10001</v>
      </c>
      <c r="I311" t="s">
        <v>16</v>
      </c>
      <c r="J311" t="s">
        <v>4314</v>
      </c>
      <c r="K311" t="s">
        <v>1218</v>
      </c>
      <c r="L311" t="s">
        <v>4673</v>
      </c>
      <c r="M311">
        <f>VLOOKUP(SUBSTITUTE(J311,"'",""),Sheet1!L:M,2,FALSE)</f>
        <v>54820</v>
      </c>
    </row>
    <row r="312" spans="1:13" ht="13.5" customHeight="1" x14ac:dyDescent="0.4">
      <c r="A312" s="1">
        <v>45740</v>
      </c>
      <c r="B312" t="s">
        <v>38</v>
      </c>
      <c r="C312">
        <v>742.18</v>
      </c>
      <c r="D312" s="2" t="s">
        <v>1673</v>
      </c>
      <c r="E312" t="s">
        <v>38</v>
      </c>
      <c r="F312" t="s">
        <v>40</v>
      </c>
      <c r="G312" s="2" t="s">
        <v>41</v>
      </c>
      <c r="H312">
        <v>10012</v>
      </c>
      <c r="I312" t="s">
        <v>16</v>
      </c>
      <c r="J312" t="s">
        <v>1674</v>
      </c>
      <c r="K312" t="s">
        <v>43</v>
      </c>
      <c r="L312" t="s">
        <v>2047</v>
      </c>
      <c r="M312">
        <f>VLOOKUP(SUBSTITUTE(J312,"'",""),Sheet1!L:M,2,FALSE)</f>
        <v>61131</v>
      </c>
    </row>
    <row r="313" spans="1:13" ht="13.5" customHeight="1" x14ac:dyDescent="0.4">
      <c r="A313" s="1">
        <v>45741</v>
      </c>
      <c r="B313" t="s">
        <v>1606</v>
      </c>
      <c r="C313">
        <v>5000</v>
      </c>
      <c r="D313" s="2" t="s">
        <v>4307</v>
      </c>
      <c r="E313" t="s">
        <v>1606</v>
      </c>
      <c r="F313" s="2" t="s">
        <v>1608</v>
      </c>
      <c r="G313" s="2" t="s">
        <v>1138</v>
      </c>
      <c r="H313">
        <v>77079</v>
      </c>
      <c r="I313" t="s">
        <v>16</v>
      </c>
      <c r="J313" t="s">
        <v>4308</v>
      </c>
      <c r="K313" t="s">
        <v>1334</v>
      </c>
      <c r="L313" t="s">
        <v>4673</v>
      </c>
      <c r="M313">
        <f>VLOOKUP(SUBSTITUTE(J313,"'",""),Sheet1!L:M,2,FALSE)</f>
        <v>65505</v>
      </c>
    </row>
    <row r="314" spans="1:13" ht="13.5" customHeight="1" x14ac:dyDescent="0.4">
      <c r="A314" s="1">
        <v>45741</v>
      </c>
      <c r="B314" t="s">
        <v>478</v>
      </c>
      <c r="C314">
        <v>48.7</v>
      </c>
      <c r="D314" s="2" t="s">
        <v>1669</v>
      </c>
      <c r="E314" t="s">
        <v>480</v>
      </c>
      <c r="F314" s="2" t="s">
        <v>481</v>
      </c>
      <c r="G314" s="2" t="s">
        <v>35</v>
      </c>
      <c r="H314">
        <v>94103</v>
      </c>
      <c r="I314" t="s">
        <v>16</v>
      </c>
      <c r="J314" t="s">
        <v>1670</v>
      </c>
      <c r="K314" t="s">
        <v>483</v>
      </c>
      <c r="L314" t="s">
        <v>2047</v>
      </c>
      <c r="M314">
        <f>VLOOKUP(SUBSTITUTE(J314,"'",""),Sheet1!L:M,2,FALSE)</f>
        <v>61130</v>
      </c>
    </row>
    <row r="315" spans="1:13" ht="13.5" customHeight="1" x14ac:dyDescent="0.4">
      <c r="A315" s="1">
        <v>45741</v>
      </c>
      <c r="B315" t="s">
        <v>4302</v>
      </c>
      <c r="C315">
        <v>78.95</v>
      </c>
      <c r="D315" s="2" t="s">
        <v>4303</v>
      </c>
      <c r="E315" t="s">
        <v>4302</v>
      </c>
      <c r="F315" t="s">
        <v>4304</v>
      </c>
      <c r="G315" s="2" t="s">
        <v>4305</v>
      </c>
      <c r="H315">
        <v>60510</v>
      </c>
      <c r="I315" t="s">
        <v>16</v>
      </c>
      <c r="J315" t="s">
        <v>4306</v>
      </c>
      <c r="K315" t="s">
        <v>1218</v>
      </c>
      <c r="L315" t="s">
        <v>4673</v>
      </c>
      <c r="M315">
        <f>VLOOKUP(SUBSTITUTE(J315,"'",""),Sheet1!L:M,2,FALSE)</f>
        <v>54820</v>
      </c>
    </row>
    <row r="316" spans="1:13" ht="13.5" customHeight="1" x14ac:dyDescent="0.4">
      <c r="A316" s="1">
        <v>45741</v>
      </c>
      <c r="B316" t="s">
        <v>2158</v>
      </c>
      <c r="C316">
        <v>200</v>
      </c>
      <c r="D316" s="2" t="s">
        <v>4309</v>
      </c>
      <c r="E316" t="s">
        <v>2158</v>
      </c>
      <c r="F316" s="2" t="s">
        <v>3032</v>
      </c>
      <c r="G316" s="2" t="s">
        <v>41</v>
      </c>
      <c r="H316">
        <v>10017</v>
      </c>
      <c r="I316" t="s">
        <v>16</v>
      </c>
      <c r="J316" t="s">
        <v>4310</v>
      </c>
      <c r="K316" t="s">
        <v>116</v>
      </c>
      <c r="L316" t="s">
        <v>4673</v>
      </c>
      <c r="M316">
        <f>VLOOKUP(SUBSTITUTE(J316,"'",""),Sheet1!L:M,2,FALSE)</f>
        <v>54820</v>
      </c>
    </row>
    <row r="317" spans="1:13" ht="13.5" customHeight="1" x14ac:dyDescent="0.4">
      <c r="A317" s="1">
        <v>45742</v>
      </c>
      <c r="B317" t="s">
        <v>1663</v>
      </c>
      <c r="C317">
        <v>10.99</v>
      </c>
      <c r="D317" s="2" t="s">
        <v>1664</v>
      </c>
      <c r="E317" t="s">
        <v>1663</v>
      </c>
      <c r="F317" t="s">
        <v>13</v>
      </c>
      <c r="G317" s="2" t="s">
        <v>14</v>
      </c>
      <c r="H317" t="s">
        <v>15</v>
      </c>
      <c r="I317" t="s">
        <v>16</v>
      </c>
      <c r="J317" t="s">
        <v>1665</v>
      </c>
      <c r="K317" t="s">
        <v>18</v>
      </c>
      <c r="L317" t="s">
        <v>2047</v>
      </c>
      <c r="M317">
        <f>VLOOKUP(SUBSTITUTE(J317,"'",""),Sheet1!L:M,2,FALSE)</f>
        <v>54820</v>
      </c>
    </row>
    <row r="318" spans="1:13" ht="13.5" customHeight="1" x14ac:dyDescent="0.4">
      <c r="A318" s="1">
        <v>45742</v>
      </c>
      <c r="B318" t="s">
        <v>1666</v>
      </c>
      <c r="C318">
        <v>24.95</v>
      </c>
      <c r="D318" s="2" t="s">
        <v>1667</v>
      </c>
      <c r="E318" t="s">
        <v>1666</v>
      </c>
      <c r="F318" s="2" t="s">
        <v>319</v>
      </c>
      <c r="G318" s="2" t="s">
        <v>41</v>
      </c>
      <c r="H318">
        <v>10285</v>
      </c>
      <c r="I318" t="s">
        <v>16</v>
      </c>
      <c r="J318" t="s">
        <v>1668</v>
      </c>
      <c r="K318" t="s">
        <v>321</v>
      </c>
      <c r="L318" t="s">
        <v>2047</v>
      </c>
      <c r="M318">
        <f>VLOOKUP(SUBSTITUTE(J318,"'",""),Sheet1!L:M,2,FALSE)</f>
        <v>61131</v>
      </c>
    </row>
    <row r="319" spans="1:13" ht="13.5" customHeight="1" x14ac:dyDescent="0.4">
      <c r="A319" s="1">
        <v>45742</v>
      </c>
      <c r="B319" t="s">
        <v>1792</v>
      </c>
      <c r="C319">
        <v>16.05</v>
      </c>
      <c r="D319" s="2" t="s">
        <v>4300</v>
      </c>
      <c r="E319" t="s">
        <v>1792</v>
      </c>
      <c r="F319" t="s">
        <v>1794</v>
      </c>
      <c r="G319" s="2" t="s">
        <v>35</v>
      </c>
      <c r="H319">
        <v>94105</v>
      </c>
      <c r="I319" t="s">
        <v>16</v>
      </c>
      <c r="J319" t="s">
        <v>4301</v>
      </c>
      <c r="K319" t="s">
        <v>37</v>
      </c>
      <c r="L319" t="s">
        <v>4673</v>
      </c>
      <c r="M319">
        <f>VLOOKUP(SUBSTITUTE(J319,"'",""),Sheet1!L:M,2,FALSE)</f>
        <v>64100</v>
      </c>
    </row>
    <row r="320" spans="1:13" ht="13.5" customHeight="1" x14ac:dyDescent="0.4">
      <c r="A320" s="1">
        <v>45743</v>
      </c>
      <c r="B320" t="s">
        <v>4293</v>
      </c>
      <c r="C320">
        <v>5665</v>
      </c>
      <c r="D320" s="2" t="s">
        <v>4294</v>
      </c>
      <c r="E320" t="s">
        <v>4293</v>
      </c>
      <c r="F320" t="s">
        <v>4295</v>
      </c>
      <c r="G320" s="2" t="s">
        <v>4296</v>
      </c>
      <c r="H320" t="s">
        <v>4297</v>
      </c>
      <c r="I320" t="s">
        <v>16</v>
      </c>
      <c r="J320" t="s">
        <v>4298</v>
      </c>
      <c r="K320" t="s">
        <v>4299</v>
      </c>
      <c r="L320" t="s">
        <v>4673</v>
      </c>
      <c r="M320">
        <f>VLOOKUP(SUBSTITUTE(J320,"'",""),Sheet1!L:M,2,FALSE)</f>
        <v>61100</v>
      </c>
    </row>
    <row r="321" spans="1:13" ht="13.5" customHeight="1" x14ac:dyDescent="0.4">
      <c r="A321" s="1">
        <v>45743</v>
      </c>
      <c r="B321" t="s">
        <v>885</v>
      </c>
      <c r="C321">
        <v>114.66</v>
      </c>
      <c r="D321" s="2" t="s">
        <v>1657</v>
      </c>
      <c r="E321" t="s">
        <v>885</v>
      </c>
      <c r="F321" t="s">
        <v>108</v>
      </c>
      <c r="G321" s="2" t="s">
        <v>41</v>
      </c>
      <c r="H321">
        <v>10012</v>
      </c>
      <c r="I321" t="s">
        <v>16</v>
      </c>
      <c r="J321" t="s">
        <v>1658</v>
      </c>
      <c r="K321" t="s">
        <v>483</v>
      </c>
      <c r="L321" t="s">
        <v>2047</v>
      </c>
      <c r="M321">
        <f>VLOOKUP(SUBSTITUTE(J321,"'",""),Sheet1!L:M,2,FALSE)</f>
        <v>67500</v>
      </c>
    </row>
    <row r="322" spans="1:13" ht="13.5" customHeight="1" x14ac:dyDescent="0.4">
      <c r="A322" s="1">
        <v>45743</v>
      </c>
      <c r="B322" t="s">
        <v>478</v>
      </c>
      <c r="C322">
        <v>43.71</v>
      </c>
      <c r="D322" s="2" t="s">
        <v>1661</v>
      </c>
      <c r="E322" t="s">
        <v>480</v>
      </c>
      <c r="F322" s="2" t="s">
        <v>481</v>
      </c>
      <c r="G322" s="2" t="s">
        <v>35</v>
      </c>
      <c r="H322">
        <v>94103</v>
      </c>
      <c r="I322" t="s">
        <v>16</v>
      </c>
      <c r="J322" t="s">
        <v>1662</v>
      </c>
      <c r="K322" t="s">
        <v>483</v>
      </c>
      <c r="L322" t="s">
        <v>2047</v>
      </c>
      <c r="M322">
        <f>VLOOKUP(SUBSTITUTE(J322,"'",""),Sheet1!L:M,2,FALSE)</f>
        <v>61130</v>
      </c>
    </row>
    <row r="323" spans="1:13" ht="13.5" customHeight="1" x14ac:dyDescent="0.4">
      <c r="A323" s="1">
        <v>45743</v>
      </c>
      <c r="B323" t="s">
        <v>478</v>
      </c>
      <c r="C323">
        <v>6.28</v>
      </c>
      <c r="D323" s="2" t="s">
        <v>1659</v>
      </c>
      <c r="E323" t="s">
        <v>480</v>
      </c>
      <c r="F323" s="2" t="s">
        <v>481</v>
      </c>
      <c r="G323" s="2" t="s">
        <v>35</v>
      </c>
      <c r="H323">
        <v>94103</v>
      </c>
      <c r="I323" t="s">
        <v>16</v>
      </c>
      <c r="J323" t="s">
        <v>1660</v>
      </c>
      <c r="K323" t="s">
        <v>483</v>
      </c>
      <c r="L323" t="s">
        <v>2047</v>
      </c>
      <c r="M323">
        <f>VLOOKUP(SUBSTITUTE(J323,"'",""),Sheet1!L:M,2,FALSE)</f>
        <v>61130</v>
      </c>
    </row>
    <row r="324" spans="1:13" ht="13.5" customHeight="1" x14ac:dyDescent="0.4">
      <c r="A324" s="1">
        <v>45744</v>
      </c>
      <c r="B324" t="s">
        <v>260</v>
      </c>
      <c r="C324">
        <v>47.8</v>
      </c>
      <c r="D324" s="2" t="s">
        <v>1651</v>
      </c>
      <c r="E324" t="s">
        <v>260</v>
      </c>
      <c r="F324" t="s">
        <v>29</v>
      </c>
      <c r="G324" t="e">
        <f>-
TX</f>
        <v>#NAME?</v>
      </c>
      <c r="H324">
        <v>75231</v>
      </c>
      <c r="I324" t="s">
        <v>16</v>
      </c>
      <c r="J324" t="s">
        <v>1652</v>
      </c>
      <c r="K324" t="s">
        <v>61</v>
      </c>
      <c r="L324" t="s">
        <v>2047</v>
      </c>
      <c r="M324">
        <f>VLOOKUP(SUBSTITUTE(J324,"'",""),Sheet1!L:M,2,FALSE)</f>
        <v>63100</v>
      </c>
    </row>
    <row r="325" spans="1:13" ht="13.5" customHeight="1" x14ac:dyDescent="0.4">
      <c r="A325" s="1">
        <v>45744</v>
      </c>
      <c r="B325" t="s">
        <v>175</v>
      </c>
      <c r="C325">
        <v>630</v>
      </c>
      <c r="D325" s="2" t="s">
        <v>1655</v>
      </c>
      <c r="E325" t="s">
        <v>175</v>
      </c>
      <c r="F325" t="s">
        <v>177</v>
      </c>
      <c r="G325" s="2" t="s">
        <v>41</v>
      </c>
      <c r="H325">
        <v>10012</v>
      </c>
      <c r="I325" t="s">
        <v>16</v>
      </c>
      <c r="J325" t="s">
        <v>1656</v>
      </c>
      <c r="K325" t="s">
        <v>126</v>
      </c>
      <c r="L325" t="s">
        <v>2047</v>
      </c>
      <c r="M325">
        <f>VLOOKUP(SUBSTITUTE(J325,"'",""),Sheet1!L:M,2,FALSE)</f>
        <v>61215</v>
      </c>
    </row>
    <row r="326" spans="1:13" ht="13.5" customHeight="1" x14ac:dyDescent="0.4">
      <c r="A326" s="1">
        <v>45744</v>
      </c>
      <c r="B326" t="s">
        <v>222</v>
      </c>
      <c r="C326">
        <v>3055.5</v>
      </c>
      <c r="D326" s="2" t="s">
        <v>1653</v>
      </c>
      <c r="E326" t="s">
        <v>222</v>
      </c>
      <c r="F326" t="s">
        <v>224</v>
      </c>
      <c r="G326" s="2" t="s">
        <v>35</v>
      </c>
      <c r="H326">
        <v>94104</v>
      </c>
      <c r="I326" t="s">
        <v>16</v>
      </c>
      <c r="J326" t="s">
        <v>1654</v>
      </c>
      <c r="K326" t="s">
        <v>37</v>
      </c>
      <c r="L326" t="s">
        <v>2047</v>
      </c>
      <c r="M326">
        <f>VLOOKUP(SUBSTITUTE(J326,"'",""),Sheet1!L:M,2,FALSE)</f>
        <v>64200</v>
      </c>
    </row>
    <row r="327" spans="1:13" ht="13.5" customHeight="1" x14ac:dyDescent="0.4">
      <c r="A327" s="1">
        <v>45746</v>
      </c>
      <c r="B327" t="s">
        <v>1643</v>
      </c>
      <c r="C327">
        <v>56.85</v>
      </c>
      <c r="D327" s="2" t="s">
        <v>1644</v>
      </c>
      <c r="E327" t="s">
        <v>1643</v>
      </c>
      <c r="F327" t="s">
        <v>29</v>
      </c>
      <c r="G327" t="e">
        <f>-
NY</f>
        <v>#NAME?</v>
      </c>
      <c r="H327">
        <v>11577</v>
      </c>
      <c r="I327" t="s">
        <v>16</v>
      </c>
      <c r="J327" t="s">
        <v>1645</v>
      </c>
      <c r="K327" t="s">
        <v>31</v>
      </c>
      <c r="L327" t="s">
        <v>2047</v>
      </c>
      <c r="M327">
        <f>VLOOKUP(SUBSTITUTE(J327,"'",""),Sheet1!L:M,2,FALSE)</f>
        <v>61131</v>
      </c>
    </row>
    <row r="328" spans="1:13" ht="13.5" customHeight="1" x14ac:dyDescent="0.4">
      <c r="A328" s="1">
        <v>45746</v>
      </c>
      <c r="B328" t="s">
        <v>2240</v>
      </c>
      <c r="C328">
        <v>48.4</v>
      </c>
      <c r="D328" s="2" t="s">
        <v>4291</v>
      </c>
      <c r="E328" t="s">
        <v>2240</v>
      </c>
      <c r="F328" t="s">
        <v>2242</v>
      </c>
      <c r="G328" s="2" t="s">
        <v>41</v>
      </c>
      <c r="H328">
        <v>10003</v>
      </c>
      <c r="I328" t="s">
        <v>16</v>
      </c>
      <c r="J328" t="s">
        <v>4292</v>
      </c>
      <c r="K328" t="s">
        <v>1218</v>
      </c>
      <c r="L328" t="s">
        <v>4673</v>
      </c>
      <c r="M328">
        <f>VLOOKUP(SUBSTITUTE(J328,"'",""),Sheet1!L:M,2,FALSE)</f>
        <v>54820</v>
      </c>
    </row>
    <row r="329" spans="1:13" ht="13.5" customHeight="1" x14ac:dyDescent="0.4">
      <c r="A329" s="1">
        <v>45746</v>
      </c>
      <c r="B329" t="s">
        <v>977</v>
      </c>
      <c r="C329">
        <v>20</v>
      </c>
      <c r="D329" s="2" t="s">
        <v>4289</v>
      </c>
      <c r="E329" t="s">
        <v>977</v>
      </c>
      <c r="F329" s="2" t="s">
        <v>979</v>
      </c>
      <c r="G329" s="2" t="s">
        <v>980</v>
      </c>
      <c r="H329">
        <v>78259</v>
      </c>
      <c r="I329" t="s">
        <v>16</v>
      </c>
      <c r="J329" t="s">
        <v>4290</v>
      </c>
      <c r="K329" t="s">
        <v>164</v>
      </c>
      <c r="L329" t="s">
        <v>4673</v>
      </c>
      <c r="M329">
        <f>VLOOKUP(SUBSTITUTE(J329,"'",""),Sheet1!L:M,2,FALSE)</f>
        <v>54820</v>
      </c>
    </row>
    <row r="330" spans="1:13" ht="13.5" customHeight="1" x14ac:dyDescent="0.4">
      <c r="A330" s="1">
        <v>45746</v>
      </c>
      <c r="B330" t="s">
        <v>1646</v>
      </c>
      <c r="C330">
        <v>200</v>
      </c>
      <c r="D330" s="2" t="s">
        <v>1647</v>
      </c>
      <c r="E330" t="s">
        <v>1646</v>
      </c>
      <c r="F330" t="s">
        <v>1648</v>
      </c>
      <c r="G330" s="2" t="s">
        <v>1649</v>
      </c>
      <c r="H330">
        <v>59601</v>
      </c>
      <c r="I330" t="s">
        <v>16</v>
      </c>
      <c r="J330" t="s">
        <v>1650</v>
      </c>
      <c r="K330" t="s">
        <v>1334</v>
      </c>
      <c r="L330" t="s">
        <v>2047</v>
      </c>
      <c r="M330">
        <f>VLOOKUP(SUBSTITUTE(J330,"'",""),Sheet1!L:M,2,FALSE)</f>
        <v>65505</v>
      </c>
    </row>
    <row r="331" spans="1:13" ht="13.5" customHeight="1" x14ac:dyDescent="0.4">
      <c r="A331" s="1">
        <v>45747</v>
      </c>
      <c r="B331" t="s">
        <v>1638</v>
      </c>
      <c r="C331">
        <v>646</v>
      </c>
      <c r="D331" s="2" t="s">
        <v>1639</v>
      </c>
      <c r="E331" t="s">
        <v>1638</v>
      </c>
      <c r="F331" t="s">
        <v>1640</v>
      </c>
      <c r="G331" s="2" t="s">
        <v>41</v>
      </c>
      <c r="H331" t="s">
        <v>1641</v>
      </c>
      <c r="I331" t="s">
        <v>16</v>
      </c>
      <c r="J331" t="s">
        <v>1642</v>
      </c>
      <c r="K331" t="s">
        <v>56</v>
      </c>
      <c r="L331" t="s">
        <v>2047</v>
      </c>
      <c r="M331">
        <f>VLOOKUP(SUBSTITUTE(J331,"'",""),Sheet1!L:M,2,FALSE)</f>
        <v>67500</v>
      </c>
    </row>
    <row r="332" spans="1:13" ht="13.5" customHeight="1" x14ac:dyDescent="0.4">
      <c r="A332" s="1">
        <v>45747</v>
      </c>
      <c r="B332" t="s">
        <v>2142</v>
      </c>
      <c r="C332">
        <v>27.6</v>
      </c>
      <c r="D332" s="2" t="s">
        <v>4287</v>
      </c>
      <c r="E332" t="s">
        <v>2142</v>
      </c>
      <c r="F332" t="s">
        <v>2144</v>
      </c>
      <c r="G332" s="2" t="s">
        <v>41</v>
      </c>
      <c r="H332">
        <v>10012</v>
      </c>
      <c r="I332" t="s">
        <v>16</v>
      </c>
      <c r="J332" t="s">
        <v>4288</v>
      </c>
      <c r="K332" t="s">
        <v>1304</v>
      </c>
      <c r="L332" t="s">
        <v>4673</v>
      </c>
      <c r="M332">
        <f>VLOOKUP(SUBSTITUTE(J332,"'",""),Sheet1!L:M,2,FALSE)</f>
        <v>54820</v>
      </c>
    </row>
    <row r="333" spans="1:13" ht="13.5" customHeight="1" x14ac:dyDescent="0.4">
      <c r="A333" s="1">
        <v>45747</v>
      </c>
      <c r="B333" t="s">
        <v>38</v>
      </c>
      <c r="C333">
        <v>951.77</v>
      </c>
      <c r="D333" s="2" t="s">
        <v>1636</v>
      </c>
      <c r="E333" t="s">
        <v>38</v>
      </c>
      <c r="F333" t="s">
        <v>40</v>
      </c>
      <c r="G333" s="2" t="s">
        <v>41</v>
      </c>
      <c r="H333">
        <v>10012</v>
      </c>
      <c r="I333" t="s">
        <v>16</v>
      </c>
      <c r="J333" t="s">
        <v>1637</v>
      </c>
      <c r="K333" t="s">
        <v>43</v>
      </c>
      <c r="L333" t="s">
        <v>2047</v>
      </c>
      <c r="M333">
        <f>VLOOKUP(SUBSTITUTE(J333,"'",""),Sheet1!L:M,2,FALSE)</f>
        <v>61131</v>
      </c>
    </row>
    <row r="334" spans="1:13" ht="13.5" customHeight="1" x14ac:dyDescent="0.4">
      <c r="A334" s="1">
        <v>45748</v>
      </c>
      <c r="B334" t="s">
        <v>2429</v>
      </c>
      <c r="C334">
        <v>1603.36</v>
      </c>
      <c r="D334" s="2" t="s">
        <v>4283</v>
      </c>
      <c r="E334" t="s">
        <v>2429</v>
      </c>
      <c r="F334" t="s">
        <v>13</v>
      </c>
      <c r="G334" s="2" t="s">
        <v>14</v>
      </c>
      <c r="H334">
        <v>98101</v>
      </c>
      <c r="I334" t="s">
        <v>16</v>
      </c>
      <c r="J334" t="s">
        <v>4284</v>
      </c>
      <c r="K334" t="s">
        <v>18</v>
      </c>
      <c r="L334" t="s">
        <v>4673</v>
      </c>
      <c r="M334">
        <f>VLOOKUP(SUBSTITUTE(J334,"'",""),Sheet1!L:M,2,FALSE)</f>
        <v>64101</v>
      </c>
    </row>
    <row r="335" spans="1:13" ht="13.5" customHeight="1" x14ac:dyDescent="0.4">
      <c r="A335" s="1">
        <v>45748</v>
      </c>
      <c r="B335" t="s">
        <v>234</v>
      </c>
      <c r="C335">
        <v>223.91</v>
      </c>
      <c r="D335" s="2" t="s">
        <v>1634</v>
      </c>
      <c r="E335" t="s">
        <v>236</v>
      </c>
      <c r="F335" t="s">
        <v>237</v>
      </c>
      <c r="G335" s="2" t="s">
        <v>238</v>
      </c>
      <c r="H335" t="s">
        <v>239</v>
      </c>
      <c r="I335" t="s">
        <v>16</v>
      </c>
      <c r="J335" t="s">
        <v>1635</v>
      </c>
      <c r="K335" t="s">
        <v>90</v>
      </c>
      <c r="L335" t="s">
        <v>2047</v>
      </c>
      <c r="M335">
        <f>VLOOKUP(SUBSTITUTE(J335,"'",""),Sheet1!L:M,2,FALSE)</f>
        <v>65700</v>
      </c>
    </row>
    <row r="336" spans="1:13" ht="13.5" customHeight="1" x14ac:dyDescent="0.4">
      <c r="A336" s="1">
        <v>45748</v>
      </c>
      <c r="B336" t="s">
        <v>140</v>
      </c>
      <c r="C336">
        <v>38.65</v>
      </c>
      <c r="D336" s="2" t="s">
        <v>1630</v>
      </c>
      <c r="E336" t="s">
        <v>142</v>
      </c>
      <c r="F336" t="s">
        <v>143</v>
      </c>
      <c r="G336" s="2" t="s">
        <v>14</v>
      </c>
      <c r="H336">
        <v>98109</v>
      </c>
      <c r="I336" t="s">
        <v>16</v>
      </c>
      <c r="J336" t="s">
        <v>1631</v>
      </c>
      <c r="K336" t="s">
        <v>18</v>
      </c>
      <c r="L336" t="s">
        <v>2047</v>
      </c>
      <c r="M336">
        <f>VLOOKUP(SUBSTITUTE(J336,"'",""),Sheet1!L:M,2,FALSE)</f>
        <v>54820</v>
      </c>
    </row>
    <row r="337" spans="1:13" ht="13.5" customHeight="1" x14ac:dyDescent="0.4">
      <c r="A337" s="1">
        <v>45748</v>
      </c>
      <c r="B337" t="s">
        <v>2934</v>
      </c>
      <c r="C337">
        <v>12.92</v>
      </c>
      <c r="D337" s="2" t="s">
        <v>4285</v>
      </c>
      <c r="E337" t="s">
        <v>2934</v>
      </c>
      <c r="F337" t="s">
        <v>3794</v>
      </c>
      <c r="G337" s="2" t="s">
        <v>41</v>
      </c>
      <c r="H337">
        <v>10003</v>
      </c>
      <c r="I337" t="s">
        <v>16</v>
      </c>
      <c r="J337" t="s">
        <v>4286</v>
      </c>
      <c r="K337" t="s">
        <v>305</v>
      </c>
      <c r="L337" t="s">
        <v>4673</v>
      </c>
      <c r="M337">
        <f>VLOOKUP(SUBSTITUTE(J337,"'",""),Sheet1!L:M,2,FALSE)</f>
        <v>54820</v>
      </c>
    </row>
    <row r="338" spans="1:13" ht="13.5" customHeight="1" x14ac:dyDescent="0.4">
      <c r="A338" s="1">
        <v>45748</v>
      </c>
      <c r="B338" t="s">
        <v>140</v>
      </c>
      <c r="C338">
        <v>491.67</v>
      </c>
      <c r="D338" s="2" t="s">
        <v>1632</v>
      </c>
      <c r="E338" t="s">
        <v>142</v>
      </c>
      <c r="F338" t="s">
        <v>143</v>
      </c>
      <c r="G338" s="2" t="s">
        <v>14</v>
      </c>
      <c r="H338">
        <v>98109</v>
      </c>
      <c r="I338" t="s">
        <v>16</v>
      </c>
      <c r="J338" t="s">
        <v>1633</v>
      </c>
      <c r="K338" t="s">
        <v>18</v>
      </c>
      <c r="L338" t="s">
        <v>2047</v>
      </c>
      <c r="M338">
        <f>VLOOKUP(SUBSTITUTE(J338,"'",""),Sheet1!L:M,2,FALSE)</f>
        <v>54820</v>
      </c>
    </row>
    <row r="339" spans="1:13" ht="13.5" customHeight="1" x14ac:dyDescent="0.4">
      <c r="A339" s="1">
        <v>45749</v>
      </c>
      <c r="B339" t="s">
        <v>478</v>
      </c>
      <c r="C339">
        <v>31.78</v>
      </c>
      <c r="D339" s="2" t="s">
        <v>1628</v>
      </c>
      <c r="E339" t="s">
        <v>480</v>
      </c>
      <c r="F339" s="2" t="s">
        <v>481</v>
      </c>
      <c r="G339" s="2" t="s">
        <v>35</v>
      </c>
      <c r="H339">
        <v>94103</v>
      </c>
      <c r="I339" t="s">
        <v>16</v>
      </c>
      <c r="J339" t="s">
        <v>1629</v>
      </c>
      <c r="K339" t="s">
        <v>483</v>
      </c>
      <c r="L339" t="s">
        <v>2047</v>
      </c>
      <c r="M339">
        <f>VLOOKUP(SUBSTITUTE(J339,"'",""),Sheet1!L:M,2,FALSE)</f>
        <v>61130</v>
      </c>
    </row>
    <row r="340" spans="1:13" ht="13.5" customHeight="1" x14ac:dyDescent="0.4">
      <c r="A340" s="1">
        <v>45749</v>
      </c>
      <c r="B340" t="s">
        <v>4281</v>
      </c>
      <c r="C340">
        <v>39</v>
      </c>
      <c r="D340" t="s">
        <v>4281</v>
      </c>
      <c r="E340" t="s">
        <v>4281</v>
      </c>
      <c r="J340" t="s">
        <v>4282</v>
      </c>
      <c r="K340" t="s">
        <v>21</v>
      </c>
      <c r="L340" t="s">
        <v>4673</v>
      </c>
      <c r="M340">
        <f>VLOOKUP(SUBSTITUTE(J340,"'",""),Sheet1!L:M,2,FALSE)</f>
        <v>80100</v>
      </c>
    </row>
    <row r="341" spans="1:13" ht="13.5" customHeight="1" x14ac:dyDescent="0.4">
      <c r="A341" s="1">
        <v>45749</v>
      </c>
      <c r="B341" t="s">
        <v>948</v>
      </c>
      <c r="C341">
        <v>830</v>
      </c>
      <c r="D341" s="2" t="s">
        <v>1622</v>
      </c>
      <c r="E341" t="s">
        <v>948</v>
      </c>
      <c r="F341" t="s">
        <v>950</v>
      </c>
      <c r="G341" s="2" t="s">
        <v>41</v>
      </c>
      <c r="H341">
        <v>10001</v>
      </c>
      <c r="I341" t="s">
        <v>16</v>
      </c>
      <c r="J341" t="s">
        <v>1623</v>
      </c>
      <c r="K341" t="s">
        <v>126</v>
      </c>
      <c r="L341" t="s">
        <v>2047</v>
      </c>
      <c r="M341">
        <f>VLOOKUP(SUBSTITUTE(J341,"'",""),Sheet1!L:M,2,FALSE)</f>
        <v>61215</v>
      </c>
    </row>
    <row r="342" spans="1:13" ht="13.5" customHeight="1" x14ac:dyDescent="0.4">
      <c r="A342" s="1">
        <v>45749</v>
      </c>
      <c r="B342" t="s">
        <v>999</v>
      </c>
      <c r="C342">
        <v>300</v>
      </c>
      <c r="D342" s="2" t="s">
        <v>1624</v>
      </c>
      <c r="E342" t="s">
        <v>999</v>
      </c>
      <c r="F342" t="s">
        <v>950</v>
      </c>
      <c r="G342" s="2" t="s">
        <v>41</v>
      </c>
      <c r="H342">
        <v>10001</v>
      </c>
      <c r="I342" t="s">
        <v>16</v>
      </c>
      <c r="J342" t="s">
        <v>1625</v>
      </c>
      <c r="K342" t="s">
        <v>126</v>
      </c>
      <c r="L342" t="s">
        <v>2047</v>
      </c>
      <c r="M342">
        <f>VLOOKUP(SUBSTITUTE(J342,"'",""),Sheet1!L:M,2,FALSE)</f>
        <v>61215</v>
      </c>
    </row>
    <row r="343" spans="1:13" ht="13.5" customHeight="1" x14ac:dyDescent="0.4">
      <c r="A343" s="1">
        <v>45749</v>
      </c>
      <c r="B343" t="s">
        <v>222</v>
      </c>
      <c r="C343">
        <v>79</v>
      </c>
      <c r="D343" s="2" t="s">
        <v>1626</v>
      </c>
      <c r="E343" t="s">
        <v>222</v>
      </c>
      <c r="F343" t="s">
        <v>224</v>
      </c>
      <c r="G343" s="2" t="s">
        <v>35</v>
      </c>
      <c r="H343">
        <v>94104</v>
      </c>
      <c r="I343" t="s">
        <v>16</v>
      </c>
      <c r="J343" t="s">
        <v>1627</v>
      </c>
      <c r="K343" t="s">
        <v>37</v>
      </c>
      <c r="L343" t="s">
        <v>2047</v>
      </c>
      <c r="M343">
        <f>VLOOKUP(SUBSTITUTE(J343,"'",""),Sheet1!L:M,2,FALSE)</f>
        <v>64200</v>
      </c>
    </row>
    <row r="344" spans="1:13" ht="13.5" customHeight="1" x14ac:dyDescent="0.4">
      <c r="A344" s="1">
        <v>45750</v>
      </c>
      <c r="B344" t="s">
        <v>22</v>
      </c>
      <c r="C344">
        <v>-10000</v>
      </c>
      <c r="D344" t="s">
        <v>22</v>
      </c>
      <c r="E344" t="s">
        <v>22</v>
      </c>
      <c r="J344" t="s">
        <v>1612</v>
      </c>
      <c r="L344" t="s">
        <v>2047</v>
      </c>
      <c r="M344" t="e">
        <f>VLOOKUP(SUBSTITUTE(J344,"'",""),Sheet1!L:M,2,FALSE)</f>
        <v>#N/A</v>
      </c>
    </row>
    <row r="345" spans="1:13" ht="13.5" customHeight="1" x14ac:dyDescent="0.4">
      <c r="A345" s="1">
        <v>45750</v>
      </c>
      <c r="B345" t="s">
        <v>22</v>
      </c>
      <c r="C345">
        <v>-10000</v>
      </c>
      <c r="D345" t="s">
        <v>22</v>
      </c>
      <c r="E345" t="s">
        <v>22</v>
      </c>
      <c r="J345" t="s">
        <v>4276</v>
      </c>
      <c r="L345" t="s">
        <v>4673</v>
      </c>
      <c r="M345" t="e">
        <f>VLOOKUP(SUBSTITUTE(J345,"'",""),Sheet1!L:M,2,FALSE)</f>
        <v>#N/A</v>
      </c>
    </row>
    <row r="346" spans="1:13" ht="13.5" customHeight="1" x14ac:dyDescent="0.4">
      <c r="A346" s="1">
        <v>45750</v>
      </c>
      <c r="B346" t="s">
        <v>2393</v>
      </c>
      <c r="C346">
        <v>9.9499999999999993</v>
      </c>
      <c r="D346" s="2" t="s">
        <v>4273</v>
      </c>
      <c r="E346" t="s">
        <v>2393</v>
      </c>
      <c r="F346" s="2" t="s">
        <v>2395</v>
      </c>
      <c r="G346" s="2" t="s">
        <v>2396</v>
      </c>
      <c r="H346">
        <v>55331</v>
      </c>
      <c r="I346" t="s">
        <v>16</v>
      </c>
      <c r="J346" t="s">
        <v>4274</v>
      </c>
      <c r="K346" t="s">
        <v>37</v>
      </c>
      <c r="L346" t="s">
        <v>4673</v>
      </c>
      <c r="M346">
        <f>VLOOKUP(SUBSTITUTE(J346,"'",""),Sheet1!L:M,2,FALSE)</f>
        <v>54820</v>
      </c>
    </row>
    <row r="347" spans="1:13" ht="13.5" customHeight="1" x14ac:dyDescent="0.4">
      <c r="A347" s="1">
        <v>45750</v>
      </c>
      <c r="B347" t="s">
        <v>4277</v>
      </c>
      <c r="C347">
        <v>42.79</v>
      </c>
      <c r="D347" s="2" t="s">
        <v>4278</v>
      </c>
      <c r="E347" t="s">
        <v>4277</v>
      </c>
      <c r="F347" s="2" t="s">
        <v>4279</v>
      </c>
      <c r="G347" s="2" t="s">
        <v>14</v>
      </c>
      <c r="H347">
        <v>98004</v>
      </c>
      <c r="I347" t="s">
        <v>16</v>
      </c>
      <c r="J347" t="s">
        <v>4280</v>
      </c>
      <c r="K347" t="s">
        <v>207</v>
      </c>
      <c r="L347" t="s">
        <v>4673</v>
      </c>
      <c r="M347">
        <f>VLOOKUP(SUBSTITUTE(J347,"'",""),Sheet1!L:M,2,FALSE)</f>
        <v>54820</v>
      </c>
    </row>
    <row r="348" spans="1:13" ht="13.5" customHeight="1" x14ac:dyDescent="0.4">
      <c r="A348" s="1">
        <v>45750</v>
      </c>
      <c r="B348" t="s">
        <v>478</v>
      </c>
      <c r="C348">
        <v>18.23</v>
      </c>
      <c r="D348" s="2" t="s">
        <v>1618</v>
      </c>
      <c r="E348" t="s">
        <v>480</v>
      </c>
      <c r="F348" s="2" t="s">
        <v>481</v>
      </c>
      <c r="G348" s="2" t="s">
        <v>35</v>
      </c>
      <c r="H348">
        <v>94103</v>
      </c>
      <c r="I348" t="s">
        <v>16</v>
      </c>
      <c r="J348" t="s">
        <v>1619</v>
      </c>
      <c r="K348" t="s">
        <v>483</v>
      </c>
      <c r="L348" t="s">
        <v>2047</v>
      </c>
      <c r="M348">
        <f>VLOOKUP(SUBSTITUTE(J348,"'",""),Sheet1!L:M,2,FALSE)</f>
        <v>61130</v>
      </c>
    </row>
    <row r="349" spans="1:13" ht="13.5" customHeight="1" x14ac:dyDescent="0.4">
      <c r="A349" s="1">
        <v>45750</v>
      </c>
      <c r="B349" t="s">
        <v>478</v>
      </c>
      <c r="C349">
        <v>32.32</v>
      </c>
      <c r="D349" s="2" t="s">
        <v>1620</v>
      </c>
      <c r="E349" t="s">
        <v>480</v>
      </c>
      <c r="F349" s="2" t="s">
        <v>481</v>
      </c>
      <c r="G349" s="2" t="s">
        <v>35</v>
      </c>
      <c r="H349">
        <v>94103</v>
      </c>
      <c r="I349" t="s">
        <v>16</v>
      </c>
      <c r="J349" t="s">
        <v>1621</v>
      </c>
      <c r="K349" t="s">
        <v>483</v>
      </c>
      <c r="L349" t="s">
        <v>2047</v>
      </c>
      <c r="M349">
        <f>VLOOKUP(SUBSTITUTE(J349,"'",""),Sheet1!L:M,2,FALSE)</f>
        <v>61130</v>
      </c>
    </row>
    <row r="350" spans="1:13" ht="13.5" customHeight="1" x14ac:dyDescent="0.4">
      <c r="A350" s="1">
        <v>45750</v>
      </c>
      <c r="B350" t="s">
        <v>153</v>
      </c>
      <c r="C350">
        <v>25.84</v>
      </c>
      <c r="D350" s="2" t="s">
        <v>1610</v>
      </c>
      <c r="E350" t="s">
        <v>153</v>
      </c>
      <c r="F350" t="s">
        <v>155</v>
      </c>
      <c r="G350" s="2" t="s">
        <v>156</v>
      </c>
      <c r="H350">
        <v>98052</v>
      </c>
      <c r="I350" t="s">
        <v>16</v>
      </c>
      <c r="J350" t="s">
        <v>1611</v>
      </c>
      <c r="K350" t="s">
        <v>96</v>
      </c>
      <c r="L350" t="s">
        <v>2047</v>
      </c>
      <c r="M350">
        <f>VLOOKUP(SUBSTITUTE(J350,"'",""),Sheet1!L:M,2,FALSE)</f>
        <v>64100</v>
      </c>
    </row>
    <row r="351" spans="1:13" ht="13.5" customHeight="1" x14ac:dyDescent="0.4">
      <c r="A351" s="1">
        <v>45750</v>
      </c>
      <c r="B351" t="s">
        <v>1606</v>
      </c>
      <c r="C351">
        <v>1393.76</v>
      </c>
      <c r="D351" s="2" t="s">
        <v>1607</v>
      </c>
      <c r="E351" t="s">
        <v>1606</v>
      </c>
      <c r="F351" s="2" t="s">
        <v>1608</v>
      </c>
      <c r="G351" s="2" t="s">
        <v>1138</v>
      </c>
      <c r="H351">
        <v>77079</v>
      </c>
      <c r="I351" t="s">
        <v>16</v>
      </c>
      <c r="J351" t="s">
        <v>1609</v>
      </c>
      <c r="K351" t="s">
        <v>1334</v>
      </c>
      <c r="L351" t="s">
        <v>2047</v>
      </c>
      <c r="M351">
        <f>VLOOKUP(SUBSTITUTE(J351,"'",""),Sheet1!L:M,2,FALSE)</f>
        <v>65505</v>
      </c>
    </row>
    <row r="352" spans="1:13" ht="13.5" customHeight="1" x14ac:dyDescent="0.4">
      <c r="A352" s="1">
        <v>45750</v>
      </c>
      <c r="B352" t="s">
        <v>2400</v>
      </c>
      <c r="C352">
        <v>21.39</v>
      </c>
      <c r="D352" s="2" t="s">
        <v>2401</v>
      </c>
      <c r="E352" t="s">
        <v>2400</v>
      </c>
      <c r="F352" t="s">
        <v>2402</v>
      </c>
      <c r="G352" s="2" t="s">
        <v>41</v>
      </c>
      <c r="H352">
        <v>10019</v>
      </c>
      <c r="I352" t="s">
        <v>16</v>
      </c>
      <c r="J352" t="s">
        <v>4275</v>
      </c>
      <c r="K352" t="s">
        <v>110</v>
      </c>
      <c r="L352" t="s">
        <v>4673</v>
      </c>
      <c r="M352">
        <f>VLOOKUP(SUBSTITUTE(J352,"'",""),Sheet1!L:M,2,FALSE)</f>
        <v>67500</v>
      </c>
    </row>
    <row r="353" spans="1:13" ht="13.5" customHeight="1" x14ac:dyDescent="0.4">
      <c r="A353" s="1">
        <v>45750</v>
      </c>
      <c r="B353" t="s">
        <v>2764</v>
      </c>
      <c r="C353">
        <v>23.52</v>
      </c>
      <c r="D353" s="2" t="s">
        <v>4271</v>
      </c>
      <c r="E353" t="s">
        <v>2764</v>
      </c>
      <c r="F353" t="s">
        <v>2766</v>
      </c>
      <c r="G353" s="2" t="s">
        <v>41</v>
      </c>
      <c r="H353">
        <v>10011</v>
      </c>
      <c r="I353" t="s">
        <v>16</v>
      </c>
      <c r="J353" t="s">
        <v>4272</v>
      </c>
      <c r="K353" t="s">
        <v>305</v>
      </c>
      <c r="L353" t="s">
        <v>4673</v>
      </c>
      <c r="M353">
        <f>VLOOKUP(SUBSTITUTE(J353,"'",""),Sheet1!L:M,2,FALSE)</f>
        <v>54820</v>
      </c>
    </row>
    <row r="354" spans="1:13" ht="13.5" customHeight="1" x14ac:dyDescent="0.4">
      <c r="A354" s="1">
        <v>45750</v>
      </c>
      <c r="B354" t="s">
        <v>1613</v>
      </c>
      <c r="C354">
        <v>928.2</v>
      </c>
      <c r="D354" s="2" t="s">
        <v>1614</v>
      </c>
      <c r="E354" t="s">
        <v>1613</v>
      </c>
      <c r="F354" t="s">
        <v>1615</v>
      </c>
      <c r="G354" s="2" t="s">
        <v>1616</v>
      </c>
      <c r="H354">
        <v>95131</v>
      </c>
      <c r="I354" t="s">
        <v>16</v>
      </c>
      <c r="J354" t="s">
        <v>1617</v>
      </c>
      <c r="K354" t="s">
        <v>133</v>
      </c>
      <c r="L354" t="s">
        <v>2047</v>
      </c>
      <c r="M354">
        <f>VLOOKUP(SUBSTITUTE(J354,"'",""),Sheet1!L:M,2,FALSE)</f>
        <v>61100</v>
      </c>
    </row>
    <row r="355" spans="1:13" ht="13.5" customHeight="1" x14ac:dyDescent="0.4">
      <c r="A355" s="1">
        <v>45751</v>
      </c>
      <c r="B355" t="s">
        <v>885</v>
      </c>
      <c r="C355">
        <v>28.96</v>
      </c>
      <c r="D355" s="2" t="s">
        <v>1600</v>
      </c>
      <c r="E355" t="s">
        <v>885</v>
      </c>
      <c r="F355" t="s">
        <v>108</v>
      </c>
      <c r="G355" s="2" t="s">
        <v>41</v>
      </c>
      <c r="H355">
        <v>10012</v>
      </c>
      <c r="I355" t="s">
        <v>16</v>
      </c>
      <c r="J355" t="s">
        <v>1601</v>
      </c>
      <c r="K355" t="s">
        <v>110</v>
      </c>
      <c r="L355" t="s">
        <v>2047</v>
      </c>
      <c r="M355">
        <f>VLOOKUP(SUBSTITUTE(J355,"'",""),Sheet1!L:M,2,FALSE)</f>
        <v>67500</v>
      </c>
    </row>
    <row r="356" spans="1:13" ht="13.5" customHeight="1" x14ac:dyDescent="0.4">
      <c r="A356" s="1">
        <v>45751</v>
      </c>
      <c r="B356" t="s">
        <v>196</v>
      </c>
      <c r="C356">
        <v>7.99</v>
      </c>
      <c r="D356" s="2" t="s">
        <v>197</v>
      </c>
      <c r="E356" t="s">
        <v>196</v>
      </c>
      <c r="F356" t="s">
        <v>198</v>
      </c>
      <c r="G356" s="2" t="s">
        <v>199</v>
      </c>
      <c r="H356">
        <v>91608</v>
      </c>
      <c r="I356" t="s">
        <v>16</v>
      </c>
      <c r="J356" t="s">
        <v>1595</v>
      </c>
      <c r="K356" t="s">
        <v>201</v>
      </c>
      <c r="L356" t="s">
        <v>2047</v>
      </c>
      <c r="M356">
        <f>VLOOKUP(SUBSTITUTE(J356,"'",""),Sheet1!L:M,2,FALSE)</f>
        <v>54820</v>
      </c>
    </row>
    <row r="357" spans="1:13" ht="13.5" customHeight="1" x14ac:dyDescent="0.4">
      <c r="A357" s="1">
        <v>45751</v>
      </c>
      <c r="B357" t="s">
        <v>153</v>
      </c>
      <c r="C357">
        <v>25.84</v>
      </c>
      <c r="D357" s="2" t="s">
        <v>1593</v>
      </c>
      <c r="E357" t="s">
        <v>153</v>
      </c>
      <c r="F357" t="s">
        <v>155</v>
      </c>
      <c r="G357" s="2" t="s">
        <v>156</v>
      </c>
      <c r="H357">
        <v>98052</v>
      </c>
      <c r="I357" t="s">
        <v>16</v>
      </c>
      <c r="J357" t="s">
        <v>1594</v>
      </c>
      <c r="K357" t="s">
        <v>96</v>
      </c>
      <c r="L357" t="s">
        <v>2047</v>
      </c>
      <c r="M357">
        <f>VLOOKUP(SUBSTITUTE(J357,"'",""),Sheet1!L:M,2,FALSE)</f>
        <v>64100</v>
      </c>
    </row>
    <row r="358" spans="1:13" ht="13.5" customHeight="1" x14ac:dyDescent="0.4">
      <c r="A358" s="1">
        <v>45751</v>
      </c>
      <c r="B358" t="s">
        <v>165</v>
      </c>
      <c r="C358">
        <v>32.28</v>
      </c>
      <c r="D358" s="2" t="s">
        <v>4259</v>
      </c>
      <c r="E358" t="s">
        <v>165</v>
      </c>
      <c r="F358" s="2" t="s">
        <v>167</v>
      </c>
      <c r="G358" s="2" t="s">
        <v>87</v>
      </c>
      <c r="H358">
        <v>75202</v>
      </c>
      <c r="I358" t="s">
        <v>16</v>
      </c>
      <c r="J358" t="s">
        <v>4260</v>
      </c>
      <c r="K358" t="s">
        <v>96</v>
      </c>
      <c r="L358" t="s">
        <v>4673</v>
      </c>
      <c r="M358">
        <f>VLOOKUP(SUBSTITUTE(J358,"'",""),Sheet1!L:M,2,FALSE)</f>
        <v>64100</v>
      </c>
    </row>
    <row r="359" spans="1:13" ht="13.5" customHeight="1" x14ac:dyDescent="0.4">
      <c r="A359" s="1">
        <v>45751</v>
      </c>
      <c r="B359" t="s">
        <v>165</v>
      </c>
      <c r="C359">
        <v>21.4</v>
      </c>
      <c r="D359" s="2" t="s">
        <v>4255</v>
      </c>
      <c r="E359" t="s">
        <v>165</v>
      </c>
      <c r="F359" s="2" t="s">
        <v>167</v>
      </c>
      <c r="G359" s="2" t="s">
        <v>87</v>
      </c>
      <c r="H359">
        <v>75202</v>
      </c>
      <c r="I359" t="s">
        <v>16</v>
      </c>
      <c r="J359" t="s">
        <v>4256</v>
      </c>
      <c r="K359" t="s">
        <v>96</v>
      </c>
      <c r="L359" t="s">
        <v>4673</v>
      </c>
      <c r="M359">
        <f>VLOOKUP(SUBSTITUTE(J359,"'",""),Sheet1!L:M,2,FALSE)</f>
        <v>64100</v>
      </c>
    </row>
    <row r="360" spans="1:13" ht="13.5" customHeight="1" x14ac:dyDescent="0.4">
      <c r="A360" s="1">
        <v>45751</v>
      </c>
      <c r="B360" t="s">
        <v>165</v>
      </c>
      <c r="C360">
        <v>32.07</v>
      </c>
      <c r="D360" s="2" t="s">
        <v>4257</v>
      </c>
      <c r="E360" t="s">
        <v>165</v>
      </c>
      <c r="F360" s="2" t="s">
        <v>167</v>
      </c>
      <c r="G360" s="2" t="s">
        <v>87</v>
      </c>
      <c r="H360">
        <v>75202</v>
      </c>
      <c r="I360" t="s">
        <v>16</v>
      </c>
      <c r="J360" t="s">
        <v>4258</v>
      </c>
      <c r="K360" t="s">
        <v>96</v>
      </c>
      <c r="L360" t="s">
        <v>4673</v>
      </c>
      <c r="M360">
        <f>VLOOKUP(SUBSTITUTE(J360,"'",""),Sheet1!L:M,2,FALSE)</f>
        <v>64100</v>
      </c>
    </row>
    <row r="361" spans="1:13" ht="13.5" customHeight="1" x14ac:dyDescent="0.4">
      <c r="A361" s="1">
        <v>45751</v>
      </c>
      <c r="B361" t="s">
        <v>165</v>
      </c>
      <c r="C361">
        <v>59.92</v>
      </c>
      <c r="D361" s="2" t="s">
        <v>4261</v>
      </c>
      <c r="E361" t="s">
        <v>165</v>
      </c>
      <c r="F361" s="2" t="s">
        <v>167</v>
      </c>
      <c r="G361" s="2" t="s">
        <v>87</v>
      </c>
      <c r="H361">
        <v>75202</v>
      </c>
      <c r="I361" t="s">
        <v>16</v>
      </c>
      <c r="J361" t="s">
        <v>4262</v>
      </c>
      <c r="K361" t="s">
        <v>96</v>
      </c>
      <c r="L361" t="s">
        <v>4673</v>
      </c>
      <c r="M361">
        <f>VLOOKUP(SUBSTITUTE(J361,"'",""),Sheet1!L:M,2,FALSE)</f>
        <v>64100</v>
      </c>
    </row>
    <row r="362" spans="1:13" ht="13.5" customHeight="1" x14ac:dyDescent="0.4">
      <c r="A362" s="1">
        <v>45751</v>
      </c>
      <c r="B362" t="s">
        <v>2390</v>
      </c>
      <c r="C362">
        <v>21.4</v>
      </c>
      <c r="D362" s="2" t="s">
        <v>4265</v>
      </c>
      <c r="E362" t="s">
        <v>2390</v>
      </c>
      <c r="F362" s="2" t="s">
        <v>167</v>
      </c>
      <c r="G362" s="2" t="s">
        <v>87</v>
      </c>
      <c r="H362">
        <v>75202</v>
      </c>
      <c r="I362" t="s">
        <v>16</v>
      </c>
      <c r="J362" t="s">
        <v>4266</v>
      </c>
      <c r="K362" t="s">
        <v>96</v>
      </c>
      <c r="L362" t="s">
        <v>4673</v>
      </c>
      <c r="M362">
        <f>VLOOKUP(SUBSTITUTE(J362,"'",""),Sheet1!L:M,2,FALSE)</f>
        <v>64100</v>
      </c>
    </row>
    <row r="363" spans="1:13" ht="13.5" customHeight="1" x14ac:dyDescent="0.4">
      <c r="A363" s="1">
        <v>45751</v>
      </c>
      <c r="B363" t="s">
        <v>165</v>
      </c>
      <c r="C363">
        <v>289.06</v>
      </c>
      <c r="D363" s="2" t="s">
        <v>4263</v>
      </c>
      <c r="E363" t="s">
        <v>165</v>
      </c>
      <c r="F363" s="2" t="s">
        <v>167</v>
      </c>
      <c r="G363" s="2" t="s">
        <v>87</v>
      </c>
      <c r="H363">
        <v>75202</v>
      </c>
      <c r="I363" t="s">
        <v>16</v>
      </c>
      <c r="J363" t="s">
        <v>4264</v>
      </c>
      <c r="K363" t="s">
        <v>96</v>
      </c>
      <c r="L363" t="s">
        <v>4673</v>
      </c>
      <c r="M363">
        <f>VLOOKUP(SUBSTITUTE(J363,"'",""),Sheet1!L:M,2,FALSE)</f>
        <v>64100</v>
      </c>
    </row>
    <row r="364" spans="1:13" ht="13.5" customHeight="1" x14ac:dyDescent="0.4">
      <c r="A364" s="1">
        <v>45751</v>
      </c>
      <c r="B364" t="s">
        <v>478</v>
      </c>
      <c r="C364">
        <v>36.590000000000003</v>
      </c>
      <c r="D364" s="2" t="s">
        <v>1604</v>
      </c>
      <c r="E364" t="s">
        <v>480</v>
      </c>
      <c r="F364" s="2" t="s">
        <v>481</v>
      </c>
      <c r="G364" s="2" t="s">
        <v>35</v>
      </c>
      <c r="H364">
        <v>94103</v>
      </c>
      <c r="I364" t="s">
        <v>16</v>
      </c>
      <c r="J364" t="s">
        <v>1605</v>
      </c>
      <c r="K364" t="s">
        <v>483</v>
      </c>
      <c r="L364" t="s">
        <v>2047</v>
      </c>
      <c r="M364">
        <f>VLOOKUP(SUBSTITUTE(J364,"'",""),Sheet1!L:M,2,FALSE)</f>
        <v>61130</v>
      </c>
    </row>
    <row r="365" spans="1:13" ht="13.5" customHeight="1" x14ac:dyDescent="0.4">
      <c r="A365" s="1">
        <v>45751</v>
      </c>
      <c r="B365" t="s">
        <v>478</v>
      </c>
      <c r="C365">
        <v>31.42</v>
      </c>
      <c r="D365" s="2" t="s">
        <v>1602</v>
      </c>
      <c r="E365" t="s">
        <v>480</v>
      </c>
      <c r="F365" s="2" t="s">
        <v>481</v>
      </c>
      <c r="G365" s="2" t="s">
        <v>35</v>
      </c>
      <c r="H365">
        <v>94103</v>
      </c>
      <c r="I365" t="s">
        <v>16</v>
      </c>
      <c r="J365" t="s">
        <v>1603</v>
      </c>
      <c r="K365" t="s">
        <v>483</v>
      </c>
      <c r="L365" t="s">
        <v>2047</v>
      </c>
      <c r="M365">
        <f>VLOOKUP(SUBSTITUTE(J365,"'",""),Sheet1!L:M,2,FALSE)</f>
        <v>61130</v>
      </c>
    </row>
    <row r="366" spans="1:13" ht="13.5" customHeight="1" x14ac:dyDescent="0.4">
      <c r="A366" s="1">
        <v>45751</v>
      </c>
      <c r="B366" t="s">
        <v>1596</v>
      </c>
      <c r="C366">
        <v>660</v>
      </c>
      <c r="D366" s="2" t="s">
        <v>1597</v>
      </c>
      <c r="E366" t="s">
        <v>1596</v>
      </c>
      <c r="F366" t="s">
        <v>1598</v>
      </c>
      <c r="G366" s="2" t="s">
        <v>41</v>
      </c>
      <c r="H366">
        <v>10014</v>
      </c>
      <c r="I366" t="s">
        <v>16</v>
      </c>
      <c r="J366" t="s">
        <v>1599</v>
      </c>
      <c r="K366" t="s">
        <v>126</v>
      </c>
      <c r="L366" t="s">
        <v>2047</v>
      </c>
      <c r="M366">
        <f>VLOOKUP(SUBSTITUTE(J366,"'",""),Sheet1!L:M,2,FALSE)</f>
        <v>61215</v>
      </c>
    </row>
    <row r="367" spans="1:13" ht="13.5" customHeight="1" x14ac:dyDescent="0.4">
      <c r="A367" s="1">
        <v>45751</v>
      </c>
      <c r="B367" t="s">
        <v>2146</v>
      </c>
      <c r="C367">
        <v>41.72</v>
      </c>
      <c r="D367" s="2" t="s">
        <v>4267</v>
      </c>
      <c r="E367" t="s">
        <v>2146</v>
      </c>
      <c r="F367" t="s">
        <v>2148</v>
      </c>
      <c r="G367" s="2" t="s">
        <v>2149</v>
      </c>
      <c r="H367" s="3" t="s">
        <v>2150</v>
      </c>
      <c r="I367" t="s">
        <v>16</v>
      </c>
      <c r="J367" t="s">
        <v>4268</v>
      </c>
      <c r="K367" t="s">
        <v>1904</v>
      </c>
      <c r="L367" t="s">
        <v>4673</v>
      </c>
      <c r="M367">
        <f>VLOOKUP(SUBSTITUTE(J367,"'",""),Sheet1!L:M,2,FALSE)</f>
        <v>67500</v>
      </c>
    </row>
    <row r="368" spans="1:13" ht="13.5" customHeight="1" x14ac:dyDescent="0.4">
      <c r="A368" s="1">
        <v>45751</v>
      </c>
      <c r="B368" t="s">
        <v>2340</v>
      </c>
      <c r="C368">
        <v>16.87</v>
      </c>
      <c r="D368" s="2" t="s">
        <v>4269</v>
      </c>
      <c r="E368" t="s">
        <v>2340</v>
      </c>
      <c r="F368" s="2" t="s">
        <v>2342</v>
      </c>
      <c r="G368" s="2" t="s">
        <v>14</v>
      </c>
      <c r="H368">
        <v>98119</v>
      </c>
      <c r="I368" t="s">
        <v>16</v>
      </c>
      <c r="J368" t="s">
        <v>4270</v>
      </c>
      <c r="K368" t="s">
        <v>96</v>
      </c>
      <c r="L368" t="s">
        <v>4673</v>
      </c>
      <c r="M368">
        <f>VLOOKUP(SUBSTITUTE(J368,"'",""),Sheet1!L:M,2,FALSE)</f>
        <v>65700</v>
      </c>
    </row>
    <row r="369" spans="1:13" ht="13.5" customHeight="1" x14ac:dyDescent="0.4">
      <c r="A369" s="1">
        <v>45752</v>
      </c>
      <c r="B369" t="s">
        <v>517</v>
      </c>
      <c r="C369">
        <v>4</v>
      </c>
      <c r="D369" s="2" t="s">
        <v>1576</v>
      </c>
      <c r="E369" t="s">
        <v>517</v>
      </c>
      <c r="F369" t="s">
        <v>519</v>
      </c>
      <c r="G369" s="2" t="s">
        <v>35</v>
      </c>
      <c r="H369">
        <v>94107</v>
      </c>
      <c r="I369" t="s">
        <v>16</v>
      </c>
      <c r="J369" t="s">
        <v>1577</v>
      </c>
      <c r="K369" t="s">
        <v>96</v>
      </c>
      <c r="L369" t="s">
        <v>2047</v>
      </c>
      <c r="M369">
        <f>VLOOKUP(SUBSTITUTE(J369,"'",""),Sheet1!L:M,2,FALSE)</f>
        <v>64100</v>
      </c>
    </row>
    <row r="370" spans="1:13" ht="13.5" customHeight="1" x14ac:dyDescent="0.4">
      <c r="A370" s="1">
        <v>45752</v>
      </c>
      <c r="B370" t="s">
        <v>1583</v>
      </c>
      <c r="C370">
        <v>200</v>
      </c>
      <c r="D370" s="2" t="s">
        <v>1584</v>
      </c>
      <c r="E370" t="s">
        <v>1583</v>
      </c>
      <c r="F370" s="2" t="s">
        <v>1585</v>
      </c>
      <c r="G370" s="2" t="s">
        <v>41</v>
      </c>
      <c r="H370">
        <v>10003</v>
      </c>
      <c r="I370" t="s">
        <v>16</v>
      </c>
      <c r="J370" t="s">
        <v>1586</v>
      </c>
      <c r="K370" t="s">
        <v>126</v>
      </c>
      <c r="L370" t="s">
        <v>2047</v>
      </c>
      <c r="M370">
        <f>VLOOKUP(SUBSTITUTE(J370,"'",""),Sheet1!L:M,2,FALSE)</f>
        <v>61215</v>
      </c>
    </row>
    <row r="371" spans="1:13" ht="13.5" customHeight="1" x14ac:dyDescent="0.4">
      <c r="A371" s="1">
        <v>45752</v>
      </c>
      <c r="B371" t="s">
        <v>4249</v>
      </c>
      <c r="C371">
        <v>30.47</v>
      </c>
      <c r="D371" s="2" t="s">
        <v>4250</v>
      </c>
      <c r="E371" t="s">
        <v>4249</v>
      </c>
      <c r="F371" t="s">
        <v>4251</v>
      </c>
      <c r="G371" s="2" t="s">
        <v>4252</v>
      </c>
      <c r="H371" t="s">
        <v>4253</v>
      </c>
      <c r="I371" t="s">
        <v>16</v>
      </c>
      <c r="J371" t="s">
        <v>4254</v>
      </c>
      <c r="K371" t="s">
        <v>18</v>
      </c>
      <c r="L371" t="s">
        <v>4673</v>
      </c>
      <c r="M371">
        <f>VLOOKUP(SUBSTITUTE(J371,"'",""),Sheet1!L:M,2,FALSE)</f>
        <v>54820</v>
      </c>
    </row>
    <row r="372" spans="1:13" ht="13.5" customHeight="1" x14ac:dyDescent="0.4">
      <c r="A372" s="1">
        <v>45752</v>
      </c>
      <c r="B372" t="s">
        <v>1587</v>
      </c>
      <c r="C372">
        <v>310</v>
      </c>
      <c r="D372" s="2" t="s">
        <v>1588</v>
      </c>
      <c r="E372" t="s">
        <v>1587</v>
      </c>
      <c r="F372" t="s">
        <v>1589</v>
      </c>
      <c r="G372" s="2" t="s">
        <v>1485</v>
      </c>
      <c r="H372">
        <v>89109</v>
      </c>
      <c r="I372" t="s">
        <v>16</v>
      </c>
      <c r="J372" t="s">
        <v>1590</v>
      </c>
      <c r="K372" t="s">
        <v>126</v>
      </c>
      <c r="L372" t="s">
        <v>2047</v>
      </c>
      <c r="M372">
        <f>VLOOKUP(SUBSTITUTE(J372,"'",""),Sheet1!L:M,2,FALSE)</f>
        <v>61215</v>
      </c>
    </row>
    <row r="373" spans="1:13" ht="13.5" customHeight="1" x14ac:dyDescent="0.4">
      <c r="A373" s="1">
        <v>45752</v>
      </c>
      <c r="B373" t="s">
        <v>478</v>
      </c>
      <c r="C373">
        <v>256.77</v>
      </c>
      <c r="D373" s="2" t="s">
        <v>1591</v>
      </c>
      <c r="E373" t="s">
        <v>480</v>
      </c>
      <c r="F373" s="2" t="s">
        <v>481</v>
      </c>
      <c r="G373" s="2" t="s">
        <v>35</v>
      </c>
      <c r="H373">
        <v>94103</v>
      </c>
      <c r="I373" t="s">
        <v>16</v>
      </c>
      <c r="J373" t="s">
        <v>1592</v>
      </c>
      <c r="K373" t="s">
        <v>483</v>
      </c>
      <c r="L373" t="s">
        <v>2047</v>
      </c>
      <c r="M373">
        <f>VLOOKUP(SUBSTITUTE(J373,"'",""),Sheet1!L:M,2,FALSE)</f>
        <v>61130</v>
      </c>
    </row>
    <row r="374" spans="1:13" ht="13.5" customHeight="1" x14ac:dyDescent="0.4">
      <c r="A374" s="1">
        <v>45752</v>
      </c>
      <c r="B374" t="s">
        <v>1499</v>
      </c>
      <c r="C374">
        <v>15.24</v>
      </c>
      <c r="D374" s="2" t="s">
        <v>1581</v>
      </c>
      <c r="E374" t="s">
        <v>1499</v>
      </c>
      <c r="F374" t="s">
        <v>1501</v>
      </c>
      <c r="G374" s="2" t="s">
        <v>1485</v>
      </c>
      <c r="H374" t="s">
        <v>1502</v>
      </c>
      <c r="I374" t="s">
        <v>16</v>
      </c>
      <c r="J374" t="s">
        <v>1582</v>
      </c>
      <c r="K374" t="s">
        <v>126</v>
      </c>
      <c r="L374" t="s">
        <v>2047</v>
      </c>
      <c r="M374">
        <f>VLOOKUP(SUBSTITUTE(J374,"'",""),Sheet1!L:M,2,FALSE)</f>
        <v>61215</v>
      </c>
    </row>
    <row r="375" spans="1:13" ht="13.5" customHeight="1" x14ac:dyDescent="0.4">
      <c r="A375" s="1">
        <v>45752</v>
      </c>
      <c r="B375" t="s">
        <v>1578</v>
      </c>
      <c r="C375">
        <v>16.86</v>
      </c>
      <c r="D375" s="2" t="s">
        <v>1579</v>
      </c>
      <c r="E375" t="s">
        <v>1578</v>
      </c>
      <c r="F375" s="2" t="s">
        <v>1387</v>
      </c>
      <c r="G375" s="2" t="s">
        <v>1388</v>
      </c>
      <c r="H375">
        <v>11430</v>
      </c>
      <c r="I375" t="s">
        <v>16</v>
      </c>
      <c r="J375" t="s">
        <v>1580</v>
      </c>
      <c r="K375" t="s">
        <v>1390</v>
      </c>
      <c r="L375" t="s">
        <v>2047</v>
      </c>
      <c r="M375">
        <f>VLOOKUP(SUBSTITUTE(J375,"'",""),Sheet1!L:M,2,FALSE)</f>
        <v>54820</v>
      </c>
    </row>
    <row r="376" spans="1:13" ht="13.5" customHeight="1" x14ac:dyDescent="0.4">
      <c r="A376" s="1">
        <v>45753</v>
      </c>
      <c r="B376" t="s">
        <v>2217</v>
      </c>
      <c r="C376">
        <v>11.33</v>
      </c>
      <c r="D376" s="2" t="s">
        <v>4245</v>
      </c>
      <c r="E376" t="s">
        <v>2217</v>
      </c>
      <c r="F376" t="s">
        <v>2219</v>
      </c>
      <c r="G376" s="2" t="s">
        <v>41</v>
      </c>
      <c r="H376">
        <v>10013</v>
      </c>
      <c r="I376" t="s">
        <v>16</v>
      </c>
      <c r="J376" t="s">
        <v>4246</v>
      </c>
      <c r="K376" t="s">
        <v>321</v>
      </c>
      <c r="L376" t="s">
        <v>4673</v>
      </c>
      <c r="M376">
        <f>VLOOKUP(SUBSTITUTE(J376,"'",""),Sheet1!L:M,2,FALSE)</f>
        <v>54820</v>
      </c>
    </row>
    <row r="377" spans="1:13" ht="13.5" customHeight="1" x14ac:dyDescent="0.4">
      <c r="A377" s="1">
        <v>45753</v>
      </c>
      <c r="B377" t="s">
        <v>4236</v>
      </c>
      <c r="C377">
        <v>8.11</v>
      </c>
      <c r="D377" s="2" t="s">
        <v>4237</v>
      </c>
      <c r="E377" t="s">
        <v>4236</v>
      </c>
      <c r="F377" t="s">
        <v>4238</v>
      </c>
      <c r="G377" s="2" t="s">
        <v>41</v>
      </c>
      <c r="H377">
        <v>10036</v>
      </c>
      <c r="I377" t="s">
        <v>16</v>
      </c>
      <c r="J377" t="s">
        <v>4239</v>
      </c>
      <c r="K377" t="s">
        <v>305</v>
      </c>
      <c r="L377" t="s">
        <v>4673</v>
      </c>
      <c r="M377">
        <f>VLOOKUP(SUBSTITUTE(J377,"'",""),Sheet1!L:M,2,FALSE)</f>
        <v>54820</v>
      </c>
    </row>
    <row r="378" spans="1:13" ht="13.5" customHeight="1" x14ac:dyDescent="0.4">
      <c r="A378" s="1">
        <v>45753</v>
      </c>
      <c r="B378" t="s">
        <v>478</v>
      </c>
      <c r="C378">
        <v>23.03</v>
      </c>
      <c r="D378" s="2" t="s">
        <v>1571</v>
      </c>
      <c r="E378" t="s">
        <v>480</v>
      </c>
      <c r="F378" s="2" t="s">
        <v>481</v>
      </c>
      <c r="G378" s="2" t="s">
        <v>35</v>
      </c>
      <c r="H378">
        <v>94103</v>
      </c>
      <c r="I378" t="s">
        <v>16</v>
      </c>
      <c r="J378" t="s">
        <v>1572</v>
      </c>
      <c r="K378" t="s">
        <v>483</v>
      </c>
      <c r="L378" t="s">
        <v>2047</v>
      </c>
      <c r="M378">
        <f>VLOOKUP(SUBSTITUTE(J378,"'",""),Sheet1!L:M,2,FALSE)</f>
        <v>61130</v>
      </c>
    </row>
    <row r="379" spans="1:13" ht="13.5" customHeight="1" x14ac:dyDescent="0.4">
      <c r="A379" s="1">
        <v>45753</v>
      </c>
      <c r="B379" t="s">
        <v>2354</v>
      </c>
      <c r="C379">
        <v>109.99</v>
      </c>
      <c r="D379" s="2" t="s">
        <v>4247</v>
      </c>
      <c r="E379" t="s">
        <v>2354</v>
      </c>
      <c r="F379" t="s">
        <v>2356</v>
      </c>
      <c r="G379" s="2" t="s">
        <v>2357</v>
      </c>
      <c r="H379">
        <v>63131</v>
      </c>
      <c r="I379" t="s">
        <v>16</v>
      </c>
      <c r="J379" t="s">
        <v>4248</v>
      </c>
      <c r="K379" t="s">
        <v>201</v>
      </c>
      <c r="L379" t="s">
        <v>4673</v>
      </c>
      <c r="M379">
        <f>VLOOKUP(SUBSTITUTE(J379,"'",""),Sheet1!L:M,2,FALSE)</f>
        <v>65700</v>
      </c>
    </row>
    <row r="380" spans="1:13" ht="13.5" customHeight="1" x14ac:dyDescent="0.4">
      <c r="A380" s="1">
        <v>45753</v>
      </c>
      <c r="B380" t="s">
        <v>4240</v>
      </c>
      <c r="C380">
        <v>26.86</v>
      </c>
      <c r="D380" s="2" t="s">
        <v>4241</v>
      </c>
      <c r="E380" t="s">
        <v>4240</v>
      </c>
      <c r="F380" t="s">
        <v>2248</v>
      </c>
      <c r="G380" s="2" t="s">
        <v>2249</v>
      </c>
      <c r="H380">
        <v>94025</v>
      </c>
      <c r="I380" t="s">
        <v>16</v>
      </c>
      <c r="J380" t="s">
        <v>4242</v>
      </c>
      <c r="K380" t="s">
        <v>2335</v>
      </c>
      <c r="L380" t="s">
        <v>4673</v>
      </c>
      <c r="M380">
        <f>VLOOKUP(SUBSTITUTE(J380,"'",""),Sheet1!L:M,2,FALSE)</f>
        <v>54820</v>
      </c>
    </row>
    <row r="381" spans="1:13" ht="13.5" customHeight="1" x14ac:dyDescent="0.4">
      <c r="A381" s="1">
        <v>45753</v>
      </c>
      <c r="B381" t="s">
        <v>1516</v>
      </c>
      <c r="C381">
        <v>21.55</v>
      </c>
      <c r="D381" s="2" t="s">
        <v>1563</v>
      </c>
      <c r="E381" t="s">
        <v>1516</v>
      </c>
      <c r="F381" t="s">
        <v>1518</v>
      </c>
      <c r="G381" s="2" t="s">
        <v>1485</v>
      </c>
      <c r="H381">
        <v>89103</v>
      </c>
      <c r="I381" t="s">
        <v>16</v>
      </c>
      <c r="J381" t="s">
        <v>1564</v>
      </c>
      <c r="K381" t="s">
        <v>483</v>
      </c>
      <c r="L381" t="s">
        <v>2047</v>
      </c>
      <c r="M381">
        <f>VLOOKUP(SUBSTITUTE(J381,"'",""),Sheet1!L:M,2,FALSE)</f>
        <v>61130</v>
      </c>
    </row>
    <row r="382" spans="1:13" ht="13.5" customHeight="1" x14ac:dyDescent="0.4">
      <c r="A382" s="1">
        <v>45753</v>
      </c>
      <c r="B382" t="s">
        <v>2934</v>
      </c>
      <c r="C382">
        <v>12.92</v>
      </c>
      <c r="D382" s="2" t="s">
        <v>4243</v>
      </c>
      <c r="E382" t="s">
        <v>2934</v>
      </c>
      <c r="F382" t="s">
        <v>3794</v>
      </c>
      <c r="G382" s="2" t="s">
        <v>41</v>
      </c>
      <c r="H382">
        <v>10003</v>
      </c>
      <c r="I382" t="s">
        <v>16</v>
      </c>
      <c r="J382" t="s">
        <v>4244</v>
      </c>
      <c r="K382" t="s">
        <v>305</v>
      </c>
      <c r="L382" t="s">
        <v>4673</v>
      </c>
      <c r="M382">
        <f>VLOOKUP(SUBSTITUTE(J382,"'",""),Sheet1!L:M,2,FALSE)</f>
        <v>54820</v>
      </c>
    </row>
    <row r="383" spans="1:13" ht="13.5" customHeight="1" x14ac:dyDescent="0.4">
      <c r="A383" s="1">
        <v>45753</v>
      </c>
      <c r="B383" t="s">
        <v>1568</v>
      </c>
      <c r="C383">
        <v>1000</v>
      </c>
      <c r="D383" s="2" t="s">
        <v>1569</v>
      </c>
      <c r="E383" t="s">
        <v>1568</v>
      </c>
      <c r="F383" s="2" t="s">
        <v>1489</v>
      </c>
      <c r="G383" s="2" t="s">
        <v>1485</v>
      </c>
      <c r="H383">
        <v>89109</v>
      </c>
      <c r="I383" t="s">
        <v>16</v>
      </c>
      <c r="J383" t="s">
        <v>1570</v>
      </c>
      <c r="K383" t="s">
        <v>126</v>
      </c>
      <c r="L383" t="s">
        <v>2047</v>
      </c>
      <c r="M383">
        <f>VLOOKUP(SUBSTITUTE(J383,"'",""),Sheet1!L:M,2,FALSE)</f>
        <v>61215</v>
      </c>
    </row>
    <row r="384" spans="1:13" ht="13.5" customHeight="1" x14ac:dyDescent="0.4">
      <c r="A384" s="1">
        <v>45753</v>
      </c>
      <c r="B384" t="s">
        <v>1565</v>
      </c>
      <c r="C384">
        <v>60</v>
      </c>
      <c r="D384" s="2" t="s">
        <v>1566</v>
      </c>
      <c r="E384" t="s">
        <v>1565</v>
      </c>
      <c r="F384" t="s">
        <v>1513</v>
      </c>
      <c r="G384" s="2" t="s">
        <v>1485</v>
      </c>
      <c r="H384">
        <v>89169</v>
      </c>
      <c r="I384" t="s">
        <v>16</v>
      </c>
      <c r="J384" t="s">
        <v>1567</v>
      </c>
      <c r="K384" t="s">
        <v>126</v>
      </c>
      <c r="L384" t="s">
        <v>2047</v>
      </c>
      <c r="M384">
        <f>VLOOKUP(SUBSTITUTE(J384,"'",""),Sheet1!L:M,2,FALSE)</f>
        <v>61215</v>
      </c>
    </row>
    <row r="385" spans="1:13" ht="13.5" customHeight="1" x14ac:dyDescent="0.4">
      <c r="A385" s="1">
        <v>45753</v>
      </c>
      <c r="B385" t="s">
        <v>1559</v>
      </c>
      <c r="C385">
        <v>24.61</v>
      </c>
      <c r="D385" s="2" t="s">
        <v>1560</v>
      </c>
      <c r="E385" t="s">
        <v>1559</v>
      </c>
      <c r="F385" t="s">
        <v>1561</v>
      </c>
      <c r="G385" s="2" t="s">
        <v>1485</v>
      </c>
      <c r="H385">
        <v>89169</v>
      </c>
      <c r="I385" t="s">
        <v>16</v>
      </c>
      <c r="J385" t="s">
        <v>1562</v>
      </c>
      <c r="K385" t="s">
        <v>1304</v>
      </c>
      <c r="L385" t="s">
        <v>2047</v>
      </c>
      <c r="M385">
        <f>VLOOKUP(SUBSTITUTE(J385,"'",""),Sheet1!L:M,2,FALSE)</f>
        <v>61200</v>
      </c>
    </row>
    <row r="386" spans="1:13" ht="13.5" customHeight="1" x14ac:dyDescent="0.4">
      <c r="A386" s="1">
        <v>45753</v>
      </c>
      <c r="B386" t="s">
        <v>1573</v>
      </c>
      <c r="C386">
        <v>22.69</v>
      </c>
      <c r="D386" s="2" t="s">
        <v>1574</v>
      </c>
      <c r="E386" t="s">
        <v>1573</v>
      </c>
      <c r="F386" t="s">
        <v>1518</v>
      </c>
      <c r="G386" s="2" t="s">
        <v>1485</v>
      </c>
      <c r="H386">
        <v>89103</v>
      </c>
      <c r="I386" t="s">
        <v>16</v>
      </c>
      <c r="J386" t="s">
        <v>1575</v>
      </c>
      <c r="K386" t="s">
        <v>483</v>
      </c>
      <c r="L386" t="s">
        <v>2047</v>
      </c>
      <c r="M386">
        <f>VLOOKUP(SUBSTITUTE(J386,"'",""),Sheet1!L:M,2,FALSE)</f>
        <v>61130</v>
      </c>
    </row>
    <row r="387" spans="1:13" ht="13.5" customHeight="1" x14ac:dyDescent="0.4">
      <c r="A387" s="1">
        <v>45754</v>
      </c>
      <c r="B387" t="s">
        <v>2303</v>
      </c>
      <c r="C387">
        <v>262.58</v>
      </c>
      <c r="D387" t="s">
        <v>2303</v>
      </c>
      <c r="E387" t="s">
        <v>2303</v>
      </c>
      <c r="J387" t="s">
        <v>4233</v>
      </c>
      <c r="K387" t="s">
        <v>21</v>
      </c>
      <c r="L387" t="s">
        <v>4673</v>
      </c>
      <c r="M387">
        <f>VLOOKUP(SUBSTITUTE(J387,"'",""),Sheet1!L:M,2,FALSE)</f>
        <v>80100</v>
      </c>
    </row>
    <row r="388" spans="1:13" ht="13.5" customHeight="1" x14ac:dyDescent="0.4">
      <c r="A388" s="1">
        <v>45754</v>
      </c>
      <c r="B388" t="s">
        <v>3866</v>
      </c>
      <c r="C388">
        <v>8.35</v>
      </c>
      <c r="D388" s="2" t="s">
        <v>4234</v>
      </c>
      <c r="E388" t="s">
        <v>3866</v>
      </c>
      <c r="F388" t="s">
        <v>3868</v>
      </c>
      <c r="G388" s="2" t="s">
        <v>41</v>
      </c>
      <c r="H388">
        <v>10003</v>
      </c>
      <c r="I388" t="s">
        <v>16</v>
      </c>
      <c r="J388" t="s">
        <v>4235</v>
      </c>
      <c r="K388" t="s">
        <v>126</v>
      </c>
      <c r="L388" t="s">
        <v>4673</v>
      </c>
      <c r="M388">
        <f>VLOOKUP(SUBSTITUTE(J388,"'",""),Sheet1!L:M,2,FALSE)</f>
        <v>54820</v>
      </c>
    </row>
    <row r="389" spans="1:13" ht="13.5" customHeight="1" x14ac:dyDescent="0.4">
      <c r="A389" s="1">
        <v>45754</v>
      </c>
      <c r="B389" t="s">
        <v>165</v>
      </c>
      <c r="C389">
        <v>21.38</v>
      </c>
      <c r="D389" s="2" t="s">
        <v>1545</v>
      </c>
      <c r="E389" t="s">
        <v>165</v>
      </c>
      <c r="F389" s="2" t="s">
        <v>167</v>
      </c>
      <c r="G389" s="2" t="s">
        <v>87</v>
      </c>
      <c r="H389">
        <v>75202</v>
      </c>
      <c r="I389" t="s">
        <v>16</v>
      </c>
      <c r="J389" t="s">
        <v>1546</v>
      </c>
      <c r="K389" t="s">
        <v>96</v>
      </c>
      <c r="L389" t="s">
        <v>2047</v>
      </c>
      <c r="M389">
        <f>VLOOKUP(SUBSTITUTE(J389,"'",""),Sheet1!L:M,2,FALSE)</f>
        <v>64100</v>
      </c>
    </row>
    <row r="390" spans="1:13" ht="13.5" customHeight="1" x14ac:dyDescent="0.4">
      <c r="A390" s="1">
        <v>45754</v>
      </c>
      <c r="B390" t="s">
        <v>1499</v>
      </c>
      <c r="C390">
        <v>17.690000000000001</v>
      </c>
      <c r="D390" s="2" t="s">
        <v>1557</v>
      </c>
      <c r="E390" t="s">
        <v>1499</v>
      </c>
      <c r="F390" t="s">
        <v>1501</v>
      </c>
      <c r="G390" s="2" t="s">
        <v>1485</v>
      </c>
      <c r="H390" t="s">
        <v>1502</v>
      </c>
      <c r="I390" t="s">
        <v>16</v>
      </c>
      <c r="J390" t="s">
        <v>1558</v>
      </c>
      <c r="K390" t="s">
        <v>126</v>
      </c>
      <c r="L390" t="s">
        <v>2047</v>
      </c>
      <c r="M390">
        <f>VLOOKUP(SUBSTITUTE(J390,"'",""),Sheet1!L:M,2,FALSE)</f>
        <v>61215</v>
      </c>
    </row>
    <row r="391" spans="1:13" ht="13.5" customHeight="1" x14ac:dyDescent="0.4">
      <c r="A391" s="1">
        <v>45754</v>
      </c>
      <c r="B391" t="s">
        <v>1536</v>
      </c>
      <c r="C391">
        <v>3.9</v>
      </c>
      <c r="D391" s="2" t="s">
        <v>1555</v>
      </c>
      <c r="E391" t="s">
        <v>1536</v>
      </c>
      <c r="F391" t="s">
        <v>1538</v>
      </c>
      <c r="G391" s="2" t="s">
        <v>1485</v>
      </c>
      <c r="H391">
        <v>89118</v>
      </c>
      <c r="I391" t="s">
        <v>16</v>
      </c>
      <c r="J391" t="s">
        <v>1556</v>
      </c>
      <c r="K391" t="s">
        <v>207</v>
      </c>
      <c r="L391" t="s">
        <v>2047</v>
      </c>
      <c r="M391">
        <f>VLOOKUP(SUBSTITUTE(J391,"'",""),Sheet1!L:M,2,FALSE)</f>
        <v>61200</v>
      </c>
    </row>
    <row r="392" spans="1:13" ht="13.5" customHeight="1" x14ac:dyDescent="0.4">
      <c r="A392" s="1">
        <v>45754</v>
      </c>
      <c r="B392" t="s">
        <v>1549</v>
      </c>
      <c r="C392">
        <v>430</v>
      </c>
      <c r="D392" s="2" t="s">
        <v>1550</v>
      </c>
      <c r="E392" t="s">
        <v>1549</v>
      </c>
      <c r="F392" t="s">
        <v>1551</v>
      </c>
      <c r="G392" s="2" t="s">
        <v>1485</v>
      </c>
      <c r="H392" t="s">
        <v>1529</v>
      </c>
      <c r="I392" t="s">
        <v>16</v>
      </c>
      <c r="J392" t="s">
        <v>1552</v>
      </c>
      <c r="K392" t="s">
        <v>126</v>
      </c>
      <c r="L392" t="s">
        <v>2047</v>
      </c>
      <c r="M392">
        <f>VLOOKUP(SUBSTITUTE(J392,"'",""),Sheet1!L:M,2,FALSE)</f>
        <v>61215</v>
      </c>
    </row>
    <row r="393" spans="1:13" ht="13.5" customHeight="1" x14ac:dyDescent="0.4">
      <c r="A393" s="1">
        <v>45754</v>
      </c>
      <c r="B393" t="s">
        <v>379</v>
      </c>
      <c r="C393">
        <v>31.44</v>
      </c>
      <c r="D393" s="2" t="s">
        <v>1553</v>
      </c>
      <c r="E393" t="s">
        <v>379</v>
      </c>
      <c r="F393" t="s">
        <v>29</v>
      </c>
      <c r="G393" t="e">
        <f>-
NY</f>
        <v>#NAME?</v>
      </c>
      <c r="H393">
        <v>11577</v>
      </c>
      <c r="I393" t="s">
        <v>16</v>
      </c>
      <c r="J393" t="s">
        <v>1554</v>
      </c>
      <c r="K393" t="s">
        <v>31</v>
      </c>
      <c r="L393" t="s">
        <v>2047</v>
      </c>
      <c r="M393">
        <f>VLOOKUP(SUBSTITUTE(J393,"'",""),Sheet1!L:M,2,FALSE)</f>
        <v>61131</v>
      </c>
    </row>
    <row r="394" spans="1:13" ht="13.5" customHeight="1" x14ac:dyDescent="0.4">
      <c r="A394" s="1">
        <v>45754</v>
      </c>
      <c r="B394" t="s">
        <v>2311</v>
      </c>
      <c r="C394">
        <v>41.12</v>
      </c>
      <c r="D394" s="2" t="s">
        <v>4231</v>
      </c>
      <c r="E394" t="s">
        <v>2311</v>
      </c>
      <c r="F394" s="2" t="s">
        <v>2313</v>
      </c>
      <c r="G394" s="2" t="s">
        <v>2314</v>
      </c>
      <c r="H394" t="s">
        <v>2315</v>
      </c>
      <c r="I394" t="s">
        <v>16</v>
      </c>
      <c r="J394" t="s">
        <v>4232</v>
      </c>
      <c r="K394" t="s">
        <v>37</v>
      </c>
      <c r="L394" t="s">
        <v>4673</v>
      </c>
      <c r="M394">
        <f>VLOOKUP(SUBSTITUTE(J394,"'",""),Sheet1!L:M,2,FALSE)</f>
        <v>64100</v>
      </c>
    </row>
    <row r="395" spans="1:13" ht="13.5" customHeight="1" x14ac:dyDescent="0.4">
      <c r="A395" s="1">
        <v>45754</v>
      </c>
      <c r="B395" t="s">
        <v>4225</v>
      </c>
      <c r="C395">
        <v>217.21</v>
      </c>
      <c r="D395" s="2" t="s">
        <v>4226</v>
      </c>
      <c r="E395" t="s">
        <v>4225</v>
      </c>
      <c r="F395" t="s">
        <v>4227</v>
      </c>
      <c r="G395" s="2" t="s">
        <v>4228</v>
      </c>
      <c r="H395" t="s">
        <v>4229</v>
      </c>
      <c r="I395" t="s">
        <v>16</v>
      </c>
      <c r="J395" t="s">
        <v>4230</v>
      </c>
      <c r="K395" t="s">
        <v>37</v>
      </c>
      <c r="L395" t="s">
        <v>4673</v>
      </c>
      <c r="M395">
        <f>VLOOKUP(SUBSTITUTE(J395,"'",""),Sheet1!L:M,2,FALSE)</f>
        <v>64100</v>
      </c>
    </row>
    <row r="396" spans="1:13" ht="13.5" customHeight="1" x14ac:dyDescent="0.4">
      <c r="A396" s="1">
        <v>45754</v>
      </c>
      <c r="B396" t="s">
        <v>169</v>
      </c>
      <c r="C396">
        <v>21.39</v>
      </c>
      <c r="D396" s="2" t="s">
        <v>1547</v>
      </c>
      <c r="E396" t="s">
        <v>169</v>
      </c>
      <c r="F396" s="2" t="s">
        <v>171</v>
      </c>
      <c r="G396" s="2" t="s">
        <v>172</v>
      </c>
      <c r="H396">
        <v>95035</v>
      </c>
      <c r="I396" t="s">
        <v>16</v>
      </c>
      <c r="J396" t="s">
        <v>1548</v>
      </c>
      <c r="K396" t="s">
        <v>174</v>
      </c>
      <c r="L396" t="s">
        <v>2047</v>
      </c>
      <c r="M396">
        <f>VLOOKUP(SUBSTITUTE(J396,"'",""),Sheet1!L:M,2,FALSE)</f>
        <v>64100</v>
      </c>
    </row>
    <row r="397" spans="1:13" ht="13.5" customHeight="1" x14ac:dyDescent="0.4">
      <c r="A397" s="1">
        <v>45755</v>
      </c>
      <c r="B397" t="s">
        <v>4214</v>
      </c>
      <c r="C397">
        <v>130</v>
      </c>
      <c r="D397" s="2" t="s">
        <v>4215</v>
      </c>
      <c r="E397" t="s">
        <v>4214</v>
      </c>
      <c r="F397" s="2" t="s">
        <v>4216</v>
      </c>
      <c r="I397" t="s">
        <v>4217</v>
      </c>
      <c r="J397" t="s">
        <v>4218</v>
      </c>
      <c r="K397" t="s">
        <v>2114</v>
      </c>
      <c r="L397" t="s">
        <v>4673</v>
      </c>
      <c r="M397">
        <f>VLOOKUP(SUBSTITUTE(J397,"'",""),Sheet1!L:M,2,FALSE)</f>
        <v>54820</v>
      </c>
    </row>
    <row r="398" spans="1:13" ht="13.5" customHeight="1" x14ac:dyDescent="0.4">
      <c r="A398" s="1">
        <v>45755</v>
      </c>
      <c r="B398" t="s">
        <v>885</v>
      </c>
      <c r="C398">
        <v>33.25</v>
      </c>
      <c r="D398" s="2" t="s">
        <v>4223</v>
      </c>
      <c r="E398" t="s">
        <v>885</v>
      </c>
      <c r="F398" t="s">
        <v>108</v>
      </c>
      <c r="G398" s="2" t="s">
        <v>41</v>
      </c>
      <c r="H398">
        <v>10012</v>
      </c>
      <c r="I398" t="s">
        <v>16</v>
      </c>
      <c r="J398" t="s">
        <v>4224</v>
      </c>
      <c r="K398" t="s">
        <v>110</v>
      </c>
      <c r="L398" t="s">
        <v>4673</v>
      </c>
      <c r="M398">
        <f>VLOOKUP(SUBSTITUTE(J398,"'",""),Sheet1!L:M,2,FALSE)</f>
        <v>67500</v>
      </c>
    </row>
    <row r="399" spans="1:13" ht="13.5" customHeight="1" x14ac:dyDescent="0.4">
      <c r="A399" s="1">
        <v>45755</v>
      </c>
      <c r="B399" t="s">
        <v>4219</v>
      </c>
      <c r="C399">
        <v>18.32</v>
      </c>
      <c r="D399" s="2" t="s">
        <v>4220</v>
      </c>
      <c r="E399" t="s">
        <v>4219</v>
      </c>
      <c r="F399" t="s">
        <v>4221</v>
      </c>
      <c r="G399" s="2" t="s">
        <v>41</v>
      </c>
      <c r="H399">
        <v>10003</v>
      </c>
      <c r="I399" t="s">
        <v>16</v>
      </c>
      <c r="J399" t="s">
        <v>4222</v>
      </c>
      <c r="K399" t="s">
        <v>305</v>
      </c>
      <c r="L399" t="s">
        <v>4673</v>
      </c>
      <c r="M399">
        <f>VLOOKUP(SUBSTITUTE(J399,"'",""),Sheet1!L:M,2,FALSE)</f>
        <v>54820</v>
      </c>
    </row>
    <row r="400" spans="1:13" ht="13.5" customHeight="1" x14ac:dyDescent="0.4">
      <c r="A400" s="1">
        <v>45755</v>
      </c>
      <c r="B400" t="s">
        <v>134</v>
      </c>
      <c r="C400">
        <v>-5000</v>
      </c>
      <c r="D400" t="s">
        <v>134</v>
      </c>
      <c r="E400" t="s">
        <v>134</v>
      </c>
      <c r="J400" t="s">
        <v>1544</v>
      </c>
      <c r="L400" t="s">
        <v>2047</v>
      </c>
      <c r="M400" t="e">
        <f>VLOOKUP(SUBSTITUTE(J400,"'",""),Sheet1!L:M,2,FALSE)</f>
        <v>#N/A</v>
      </c>
    </row>
    <row r="401" spans="1:13" ht="13.5" customHeight="1" x14ac:dyDescent="0.4">
      <c r="A401" s="1">
        <v>45755</v>
      </c>
      <c r="B401" t="s">
        <v>1536</v>
      </c>
      <c r="C401">
        <v>16.02</v>
      </c>
      <c r="D401" s="2" t="s">
        <v>1540</v>
      </c>
      <c r="E401" t="s">
        <v>1536</v>
      </c>
      <c r="F401" t="s">
        <v>1538</v>
      </c>
      <c r="G401" s="2" t="s">
        <v>1485</v>
      </c>
      <c r="H401">
        <v>89118</v>
      </c>
      <c r="I401" t="s">
        <v>16</v>
      </c>
      <c r="J401" t="s">
        <v>1541</v>
      </c>
      <c r="K401" t="s">
        <v>207</v>
      </c>
      <c r="L401" t="s">
        <v>2047</v>
      </c>
      <c r="M401">
        <f>VLOOKUP(SUBSTITUTE(J401,"'",""),Sheet1!L:M,2,FALSE)</f>
        <v>61200</v>
      </c>
    </row>
    <row r="402" spans="1:13" ht="13.5" customHeight="1" x14ac:dyDescent="0.4">
      <c r="A402" s="1">
        <v>45755</v>
      </c>
      <c r="B402" t="s">
        <v>1536</v>
      </c>
      <c r="C402">
        <v>6.16</v>
      </c>
      <c r="D402" s="2" t="s">
        <v>1537</v>
      </c>
      <c r="E402" t="s">
        <v>1536</v>
      </c>
      <c r="F402" t="s">
        <v>1538</v>
      </c>
      <c r="G402" s="2" t="s">
        <v>1485</v>
      </c>
      <c r="H402">
        <v>89118</v>
      </c>
      <c r="I402" t="s">
        <v>16</v>
      </c>
      <c r="J402" t="s">
        <v>1539</v>
      </c>
      <c r="K402" t="s">
        <v>207</v>
      </c>
      <c r="L402" t="s">
        <v>2047</v>
      </c>
      <c r="M402">
        <f>VLOOKUP(SUBSTITUTE(J402,"'",""),Sheet1!L:M,2,FALSE)</f>
        <v>61200</v>
      </c>
    </row>
    <row r="403" spans="1:13" ht="13.5" customHeight="1" x14ac:dyDescent="0.4">
      <c r="A403" s="1">
        <v>45755</v>
      </c>
      <c r="B403" t="s">
        <v>1499</v>
      </c>
      <c r="C403">
        <v>9.68</v>
      </c>
      <c r="D403" s="2" t="s">
        <v>1542</v>
      </c>
      <c r="E403" t="s">
        <v>1499</v>
      </c>
      <c r="F403" t="s">
        <v>1501</v>
      </c>
      <c r="G403" s="2" t="s">
        <v>1485</v>
      </c>
      <c r="H403" t="s">
        <v>1502</v>
      </c>
      <c r="I403" t="s">
        <v>16</v>
      </c>
      <c r="J403" t="s">
        <v>1543</v>
      </c>
      <c r="K403" t="s">
        <v>126</v>
      </c>
      <c r="L403" t="s">
        <v>2047</v>
      </c>
      <c r="M403">
        <f>VLOOKUP(SUBSTITUTE(J403,"'",""),Sheet1!L:M,2,FALSE)</f>
        <v>61215</v>
      </c>
    </row>
    <row r="404" spans="1:13" ht="13.5" customHeight="1" x14ac:dyDescent="0.4">
      <c r="A404" s="1">
        <v>45755</v>
      </c>
      <c r="B404" t="s">
        <v>4210</v>
      </c>
      <c r="C404">
        <v>71.98</v>
      </c>
      <c r="D404" s="2" t="s">
        <v>4211</v>
      </c>
      <c r="E404" t="s">
        <v>4210</v>
      </c>
      <c r="F404" t="s">
        <v>4212</v>
      </c>
      <c r="G404" s="2" t="s">
        <v>41</v>
      </c>
      <c r="H404">
        <v>10011</v>
      </c>
      <c r="I404" t="s">
        <v>16</v>
      </c>
      <c r="J404" t="s">
        <v>4213</v>
      </c>
      <c r="K404" t="s">
        <v>2114</v>
      </c>
      <c r="L404" t="s">
        <v>4673</v>
      </c>
      <c r="M404">
        <f>VLOOKUP(SUBSTITUTE(J404,"'",""),Sheet1!L:M,2,FALSE)</f>
        <v>54820</v>
      </c>
    </row>
    <row r="405" spans="1:13" ht="13.5" customHeight="1" x14ac:dyDescent="0.4">
      <c r="A405" s="1">
        <v>45756</v>
      </c>
      <c r="B405" t="s">
        <v>1523</v>
      </c>
      <c r="C405">
        <v>319.2</v>
      </c>
      <c r="D405" s="2" t="s">
        <v>1524</v>
      </c>
      <c r="E405" t="s">
        <v>1523</v>
      </c>
      <c r="F405" t="s">
        <v>1525</v>
      </c>
      <c r="G405" s="2" t="s">
        <v>1485</v>
      </c>
      <c r="H405">
        <v>89109</v>
      </c>
      <c r="I405" t="s">
        <v>16</v>
      </c>
      <c r="J405" t="s">
        <v>1526</v>
      </c>
      <c r="K405" t="s">
        <v>126</v>
      </c>
      <c r="L405" t="s">
        <v>2047</v>
      </c>
      <c r="M405">
        <f>VLOOKUP(SUBSTITUTE(J405,"'",""),Sheet1!L:M,2,FALSE)</f>
        <v>61215</v>
      </c>
    </row>
    <row r="406" spans="1:13" ht="13.5" customHeight="1" x14ac:dyDescent="0.4">
      <c r="A406" s="1">
        <v>45756</v>
      </c>
      <c r="B406" t="s">
        <v>153</v>
      </c>
      <c r="C406">
        <v>165.44</v>
      </c>
      <c r="D406" s="2" t="s">
        <v>4208</v>
      </c>
      <c r="E406" t="s">
        <v>153</v>
      </c>
      <c r="F406" t="s">
        <v>155</v>
      </c>
      <c r="G406" s="2" t="s">
        <v>156</v>
      </c>
      <c r="H406">
        <v>98052</v>
      </c>
      <c r="I406" t="s">
        <v>16</v>
      </c>
      <c r="J406" t="s">
        <v>4209</v>
      </c>
      <c r="K406" t="s">
        <v>96</v>
      </c>
      <c r="L406" t="s">
        <v>4673</v>
      </c>
      <c r="M406">
        <f>VLOOKUP(SUBSTITUTE(J406,"'",""),Sheet1!L:M,2,FALSE)</f>
        <v>64100</v>
      </c>
    </row>
    <row r="407" spans="1:13" ht="13.5" customHeight="1" x14ac:dyDescent="0.4">
      <c r="A407" s="1">
        <v>45756</v>
      </c>
      <c r="B407" t="s">
        <v>153</v>
      </c>
      <c r="C407">
        <v>223.33</v>
      </c>
      <c r="D407" s="2" t="s">
        <v>1520</v>
      </c>
      <c r="E407" t="s">
        <v>153</v>
      </c>
      <c r="F407" t="s">
        <v>155</v>
      </c>
      <c r="G407" s="2" t="s">
        <v>156</v>
      </c>
      <c r="H407">
        <v>98052</v>
      </c>
      <c r="I407" t="s">
        <v>16</v>
      </c>
      <c r="J407" t="s">
        <v>1521</v>
      </c>
      <c r="K407" t="s">
        <v>96</v>
      </c>
      <c r="L407" t="s">
        <v>2047</v>
      </c>
      <c r="M407">
        <f>VLOOKUP(SUBSTITUTE(J407,"'",""),Sheet1!L:M,2,FALSE)</f>
        <v>64100</v>
      </c>
    </row>
    <row r="408" spans="1:13" ht="13.5" customHeight="1" x14ac:dyDescent="0.4">
      <c r="A408" s="1">
        <v>45756</v>
      </c>
      <c r="B408" t="s">
        <v>134</v>
      </c>
      <c r="C408">
        <v>-5000</v>
      </c>
      <c r="D408" t="s">
        <v>134</v>
      </c>
      <c r="E408" t="s">
        <v>134</v>
      </c>
      <c r="J408" t="s">
        <v>1522</v>
      </c>
      <c r="L408" t="s">
        <v>2047</v>
      </c>
      <c r="M408" t="e">
        <f>VLOOKUP(SUBSTITUTE(J408,"'",""),Sheet1!L:M,2,FALSE)</f>
        <v>#N/A</v>
      </c>
    </row>
    <row r="409" spans="1:13" ht="13.5" customHeight="1" x14ac:dyDescent="0.4">
      <c r="A409" s="1">
        <v>45756</v>
      </c>
      <c r="B409" t="s">
        <v>1499</v>
      </c>
      <c r="C409">
        <v>22.61</v>
      </c>
      <c r="D409" s="2" t="s">
        <v>4206</v>
      </c>
      <c r="E409" t="s">
        <v>1499</v>
      </c>
      <c r="F409" t="s">
        <v>1501</v>
      </c>
      <c r="G409" s="2" t="s">
        <v>1485</v>
      </c>
      <c r="H409" t="s">
        <v>1502</v>
      </c>
      <c r="I409" t="s">
        <v>16</v>
      </c>
      <c r="J409" t="s">
        <v>4207</v>
      </c>
      <c r="K409" t="s">
        <v>126</v>
      </c>
      <c r="L409" t="s">
        <v>4673</v>
      </c>
      <c r="M409">
        <f>VLOOKUP(SUBSTITUTE(J409,"'",""),Sheet1!L:M,2,FALSE)</f>
        <v>54820</v>
      </c>
    </row>
    <row r="410" spans="1:13" ht="13.5" customHeight="1" x14ac:dyDescent="0.4">
      <c r="A410" s="1">
        <v>45756</v>
      </c>
      <c r="B410" t="s">
        <v>1533</v>
      </c>
      <c r="C410">
        <v>304.56</v>
      </c>
      <c r="D410" s="2" t="s">
        <v>1534</v>
      </c>
      <c r="E410" t="s">
        <v>1533</v>
      </c>
      <c r="F410" s="2" t="s">
        <v>1489</v>
      </c>
      <c r="G410" s="2" t="s">
        <v>1485</v>
      </c>
      <c r="H410">
        <v>89109</v>
      </c>
      <c r="I410" t="s">
        <v>16</v>
      </c>
      <c r="J410" t="s">
        <v>1535</v>
      </c>
      <c r="K410" t="s">
        <v>50</v>
      </c>
      <c r="L410" t="s">
        <v>2047</v>
      </c>
      <c r="M410">
        <f>VLOOKUP(SUBSTITUTE(J410,"'",""),Sheet1!L:M,2,FALSE)</f>
        <v>61110</v>
      </c>
    </row>
    <row r="411" spans="1:13" ht="13.5" customHeight="1" x14ac:dyDescent="0.4">
      <c r="A411" s="1">
        <v>45756</v>
      </c>
      <c r="B411" t="s">
        <v>1578</v>
      </c>
      <c r="C411">
        <v>34</v>
      </c>
      <c r="D411" s="2" t="s">
        <v>4204</v>
      </c>
      <c r="E411" t="s">
        <v>1578</v>
      </c>
      <c r="F411" s="2" t="s">
        <v>1387</v>
      </c>
      <c r="G411" s="2" t="s">
        <v>1388</v>
      </c>
      <c r="H411">
        <v>11430</v>
      </c>
      <c r="I411" t="s">
        <v>16</v>
      </c>
      <c r="J411" t="s">
        <v>4205</v>
      </c>
      <c r="K411" t="s">
        <v>1390</v>
      </c>
      <c r="L411" t="s">
        <v>4673</v>
      </c>
      <c r="M411">
        <f>VLOOKUP(SUBSTITUTE(J411,"'",""),Sheet1!L:M,2,FALSE)</f>
        <v>54820</v>
      </c>
    </row>
    <row r="412" spans="1:13" ht="13.5" customHeight="1" x14ac:dyDescent="0.4">
      <c r="A412" s="1">
        <v>45756</v>
      </c>
      <c r="B412" t="s">
        <v>4200</v>
      </c>
      <c r="C412">
        <v>9.4700000000000006</v>
      </c>
      <c r="D412" s="2" t="s">
        <v>4201</v>
      </c>
      <c r="E412" t="s">
        <v>4200</v>
      </c>
      <c r="F412" s="2" t="s">
        <v>4202</v>
      </c>
      <c r="G412" s="2" t="s">
        <v>1388</v>
      </c>
      <c r="H412">
        <v>11430</v>
      </c>
      <c r="I412" t="s">
        <v>16</v>
      </c>
      <c r="J412" t="s">
        <v>4203</v>
      </c>
      <c r="K412" t="s">
        <v>110</v>
      </c>
      <c r="L412" t="s">
        <v>4673</v>
      </c>
      <c r="M412">
        <f>VLOOKUP(SUBSTITUTE(J412,"'",""),Sheet1!L:M,2,FALSE)</f>
        <v>54820</v>
      </c>
    </row>
    <row r="413" spans="1:13" ht="13.5" customHeight="1" x14ac:dyDescent="0.4">
      <c r="A413" s="1">
        <v>45756</v>
      </c>
      <c r="B413" t="s">
        <v>1482</v>
      </c>
      <c r="C413">
        <v>1183.1300000000001</v>
      </c>
      <c r="D413" s="2" t="s">
        <v>1531</v>
      </c>
      <c r="E413" t="s">
        <v>1482</v>
      </c>
      <c r="F413" t="s">
        <v>1484</v>
      </c>
      <c r="G413" s="2" t="s">
        <v>1485</v>
      </c>
      <c r="H413">
        <v>89109</v>
      </c>
      <c r="I413" t="s">
        <v>16</v>
      </c>
      <c r="J413" t="s">
        <v>1532</v>
      </c>
      <c r="K413" t="s">
        <v>50</v>
      </c>
      <c r="L413" t="s">
        <v>2047</v>
      </c>
      <c r="M413">
        <f>VLOOKUP(SUBSTITUTE(J413,"'",""),Sheet1!L:M,2,FALSE)</f>
        <v>61110</v>
      </c>
    </row>
    <row r="414" spans="1:13" ht="13.5" customHeight="1" x14ac:dyDescent="0.4">
      <c r="A414" s="1">
        <v>45756</v>
      </c>
      <c r="B414" t="s">
        <v>1527</v>
      </c>
      <c r="C414">
        <v>361.91</v>
      </c>
      <c r="D414" s="2" t="s">
        <v>1528</v>
      </c>
      <c r="E414" t="s">
        <v>1527</v>
      </c>
      <c r="F414" s="2" t="s">
        <v>1489</v>
      </c>
      <c r="G414" s="2" t="s">
        <v>1485</v>
      </c>
      <c r="H414" t="s">
        <v>1529</v>
      </c>
      <c r="I414" t="s">
        <v>16</v>
      </c>
      <c r="J414" t="s">
        <v>1530</v>
      </c>
      <c r="K414" t="s">
        <v>50</v>
      </c>
      <c r="L414" t="s">
        <v>2047</v>
      </c>
      <c r="M414">
        <f>VLOOKUP(SUBSTITUTE(J414,"'",""),Sheet1!L:M,2,FALSE)</f>
        <v>61110</v>
      </c>
    </row>
    <row r="415" spans="1:13" ht="13.5" customHeight="1" x14ac:dyDescent="0.4">
      <c r="A415" s="1">
        <v>45756</v>
      </c>
      <c r="B415" t="s">
        <v>1516</v>
      </c>
      <c r="C415">
        <v>18.88</v>
      </c>
      <c r="D415" s="2" t="s">
        <v>1517</v>
      </c>
      <c r="E415" t="s">
        <v>1516</v>
      </c>
      <c r="F415" t="s">
        <v>1518</v>
      </c>
      <c r="G415" s="2" t="s">
        <v>1485</v>
      </c>
      <c r="H415">
        <v>89103</v>
      </c>
      <c r="I415" t="s">
        <v>16</v>
      </c>
      <c r="J415" t="s">
        <v>1519</v>
      </c>
      <c r="K415" t="s">
        <v>483</v>
      </c>
      <c r="L415" t="s">
        <v>2047</v>
      </c>
      <c r="M415">
        <f>VLOOKUP(SUBSTITUTE(J415,"'",""),Sheet1!L:M,2,FALSE)</f>
        <v>61130</v>
      </c>
    </row>
    <row r="416" spans="1:13" ht="13.5" customHeight="1" x14ac:dyDescent="0.4">
      <c r="A416" s="1">
        <v>45757</v>
      </c>
      <c r="B416" t="s">
        <v>4192</v>
      </c>
      <c r="C416">
        <v>35.880000000000003</v>
      </c>
      <c r="D416" s="2" t="s">
        <v>4193</v>
      </c>
      <c r="E416" t="s">
        <v>4192</v>
      </c>
      <c r="F416" t="s">
        <v>4194</v>
      </c>
      <c r="G416" s="2" t="s">
        <v>3335</v>
      </c>
      <c r="H416" t="s">
        <v>4195</v>
      </c>
      <c r="I416" t="s">
        <v>73</v>
      </c>
      <c r="J416" t="s">
        <v>4196</v>
      </c>
      <c r="K416" t="s">
        <v>37</v>
      </c>
      <c r="L416" t="s">
        <v>4673</v>
      </c>
      <c r="M416">
        <f>VLOOKUP(SUBSTITUTE(J416,"'",""),Sheet1!L:M,2,FALSE)</f>
        <v>54820</v>
      </c>
    </row>
    <row r="417" spans="1:13" ht="13.5" customHeight="1" x14ac:dyDescent="0.4">
      <c r="A417" s="1">
        <v>45757</v>
      </c>
      <c r="B417" t="s">
        <v>478</v>
      </c>
      <c r="C417">
        <v>26.28</v>
      </c>
      <c r="D417" s="2" t="s">
        <v>1507</v>
      </c>
      <c r="E417" t="s">
        <v>480</v>
      </c>
      <c r="F417" s="2" t="s">
        <v>481</v>
      </c>
      <c r="G417" s="2" t="s">
        <v>35</v>
      </c>
      <c r="H417">
        <v>94103</v>
      </c>
      <c r="I417" t="s">
        <v>16</v>
      </c>
      <c r="J417" t="s">
        <v>1508</v>
      </c>
      <c r="K417" t="s">
        <v>483</v>
      </c>
      <c r="L417" t="s">
        <v>2047</v>
      </c>
      <c r="M417">
        <f>VLOOKUP(SUBSTITUTE(J417,"'",""),Sheet1!L:M,2,FALSE)</f>
        <v>61130</v>
      </c>
    </row>
    <row r="418" spans="1:13" ht="13.5" customHeight="1" x14ac:dyDescent="0.4">
      <c r="A418" s="1">
        <v>45757</v>
      </c>
      <c r="B418" t="s">
        <v>1511</v>
      </c>
      <c r="C418">
        <v>1674.17</v>
      </c>
      <c r="D418" s="2" t="s">
        <v>1512</v>
      </c>
      <c r="E418" t="s">
        <v>1511</v>
      </c>
      <c r="F418" t="s">
        <v>1513</v>
      </c>
      <c r="G418" s="2" t="s">
        <v>1485</v>
      </c>
      <c r="H418" t="s">
        <v>1514</v>
      </c>
      <c r="I418" t="s">
        <v>16</v>
      </c>
      <c r="J418" t="s">
        <v>1515</v>
      </c>
      <c r="K418" t="s">
        <v>50</v>
      </c>
      <c r="L418" t="s">
        <v>2047</v>
      </c>
      <c r="M418">
        <f>VLOOKUP(SUBSTITUTE(J418,"'",""),Sheet1!L:M,2,FALSE)</f>
        <v>61110</v>
      </c>
    </row>
    <row r="419" spans="1:13" ht="13.5" customHeight="1" x14ac:dyDescent="0.4">
      <c r="A419" s="1">
        <v>45757</v>
      </c>
      <c r="B419" t="s">
        <v>1482</v>
      </c>
      <c r="C419">
        <v>62.36</v>
      </c>
      <c r="D419" s="2" t="s">
        <v>1509</v>
      </c>
      <c r="E419" t="s">
        <v>1482</v>
      </c>
      <c r="F419" t="s">
        <v>1484</v>
      </c>
      <c r="G419" s="2" t="s">
        <v>1485</v>
      </c>
      <c r="H419">
        <v>89109</v>
      </c>
      <c r="I419" t="s">
        <v>16</v>
      </c>
      <c r="J419" t="s">
        <v>1510</v>
      </c>
      <c r="K419" t="s">
        <v>50</v>
      </c>
      <c r="L419" t="s">
        <v>2047</v>
      </c>
      <c r="M419">
        <f>VLOOKUP(SUBSTITUTE(J419,"'",""),Sheet1!L:M,2,FALSE)</f>
        <v>61110</v>
      </c>
    </row>
    <row r="420" spans="1:13" ht="13.5" customHeight="1" x14ac:dyDescent="0.4">
      <c r="A420" s="1">
        <v>45757</v>
      </c>
      <c r="B420" t="s">
        <v>4197</v>
      </c>
      <c r="C420">
        <v>31.58</v>
      </c>
      <c r="D420" s="2" t="s">
        <v>4198</v>
      </c>
      <c r="E420" t="s">
        <v>4197</v>
      </c>
      <c r="F420" s="2" t="s">
        <v>1489</v>
      </c>
      <c r="G420" s="2" t="s">
        <v>1485</v>
      </c>
      <c r="H420" t="s">
        <v>1529</v>
      </c>
      <c r="I420" t="s">
        <v>16</v>
      </c>
      <c r="J420" t="s">
        <v>4199</v>
      </c>
      <c r="K420" t="s">
        <v>207</v>
      </c>
      <c r="L420" t="s">
        <v>4673</v>
      </c>
      <c r="M420">
        <f>VLOOKUP(SUBSTITUTE(J420,"'",""),Sheet1!L:M,2,FALSE)</f>
        <v>54820</v>
      </c>
    </row>
    <row r="421" spans="1:13" ht="13.5" customHeight="1" x14ac:dyDescent="0.4">
      <c r="A421" s="1">
        <v>45757</v>
      </c>
      <c r="B421" t="s">
        <v>1499</v>
      </c>
      <c r="C421">
        <v>7.13</v>
      </c>
      <c r="D421" s="2" t="s">
        <v>1500</v>
      </c>
      <c r="E421" t="s">
        <v>1499</v>
      </c>
      <c r="F421" t="s">
        <v>1501</v>
      </c>
      <c r="G421" s="2" t="s">
        <v>1485</v>
      </c>
      <c r="H421" t="s">
        <v>1502</v>
      </c>
      <c r="I421" t="s">
        <v>16</v>
      </c>
      <c r="J421" t="s">
        <v>1503</v>
      </c>
      <c r="K421" t="s">
        <v>126</v>
      </c>
      <c r="L421" t="s">
        <v>2047</v>
      </c>
      <c r="M421">
        <f>VLOOKUP(SUBSTITUTE(J421,"'",""),Sheet1!L:M,2,FALSE)</f>
        <v>61215</v>
      </c>
    </row>
    <row r="422" spans="1:13" ht="13.5" customHeight="1" x14ac:dyDescent="0.4">
      <c r="A422" s="1">
        <v>45757</v>
      </c>
      <c r="B422" t="s">
        <v>1504</v>
      </c>
      <c r="C422">
        <v>450</v>
      </c>
      <c r="D422" s="2" t="s">
        <v>1505</v>
      </c>
      <c r="E422" t="s">
        <v>1504</v>
      </c>
      <c r="F422" s="2" t="s">
        <v>1489</v>
      </c>
      <c r="G422" s="2" t="s">
        <v>1485</v>
      </c>
      <c r="H422">
        <v>89084</v>
      </c>
      <c r="I422" t="s">
        <v>16</v>
      </c>
      <c r="J422" t="s">
        <v>1506</v>
      </c>
      <c r="K422" t="s">
        <v>126</v>
      </c>
      <c r="L422" t="s">
        <v>2047</v>
      </c>
      <c r="M422">
        <f>VLOOKUP(SUBSTITUTE(J422,"'",""),Sheet1!L:M,2,FALSE)</f>
        <v>61215</v>
      </c>
    </row>
    <row r="423" spans="1:13" ht="13.5" customHeight="1" x14ac:dyDescent="0.4">
      <c r="A423" s="1">
        <v>45758</v>
      </c>
      <c r="B423" t="s">
        <v>4188</v>
      </c>
      <c r="C423">
        <v>1100</v>
      </c>
      <c r="D423" s="2" t="s">
        <v>4189</v>
      </c>
      <c r="E423" t="s">
        <v>4188</v>
      </c>
      <c r="F423" t="s">
        <v>4190</v>
      </c>
      <c r="G423" s="2" t="s">
        <v>1485</v>
      </c>
      <c r="H423">
        <v>89109</v>
      </c>
      <c r="I423" t="s">
        <v>16</v>
      </c>
      <c r="J423" t="s">
        <v>4191</v>
      </c>
      <c r="K423" t="s">
        <v>50</v>
      </c>
      <c r="L423" t="s">
        <v>4673</v>
      </c>
      <c r="M423">
        <f>VLOOKUP(SUBSTITUTE(J423,"'",""),Sheet1!L:M,2,FALSE)</f>
        <v>61215</v>
      </c>
    </row>
    <row r="424" spans="1:13" ht="13.5" customHeight="1" x14ac:dyDescent="0.4">
      <c r="A424" s="1">
        <v>45758</v>
      </c>
      <c r="B424" t="s">
        <v>2265</v>
      </c>
      <c r="C424">
        <v>36.9</v>
      </c>
      <c r="D424" s="2" t="s">
        <v>4186</v>
      </c>
      <c r="E424" t="s">
        <v>2265</v>
      </c>
      <c r="F424" t="s">
        <v>2261</v>
      </c>
      <c r="G424" s="2" t="s">
        <v>14</v>
      </c>
      <c r="H424">
        <v>98103</v>
      </c>
      <c r="I424" t="s">
        <v>16</v>
      </c>
      <c r="J424" t="s">
        <v>4187</v>
      </c>
      <c r="K424" t="s">
        <v>1904</v>
      </c>
      <c r="L424" t="s">
        <v>4673</v>
      </c>
      <c r="M424">
        <f>VLOOKUP(SUBSTITUTE(J424,"'",""),Sheet1!L:M,2,FALSE)</f>
        <v>64100</v>
      </c>
    </row>
    <row r="425" spans="1:13" ht="13.5" customHeight="1" x14ac:dyDescent="0.4">
      <c r="A425" s="1">
        <v>45758</v>
      </c>
      <c r="B425" t="s">
        <v>2259</v>
      </c>
      <c r="C425">
        <v>21.39</v>
      </c>
      <c r="D425" s="2" t="s">
        <v>4184</v>
      </c>
      <c r="E425" t="s">
        <v>2259</v>
      </c>
      <c r="F425" t="s">
        <v>2261</v>
      </c>
      <c r="G425" s="2" t="s">
        <v>14</v>
      </c>
      <c r="H425">
        <v>98103</v>
      </c>
      <c r="I425" t="s">
        <v>16</v>
      </c>
      <c r="J425" t="s">
        <v>4185</v>
      </c>
      <c r="K425" t="s">
        <v>1904</v>
      </c>
      <c r="L425" t="s">
        <v>4673</v>
      </c>
      <c r="M425">
        <f>VLOOKUP(SUBSTITUTE(J425,"'",""),Sheet1!L:M,2,FALSE)</f>
        <v>64100</v>
      </c>
    </row>
    <row r="426" spans="1:13" ht="13.5" customHeight="1" x14ac:dyDescent="0.4">
      <c r="A426" s="1">
        <v>45758</v>
      </c>
      <c r="B426" t="s">
        <v>140</v>
      </c>
      <c r="C426">
        <v>21.71</v>
      </c>
      <c r="D426" s="2" t="s">
        <v>1495</v>
      </c>
      <c r="E426" t="s">
        <v>142</v>
      </c>
      <c r="F426" t="s">
        <v>143</v>
      </c>
      <c r="G426" s="2" t="s">
        <v>14</v>
      </c>
      <c r="H426">
        <v>98109</v>
      </c>
      <c r="I426" t="s">
        <v>16</v>
      </c>
      <c r="J426" t="s">
        <v>1496</v>
      </c>
      <c r="K426" t="s">
        <v>18</v>
      </c>
      <c r="L426" t="s">
        <v>2047</v>
      </c>
      <c r="M426">
        <f>VLOOKUP(SUBSTITUTE(J426,"'",""),Sheet1!L:M,2,FALSE)</f>
        <v>54820</v>
      </c>
    </row>
    <row r="427" spans="1:13" ht="13.5" customHeight="1" x14ac:dyDescent="0.4">
      <c r="A427" s="1">
        <v>45758</v>
      </c>
      <c r="B427" t="s">
        <v>222</v>
      </c>
      <c r="C427">
        <v>533.5</v>
      </c>
      <c r="D427" s="2" t="s">
        <v>1497</v>
      </c>
      <c r="E427" t="s">
        <v>222</v>
      </c>
      <c r="F427" t="s">
        <v>224</v>
      </c>
      <c r="G427" s="2" t="s">
        <v>35</v>
      </c>
      <c r="H427">
        <v>94104</v>
      </c>
      <c r="I427" t="s">
        <v>16</v>
      </c>
      <c r="J427" t="s">
        <v>1498</v>
      </c>
      <c r="K427" t="s">
        <v>37</v>
      </c>
      <c r="L427" t="s">
        <v>2047</v>
      </c>
      <c r="M427">
        <f>VLOOKUP(SUBSTITUTE(J427,"'",""),Sheet1!L:M,2,FALSE)</f>
        <v>64200</v>
      </c>
    </row>
    <row r="428" spans="1:13" ht="13.5" customHeight="1" x14ac:dyDescent="0.4">
      <c r="A428" s="1">
        <v>45759</v>
      </c>
      <c r="B428" t="s">
        <v>478</v>
      </c>
      <c r="C428">
        <v>29.33</v>
      </c>
      <c r="D428" s="2" t="s">
        <v>1493</v>
      </c>
      <c r="E428" t="s">
        <v>480</v>
      </c>
      <c r="F428" s="2" t="s">
        <v>481</v>
      </c>
      <c r="G428" s="2" t="s">
        <v>35</v>
      </c>
      <c r="H428">
        <v>94103</v>
      </c>
      <c r="I428" t="s">
        <v>16</v>
      </c>
      <c r="J428" t="s">
        <v>1494</v>
      </c>
      <c r="K428" t="s">
        <v>483</v>
      </c>
      <c r="L428" t="s">
        <v>2047</v>
      </c>
      <c r="M428">
        <f>VLOOKUP(SUBSTITUTE(J428,"'",""),Sheet1!L:M,2,FALSE)</f>
        <v>61130</v>
      </c>
    </row>
    <row r="429" spans="1:13" ht="13.5" customHeight="1" x14ac:dyDescent="0.4">
      <c r="A429" s="1">
        <v>45759</v>
      </c>
      <c r="B429" t="s">
        <v>458</v>
      </c>
      <c r="C429">
        <v>16.04</v>
      </c>
      <c r="D429" s="2" t="s">
        <v>1491</v>
      </c>
      <c r="E429" t="s">
        <v>458</v>
      </c>
      <c r="F429" t="s">
        <v>129</v>
      </c>
      <c r="G429" s="2" t="s">
        <v>130</v>
      </c>
      <c r="H429" t="s">
        <v>131</v>
      </c>
      <c r="I429" t="s">
        <v>16</v>
      </c>
      <c r="J429" t="s">
        <v>1492</v>
      </c>
      <c r="K429" t="s">
        <v>133</v>
      </c>
      <c r="L429" t="s">
        <v>2047</v>
      </c>
      <c r="M429">
        <f>VLOOKUP(SUBSTITUTE(J429,"'",""),Sheet1!L:M,2,FALSE)</f>
        <v>64100</v>
      </c>
    </row>
    <row r="430" spans="1:13" ht="13.5" customHeight="1" x14ac:dyDescent="0.4">
      <c r="A430" s="1">
        <v>45759</v>
      </c>
      <c r="B430" t="s">
        <v>4175</v>
      </c>
      <c r="C430">
        <v>600</v>
      </c>
      <c r="D430" s="2" t="s">
        <v>4176</v>
      </c>
      <c r="E430" t="s">
        <v>4175</v>
      </c>
      <c r="F430" t="s">
        <v>4177</v>
      </c>
      <c r="G430" s="2" t="s">
        <v>1485</v>
      </c>
      <c r="H430">
        <v>89109</v>
      </c>
      <c r="I430" t="s">
        <v>16</v>
      </c>
      <c r="J430" t="s">
        <v>4178</v>
      </c>
      <c r="K430" t="s">
        <v>126</v>
      </c>
      <c r="L430" t="s">
        <v>4673</v>
      </c>
      <c r="M430">
        <f>VLOOKUP(SUBSTITUTE(J430,"'",""),Sheet1!L:M,2,FALSE)</f>
        <v>61215</v>
      </c>
    </row>
    <row r="431" spans="1:13" ht="13.5" customHeight="1" x14ac:dyDescent="0.4">
      <c r="A431" s="1">
        <v>45759</v>
      </c>
      <c r="B431" t="s">
        <v>1487</v>
      </c>
      <c r="C431">
        <v>140</v>
      </c>
      <c r="D431" s="2" t="s">
        <v>1488</v>
      </c>
      <c r="E431" t="s">
        <v>1487</v>
      </c>
      <c r="F431" s="2" t="s">
        <v>1489</v>
      </c>
      <c r="G431" s="2" t="s">
        <v>1485</v>
      </c>
      <c r="H431">
        <v>89109</v>
      </c>
      <c r="I431" t="s">
        <v>16</v>
      </c>
      <c r="J431" t="s">
        <v>1490</v>
      </c>
      <c r="K431" t="s">
        <v>50</v>
      </c>
      <c r="L431" t="s">
        <v>2047</v>
      </c>
      <c r="M431">
        <f>VLOOKUP(SUBSTITUTE(J431,"'",""),Sheet1!L:M,2,FALSE)</f>
        <v>61110</v>
      </c>
    </row>
    <row r="432" spans="1:13" ht="13.5" customHeight="1" x14ac:dyDescent="0.4">
      <c r="A432" s="1">
        <v>45759</v>
      </c>
      <c r="B432" t="s">
        <v>4179</v>
      </c>
      <c r="C432">
        <v>3.25</v>
      </c>
      <c r="D432" s="2" t="s">
        <v>4180</v>
      </c>
      <c r="E432" t="s">
        <v>4179</v>
      </c>
      <c r="F432" t="s">
        <v>1551</v>
      </c>
      <c r="G432" s="2" t="s">
        <v>1485</v>
      </c>
      <c r="H432">
        <v>89109</v>
      </c>
      <c r="I432" t="s">
        <v>16</v>
      </c>
      <c r="J432" t="s">
        <v>4181</v>
      </c>
      <c r="K432" t="s">
        <v>305</v>
      </c>
      <c r="L432" t="s">
        <v>4673</v>
      </c>
      <c r="M432">
        <f>VLOOKUP(SUBSTITUTE(J432,"'",""),Sheet1!L:M,2,FALSE)</f>
        <v>61215</v>
      </c>
    </row>
    <row r="433" spans="1:13" ht="13.5" customHeight="1" x14ac:dyDescent="0.4">
      <c r="A433" s="1">
        <v>45759</v>
      </c>
      <c r="B433" t="s">
        <v>2246</v>
      </c>
      <c r="C433">
        <v>11.99</v>
      </c>
      <c r="D433" s="2" t="s">
        <v>4182</v>
      </c>
      <c r="E433" t="s">
        <v>2246</v>
      </c>
      <c r="F433" t="s">
        <v>2248</v>
      </c>
      <c r="G433" s="2" t="s">
        <v>2249</v>
      </c>
      <c r="H433">
        <v>94025</v>
      </c>
      <c r="I433" t="s">
        <v>16</v>
      </c>
      <c r="J433" t="s">
        <v>4183</v>
      </c>
      <c r="K433" t="s">
        <v>164</v>
      </c>
      <c r="L433" t="s">
        <v>4673</v>
      </c>
      <c r="M433">
        <f>VLOOKUP(SUBSTITUTE(J433,"'",""),Sheet1!L:M,2,FALSE)</f>
        <v>54820</v>
      </c>
    </row>
    <row r="434" spans="1:13" ht="13.5" customHeight="1" x14ac:dyDescent="0.4">
      <c r="A434" s="1">
        <v>45760</v>
      </c>
      <c r="B434" t="s">
        <v>4172</v>
      </c>
      <c r="C434">
        <v>106.99</v>
      </c>
      <c r="D434" s="2" t="s">
        <v>4173</v>
      </c>
      <c r="E434" t="s">
        <v>4172</v>
      </c>
      <c r="F434" s="2" t="s">
        <v>2233</v>
      </c>
      <c r="G434" s="2" t="s">
        <v>130</v>
      </c>
      <c r="H434" t="s">
        <v>2234</v>
      </c>
      <c r="I434" t="s">
        <v>16</v>
      </c>
      <c r="J434" t="s">
        <v>4174</v>
      </c>
      <c r="K434" t="s">
        <v>18</v>
      </c>
      <c r="L434" t="s">
        <v>4673</v>
      </c>
      <c r="M434">
        <f>VLOOKUP(SUBSTITUTE(J434,"'",""),Sheet1!L:M,2,FALSE)</f>
        <v>61100</v>
      </c>
    </row>
    <row r="435" spans="1:13" ht="13.5" customHeight="1" x14ac:dyDescent="0.4">
      <c r="A435" s="1">
        <v>45760</v>
      </c>
      <c r="B435" t="s">
        <v>4164</v>
      </c>
      <c r="C435">
        <v>56.63</v>
      </c>
      <c r="D435" s="2" t="s">
        <v>4165</v>
      </c>
      <c r="E435" t="s">
        <v>4164</v>
      </c>
      <c r="F435" t="s">
        <v>4166</v>
      </c>
      <c r="G435" s="2" t="s">
        <v>1485</v>
      </c>
      <c r="H435">
        <v>89119</v>
      </c>
      <c r="I435" t="s">
        <v>16</v>
      </c>
      <c r="J435" t="s">
        <v>4167</v>
      </c>
      <c r="K435" t="s">
        <v>207</v>
      </c>
      <c r="L435" t="s">
        <v>4673</v>
      </c>
      <c r="M435">
        <f>VLOOKUP(SUBSTITUTE(J435,"'",""),Sheet1!L:M,2,FALSE)</f>
        <v>54820</v>
      </c>
    </row>
    <row r="436" spans="1:13" ht="13.5" customHeight="1" x14ac:dyDescent="0.4">
      <c r="A436" s="1">
        <v>45760</v>
      </c>
      <c r="B436" t="s">
        <v>4168</v>
      </c>
      <c r="C436">
        <v>8</v>
      </c>
      <c r="D436" s="2" t="s">
        <v>4169</v>
      </c>
      <c r="E436" t="s">
        <v>4168</v>
      </c>
      <c r="F436" s="2" t="s">
        <v>4170</v>
      </c>
      <c r="G436" s="2" t="s">
        <v>1485</v>
      </c>
      <c r="H436">
        <v>89119</v>
      </c>
      <c r="I436" t="s">
        <v>16</v>
      </c>
      <c r="J436" t="s">
        <v>4171</v>
      </c>
      <c r="K436" t="s">
        <v>1390</v>
      </c>
      <c r="L436" t="s">
        <v>4673</v>
      </c>
      <c r="M436">
        <f>VLOOKUP(SUBSTITUTE(J436,"'",""),Sheet1!L:M,2,FALSE)</f>
        <v>54820</v>
      </c>
    </row>
    <row r="437" spans="1:13" ht="13.5" customHeight="1" x14ac:dyDescent="0.4">
      <c r="A437" s="1">
        <v>45761</v>
      </c>
      <c r="B437" t="s">
        <v>2222</v>
      </c>
      <c r="C437">
        <v>20.18</v>
      </c>
      <c r="D437" s="2" t="s">
        <v>4162</v>
      </c>
      <c r="E437" t="s">
        <v>2222</v>
      </c>
      <c r="F437" s="2" t="s">
        <v>2224</v>
      </c>
      <c r="G437" s="2" t="s">
        <v>35</v>
      </c>
      <c r="H437">
        <v>94103</v>
      </c>
      <c r="I437" t="s">
        <v>16</v>
      </c>
      <c r="J437" t="s">
        <v>4163</v>
      </c>
      <c r="K437" t="s">
        <v>164</v>
      </c>
      <c r="L437" t="s">
        <v>4673</v>
      </c>
      <c r="M437">
        <f>VLOOKUP(SUBSTITUTE(J437,"'",""),Sheet1!L:M,2,FALSE)</f>
        <v>54820</v>
      </c>
    </row>
    <row r="438" spans="1:13" ht="13.5" customHeight="1" x14ac:dyDescent="0.4">
      <c r="A438" s="1">
        <v>45761</v>
      </c>
      <c r="B438" t="s">
        <v>2217</v>
      </c>
      <c r="C438">
        <v>50.67</v>
      </c>
      <c r="D438" s="2" t="s">
        <v>4160</v>
      </c>
      <c r="E438" t="s">
        <v>2217</v>
      </c>
      <c r="F438" t="s">
        <v>2219</v>
      </c>
      <c r="G438" s="2" t="s">
        <v>41</v>
      </c>
      <c r="H438">
        <v>10013</v>
      </c>
      <c r="I438" t="s">
        <v>16</v>
      </c>
      <c r="J438" t="s">
        <v>4161</v>
      </c>
      <c r="K438" t="s">
        <v>321</v>
      </c>
      <c r="L438" t="s">
        <v>4673</v>
      </c>
      <c r="M438">
        <f>VLOOKUP(SUBSTITUTE(J438,"'",""),Sheet1!L:M,2,FALSE)</f>
        <v>54820</v>
      </c>
    </row>
    <row r="439" spans="1:13" ht="13.5" customHeight="1" x14ac:dyDescent="0.4">
      <c r="A439" s="1">
        <v>45761</v>
      </c>
      <c r="B439" t="s">
        <v>3866</v>
      </c>
      <c r="C439">
        <v>14.7</v>
      </c>
      <c r="D439" s="2" t="s">
        <v>4158</v>
      </c>
      <c r="E439" t="s">
        <v>3866</v>
      </c>
      <c r="F439" t="s">
        <v>3868</v>
      </c>
      <c r="G439" s="2" t="s">
        <v>41</v>
      </c>
      <c r="H439">
        <v>10003</v>
      </c>
      <c r="I439" t="s">
        <v>16</v>
      </c>
      <c r="J439" t="s">
        <v>4159</v>
      </c>
      <c r="K439" t="s">
        <v>126</v>
      </c>
      <c r="L439" t="s">
        <v>4673</v>
      </c>
      <c r="M439">
        <f>VLOOKUP(SUBSTITUTE(J439,"'",""),Sheet1!L:M,2,FALSE)</f>
        <v>54820</v>
      </c>
    </row>
    <row r="440" spans="1:13" ht="13.5" customHeight="1" x14ac:dyDescent="0.4">
      <c r="A440" s="1">
        <v>45761</v>
      </c>
      <c r="B440" t="s">
        <v>478</v>
      </c>
      <c r="C440">
        <v>205.39</v>
      </c>
      <c r="D440" s="2" t="s">
        <v>1480</v>
      </c>
      <c r="E440" t="s">
        <v>480</v>
      </c>
      <c r="F440" s="2" t="s">
        <v>481</v>
      </c>
      <c r="G440" s="2" t="s">
        <v>35</v>
      </c>
      <c r="H440">
        <v>94103</v>
      </c>
      <c r="I440" t="s">
        <v>16</v>
      </c>
      <c r="J440" t="s">
        <v>1481</v>
      </c>
      <c r="K440" t="s">
        <v>483</v>
      </c>
      <c r="L440" t="s">
        <v>2047</v>
      </c>
      <c r="M440">
        <f>VLOOKUP(SUBSTITUTE(J440,"'",""),Sheet1!L:M,2,FALSE)</f>
        <v>61130</v>
      </c>
    </row>
    <row r="441" spans="1:13" ht="13.5" customHeight="1" x14ac:dyDescent="0.4">
      <c r="A441" s="1">
        <v>45761</v>
      </c>
      <c r="B441" t="s">
        <v>478</v>
      </c>
      <c r="C441">
        <v>32.69</v>
      </c>
      <c r="D441" s="2" t="s">
        <v>1478</v>
      </c>
      <c r="E441" t="s">
        <v>480</v>
      </c>
      <c r="F441" s="2" t="s">
        <v>481</v>
      </c>
      <c r="G441" s="2" t="s">
        <v>35</v>
      </c>
      <c r="H441">
        <v>94103</v>
      </c>
      <c r="I441" t="s">
        <v>16</v>
      </c>
      <c r="J441" t="s">
        <v>1479</v>
      </c>
      <c r="K441" t="s">
        <v>483</v>
      </c>
      <c r="L441" t="s">
        <v>2047</v>
      </c>
      <c r="M441">
        <f>VLOOKUP(SUBSTITUTE(J441,"'",""),Sheet1!L:M,2,FALSE)</f>
        <v>61130</v>
      </c>
    </row>
    <row r="442" spans="1:13" ht="13.5" customHeight="1" x14ac:dyDescent="0.4">
      <c r="A442" s="1">
        <v>45761</v>
      </c>
      <c r="B442" t="s">
        <v>1482</v>
      </c>
      <c r="C442">
        <v>4138.93</v>
      </c>
      <c r="D442" s="2" t="s">
        <v>1483</v>
      </c>
      <c r="E442" t="s">
        <v>1482</v>
      </c>
      <c r="F442" t="s">
        <v>1484</v>
      </c>
      <c r="G442" s="2" t="s">
        <v>1485</v>
      </c>
      <c r="H442">
        <v>89109</v>
      </c>
      <c r="I442" t="s">
        <v>16</v>
      </c>
      <c r="J442" t="s">
        <v>1486</v>
      </c>
      <c r="K442" t="s">
        <v>50</v>
      </c>
      <c r="L442" t="s">
        <v>2047</v>
      </c>
      <c r="M442">
        <f>VLOOKUP(SUBSTITUTE(J442,"'",""),Sheet1!L:M,2,FALSE)</f>
        <v>61110</v>
      </c>
    </row>
    <row r="443" spans="1:13" ht="13.5" customHeight="1" x14ac:dyDescent="0.4">
      <c r="A443" s="1">
        <v>45761</v>
      </c>
      <c r="B443" t="s">
        <v>83</v>
      </c>
      <c r="C443">
        <v>104.4</v>
      </c>
      <c r="D443" s="2" t="s">
        <v>1476</v>
      </c>
      <c r="E443" t="s">
        <v>315</v>
      </c>
      <c r="F443" s="2" t="s">
        <v>86</v>
      </c>
      <c r="G443" s="2" t="s">
        <v>87</v>
      </c>
      <c r="H443" t="s">
        <v>88</v>
      </c>
      <c r="I443" t="s">
        <v>16</v>
      </c>
      <c r="J443" t="s">
        <v>1477</v>
      </c>
      <c r="K443" t="s">
        <v>90</v>
      </c>
      <c r="L443" t="s">
        <v>2047</v>
      </c>
      <c r="M443">
        <f>VLOOKUP(SUBSTITUTE(J443,"'",""),Sheet1!L:M,2,FALSE)</f>
        <v>65700</v>
      </c>
    </row>
    <row r="444" spans="1:13" ht="13.5" customHeight="1" x14ac:dyDescent="0.4">
      <c r="A444" s="1">
        <v>45762</v>
      </c>
      <c r="B444" t="s">
        <v>885</v>
      </c>
      <c r="C444">
        <v>55.35</v>
      </c>
      <c r="D444" s="2" t="s">
        <v>4154</v>
      </c>
      <c r="E444" t="s">
        <v>885</v>
      </c>
      <c r="F444" t="s">
        <v>108</v>
      </c>
      <c r="G444" s="2" t="s">
        <v>41</v>
      </c>
      <c r="H444">
        <v>10012</v>
      </c>
      <c r="I444" t="s">
        <v>16</v>
      </c>
      <c r="J444" t="s">
        <v>4155</v>
      </c>
      <c r="K444" t="s">
        <v>110</v>
      </c>
      <c r="L444" t="s">
        <v>4673</v>
      </c>
      <c r="M444">
        <f>VLOOKUP(SUBSTITUTE(J444,"'",""),Sheet1!L:M,2,FALSE)</f>
        <v>67500</v>
      </c>
    </row>
    <row r="445" spans="1:13" ht="13.5" customHeight="1" x14ac:dyDescent="0.4">
      <c r="A445" s="1">
        <v>45762</v>
      </c>
      <c r="B445" t="s">
        <v>2208</v>
      </c>
      <c r="C445">
        <v>239</v>
      </c>
      <c r="D445" s="2" t="s">
        <v>4156</v>
      </c>
      <c r="E445" t="s">
        <v>2208</v>
      </c>
      <c r="F445" t="s">
        <v>2210</v>
      </c>
      <c r="G445" s="2" t="s">
        <v>2211</v>
      </c>
      <c r="H445">
        <v>20260</v>
      </c>
      <c r="I445" t="s">
        <v>16</v>
      </c>
      <c r="J445" t="s">
        <v>4157</v>
      </c>
      <c r="K445" t="s">
        <v>573</v>
      </c>
      <c r="L445" t="s">
        <v>4673</v>
      </c>
      <c r="M445">
        <f>VLOOKUP(SUBSTITUTE(J445,"'",""),Sheet1!L:M,2,FALSE)</f>
        <v>65600</v>
      </c>
    </row>
    <row r="446" spans="1:13" ht="13.5" customHeight="1" x14ac:dyDescent="0.4">
      <c r="A446" s="1">
        <v>45762</v>
      </c>
      <c r="B446" t="s">
        <v>2142</v>
      </c>
      <c r="C446">
        <v>49.82</v>
      </c>
      <c r="D446" s="2" t="s">
        <v>4148</v>
      </c>
      <c r="E446" t="s">
        <v>2142</v>
      </c>
      <c r="F446" t="s">
        <v>2144</v>
      </c>
      <c r="G446" s="2" t="s">
        <v>41</v>
      </c>
      <c r="H446">
        <v>10012</v>
      </c>
      <c r="I446" t="s">
        <v>16</v>
      </c>
      <c r="J446" t="s">
        <v>4149</v>
      </c>
      <c r="K446" t="s">
        <v>1304</v>
      </c>
      <c r="L446" t="s">
        <v>4673</v>
      </c>
      <c r="M446">
        <f>VLOOKUP(SUBSTITUTE(J446,"'",""),Sheet1!L:M,2,FALSE)</f>
        <v>54820</v>
      </c>
    </row>
    <row r="447" spans="1:13" ht="13.5" customHeight="1" x14ac:dyDescent="0.4">
      <c r="A447" s="1">
        <v>45762</v>
      </c>
      <c r="B447" t="s">
        <v>437</v>
      </c>
      <c r="C447">
        <v>10</v>
      </c>
      <c r="D447" s="2" t="s">
        <v>1474</v>
      </c>
      <c r="E447" t="s">
        <v>437</v>
      </c>
      <c r="F447" s="2" t="s">
        <v>80</v>
      </c>
      <c r="H447">
        <v>2150</v>
      </c>
      <c r="I447" t="s">
        <v>81</v>
      </c>
      <c r="J447" t="s">
        <v>1475</v>
      </c>
      <c r="K447" t="s">
        <v>37</v>
      </c>
      <c r="L447" t="s">
        <v>2047</v>
      </c>
      <c r="M447">
        <f>VLOOKUP(SUBSTITUTE(J447,"'",""),Sheet1!L:M,2,FALSE)</f>
        <v>64100</v>
      </c>
    </row>
    <row r="448" spans="1:13" ht="13.5" customHeight="1" x14ac:dyDescent="0.4">
      <c r="A448" s="1">
        <v>45762</v>
      </c>
      <c r="B448" t="s">
        <v>3151</v>
      </c>
      <c r="C448">
        <v>32.57</v>
      </c>
      <c r="D448" s="2" t="s">
        <v>4152</v>
      </c>
      <c r="E448" t="s">
        <v>3151</v>
      </c>
      <c r="F448" t="s">
        <v>2743</v>
      </c>
      <c r="G448" s="2" t="s">
        <v>41</v>
      </c>
      <c r="H448">
        <v>10003</v>
      </c>
      <c r="I448" t="s">
        <v>16</v>
      </c>
      <c r="J448" t="s">
        <v>4153</v>
      </c>
      <c r="K448" t="s">
        <v>207</v>
      </c>
      <c r="L448" t="s">
        <v>4673</v>
      </c>
      <c r="M448">
        <f>VLOOKUP(SUBSTITUTE(J448,"'",""),Sheet1!L:M,2,FALSE)</f>
        <v>54820</v>
      </c>
    </row>
    <row r="449" spans="1:13" ht="13.5" customHeight="1" x14ac:dyDescent="0.4">
      <c r="A449" s="1">
        <v>45762</v>
      </c>
      <c r="B449" t="s">
        <v>2158</v>
      </c>
      <c r="C449">
        <v>200</v>
      </c>
      <c r="D449" s="2" t="s">
        <v>4150</v>
      </c>
      <c r="E449" t="s">
        <v>2158</v>
      </c>
      <c r="F449" s="2" t="s">
        <v>3032</v>
      </c>
      <c r="G449" s="2" t="s">
        <v>41</v>
      </c>
      <c r="H449">
        <v>10017</v>
      </c>
      <c r="I449" t="s">
        <v>16</v>
      </c>
      <c r="J449" t="s">
        <v>4151</v>
      </c>
      <c r="K449" t="s">
        <v>116</v>
      </c>
      <c r="L449" t="s">
        <v>4673</v>
      </c>
      <c r="M449">
        <f>VLOOKUP(SUBSTITUTE(J449,"'",""),Sheet1!L:M,2,FALSE)</f>
        <v>54820</v>
      </c>
    </row>
    <row r="450" spans="1:13" ht="13.5" customHeight="1" x14ac:dyDescent="0.4">
      <c r="A450" s="1">
        <v>45763</v>
      </c>
      <c r="B450" t="s">
        <v>3894</v>
      </c>
      <c r="C450">
        <v>27.99</v>
      </c>
      <c r="D450" s="2" t="s">
        <v>4146</v>
      </c>
      <c r="E450" t="s">
        <v>3894</v>
      </c>
      <c r="F450" t="s">
        <v>2127</v>
      </c>
      <c r="G450" s="2" t="s">
        <v>41</v>
      </c>
      <c r="H450">
        <v>10003</v>
      </c>
      <c r="I450" t="s">
        <v>16</v>
      </c>
      <c r="J450" t="s">
        <v>4147</v>
      </c>
      <c r="K450" t="s">
        <v>37</v>
      </c>
      <c r="L450" t="s">
        <v>4673</v>
      </c>
      <c r="M450">
        <f>VLOOKUP(SUBSTITUTE(J450,"'",""),Sheet1!L:M,2,FALSE)</f>
        <v>54820</v>
      </c>
    </row>
    <row r="451" spans="1:13" ht="13.5" customHeight="1" x14ac:dyDescent="0.4">
      <c r="A451" s="1">
        <v>45763</v>
      </c>
      <c r="B451" t="s">
        <v>1008</v>
      </c>
      <c r="C451">
        <v>128.47</v>
      </c>
      <c r="D451" s="2" t="s">
        <v>1470</v>
      </c>
      <c r="E451" t="s">
        <v>1008</v>
      </c>
      <c r="F451" t="s">
        <v>950</v>
      </c>
      <c r="G451" s="2" t="s">
        <v>41</v>
      </c>
      <c r="H451">
        <v>10001</v>
      </c>
      <c r="I451" t="s">
        <v>16</v>
      </c>
      <c r="J451" t="s">
        <v>1471</v>
      </c>
      <c r="K451" t="s">
        <v>126</v>
      </c>
      <c r="L451" t="s">
        <v>2047</v>
      </c>
      <c r="M451">
        <f>VLOOKUP(SUBSTITUTE(J451,"'",""),Sheet1!L:M,2,FALSE)</f>
        <v>61215</v>
      </c>
    </row>
    <row r="452" spans="1:13" ht="13.5" customHeight="1" x14ac:dyDescent="0.4">
      <c r="A452" s="1">
        <v>45763</v>
      </c>
      <c r="B452" t="s">
        <v>1008</v>
      </c>
      <c r="C452">
        <v>821</v>
      </c>
      <c r="D452" s="2" t="s">
        <v>1472</v>
      </c>
      <c r="E452" t="s">
        <v>1008</v>
      </c>
      <c r="F452" t="s">
        <v>950</v>
      </c>
      <c r="G452" s="2" t="s">
        <v>41</v>
      </c>
      <c r="H452">
        <v>10001</v>
      </c>
      <c r="I452" t="s">
        <v>16</v>
      </c>
      <c r="J452" t="s">
        <v>1473</v>
      </c>
      <c r="K452" t="s">
        <v>126</v>
      </c>
      <c r="L452" t="s">
        <v>2047</v>
      </c>
      <c r="M452">
        <f>VLOOKUP(SUBSTITUTE(J452,"'",""),Sheet1!L:M,2,FALSE)</f>
        <v>61215</v>
      </c>
    </row>
    <row r="453" spans="1:13" ht="13.5" customHeight="1" x14ac:dyDescent="0.4">
      <c r="A453" s="1">
        <v>45764</v>
      </c>
      <c r="B453" t="s">
        <v>478</v>
      </c>
      <c r="C453">
        <v>24.7</v>
      </c>
      <c r="D453" s="2" t="s">
        <v>1466</v>
      </c>
      <c r="E453" t="s">
        <v>480</v>
      </c>
      <c r="F453" s="2" t="s">
        <v>481</v>
      </c>
      <c r="G453" s="2" t="s">
        <v>35</v>
      </c>
      <c r="H453">
        <v>94103</v>
      </c>
      <c r="I453" t="s">
        <v>16</v>
      </c>
      <c r="J453" t="s">
        <v>1467</v>
      </c>
      <c r="K453" t="s">
        <v>483</v>
      </c>
      <c r="L453" t="s">
        <v>2047</v>
      </c>
      <c r="M453">
        <f>VLOOKUP(SUBSTITUTE(J453,"'",""),Sheet1!L:M,2,FALSE)</f>
        <v>61130</v>
      </c>
    </row>
    <row r="454" spans="1:13" ht="13.5" customHeight="1" x14ac:dyDescent="0.4">
      <c r="A454" s="1">
        <v>45764</v>
      </c>
      <c r="B454" t="s">
        <v>478</v>
      </c>
      <c r="C454">
        <v>32.58</v>
      </c>
      <c r="D454" s="2" t="s">
        <v>1468</v>
      </c>
      <c r="E454" t="s">
        <v>480</v>
      </c>
      <c r="F454" s="2" t="s">
        <v>481</v>
      </c>
      <c r="G454" s="2" t="s">
        <v>35</v>
      </c>
      <c r="H454">
        <v>94103</v>
      </c>
      <c r="I454" t="s">
        <v>16</v>
      </c>
      <c r="J454" t="s">
        <v>1469</v>
      </c>
      <c r="K454" t="s">
        <v>483</v>
      </c>
      <c r="L454" t="s">
        <v>2047</v>
      </c>
      <c r="M454">
        <f>VLOOKUP(SUBSTITUTE(J454,"'",""),Sheet1!L:M,2,FALSE)</f>
        <v>61130</v>
      </c>
    </row>
    <row r="455" spans="1:13" ht="13.5" customHeight="1" x14ac:dyDescent="0.4">
      <c r="A455" s="1">
        <v>45764</v>
      </c>
      <c r="B455" t="s">
        <v>2764</v>
      </c>
      <c r="C455">
        <v>18.57</v>
      </c>
      <c r="D455" s="2" t="s">
        <v>4144</v>
      </c>
      <c r="E455" t="s">
        <v>2764</v>
      </c>
      <c r="F455" t="s">
        <v>2766</v>
      </c>
      <c r="G455" s="2" t="s">
        <v>41</v>
      </c>
      <c r="H455">
        <v>10011</v>
      </c>
      <c r="I455" t="s">
        <v>16</v>
      </c>
      <c r="J455" t="s">
        <v>4145</v>
      </c>
      <c r="K455" t="s">
        <v>305</v>
      </c>
      <c r="L455" t="s">
        <v>4673</v>
      </c>
      <c r="M455">
        <f>VLOOKUP(SUBSTITUTE(J455,"'",""),Sheet1!L:M,2,FALSE)</f>
        <v>54820</v>
      </c>
    </row>
    <row r="456" spans="1:13" ht="13.5" customHeight="1" x14ac:dyDescent="0.4">
      <c r="A456" s="1">
        <v>45765</v>
      </c>
      <c r="B456" t="s">
        <v>22</v>
      </c>
      <c r="C456">
        <v>-5000</v>
      </c>
      <c r="D456" t="s">
        <v>22</v>
      </c>
      <c r="E456" t="s">
        <v>22</v>
      </c>
      <c r="J456" t="s">
        <v>1459</v>
      </c>
      <c r="L456" t="s">
        <v>2047</v>
      </c>
      <c r="M456" t="e">
        <f>VLOOKUP(SUBSTITUTE(J456,"'",""),Sheet1!L:M,2,FALSE)</f>
        <v>#N/A</v>
      </c>
    </row>
    <row r="457" spans="1:13" ht="13.5" customHeight="1" x14ac:dyDescent="0.4">
      <c r="A457" s="1">
        <v>45765</v>
      </c>
      <c r="B457" t="s">
        <v>885</v>
      </c>
      <c r="C457">
        <v>48.65</v>
      </c>
      <c r="D457" s="2" t="s">
        <v>4140</v>
      </c>
      <c r="E457" t="s">
        <v>885</v>
      </c>
      <c r="F457" t="s">
        <v>108</v>
      </c>
      <c r="G457" s="2" t="s">
        <v>41</v>
      </c>
      <c r="H457">
        <v>10012</v>
      </c>
      <c r="I457" t="s">
        <v>16</v>
      </c>
      <c r="J457" t="s">
        <v>4141</v>
      </c>
      <c r="K457" t="s">
        <v>110</v>
      </c>
      <c r="L457" t="s">
        <v>4673</v>
      </c>
      <c r="M457">
        <f>VLOOKUP(SUBSTITUTE(J457,"'",""),Sheet1!L:M,2,FALSE)</f>
        <v>67500</v>
      </c>
    </row>
    <row r="458" spans="1:13" ht="13.5" customHeight="1" x14ac:dyDescent="0.4">
      <c r="A458" s="1">
        <v>45765</v>
      </c>
      <c r="B458" t="s">
        <v>260</v>
      </c>
      <c r="C458">
        <v>37.049999999999997</v>
      </c>
      <c r="D458" s="2" t="s">
        <v>1464</v>
      </c>
      <c r="E458" t="s">
        <v>260</v>
      </c>
      <c r="F458" t="s">
        <v>29</v>
      </c>
      <c r="G458" t="e">
        <f>-
TX</f>
        <v>#NAME?</v>
      </c>
      <c r="H458">
        <v>75231</v>
      </c>
      <c r="I458" t="s">
        <v>16</v>
      </c>
      <c r="J458" t="s">
        <v>1465</v>
      </c>
      <c r="K458" t="s">
        <v>61</v>
      </c>
      <c r="L458" t="s">
        <v>2047</v>
      </c>
      <c r="M458">
        <f>VLOOKUP(SUBSTITUTE(J458,"'",""),Sheet1!L:M,2,FALSE)</f>
        <v>63100</v>
      </c>
    </row>
    <row r="459" spans="1:13" ht="13.5" customHeight="1" x14ac:dyDescent="0.4">
      <c r="A459" s="1">
        <v>45765</v>
      </c>
      <c r="B459" t="s">
        <v>4137</v>
      </c>
      <c r="C459">
        <v>62.53</v>
      </c>
      <c r="D459" s="2" t="s">
        <v>4138</v>
      </c>
      <c r="E459" t="s">
        <v>4137</v>
      </c>
      <c r="F459" t="s">
        <v>2349</v>
      </c>
      <c r="G459" s="2" t="s">
        <v>41</v>
      </c>
      <c r="H459" t="s">
        <v>2350</v>
      </c>
      <c r="I459" t="s">
        <v>16</v>
      </c>
      <c r="J459" t="s">
        <v>4139</v>
      </c>
      <c r="K459" t="s">
        <v>116</v>
      </c>
      <c r="L459" t="s">
        <v>4673</v>
      </c>
      <c r="M459">
        <f>VLOOKUP(SUBSTITUTE(J459,"'",""),Sheet1!L:M,2,FALSE)</f>
        <v>54820</v>
      </c>
    </row>
    <row r="460" spans="1:13" ht="13.5" customHeight="1" x14ac:dyDescent="0.4">
      <c r="A460" s="1">
        <v>45765</v>
      </c>
      <c r="B460" t="s">
        <v>1460</v>
      </c>
      <c r="C460">
        <v>6.08</v>
      </c>
      <c r="D460" s="2" t="s">
        <v>1461</v>
      </c>
      <c r="E460" t="s">
        <v>1460</v>
      </c>
      <c r="F460" s="2" t="s">
        <v>1462</v>
      </c>
      <c r="G460" s="2" t="s">
        <v>41</v>
      </c>
      <c r="H460">
        <v>10038</v>
      </c>
      <c r="I460" t="s">
        <v>16</v>
      </c>
      <c r="J460" t="s">
        <v>1463</v>
      </c>
      <c r="K460" t="s">
        <v>862</v>
      </c>
      <c r="L460" t="s">
        <v>2047</v>
      </c>
      <c r="M460">
        <f>VLOOKUP(SUBSTITUTE(J460,"'",""),Sheet1!L:M,2,FALSE)</f>
        <v>61131</v>
      </c>
    </row>
    <row r="461" spans="1:13" ht="13.5" customHeight="1" x14ac:dyDescent="0.4">
      <c r="A461" s="1">
        <v>45765</v>
      </c>
      <c r="B461" t="s">
        <v>1455</v>
      </c>
      <c r="C461">
        <v>304.20999999999998</v>
      </c>
      <c r="D461" s="2" t="s">
        <v>1456</v>
      </c>
      <c r="E461" t="s">
        <v>1455</v>
      </c>
      <c r="F461" s="2" t="s">
        <v>1457</v>
      </c>
      <c r="G461" s="2" t="s">
        <v>41</v>
      </c>
      <c r="H461">
        <v>10038</v>
      </c>
      <c r="I461" t="s">
        <v>16</v>
      </c>
      <c r="J461" t="s">
        <v>1458</v>
      </c>
      <c r="K461" t="s">
        <v>862</v>
      </c>
      <c r="L461" t="s">
        <v>2047</v>
      </c>
      <c r="M461">
        <f>VLOOKUP(SUBSTITUTE(J461,"'",""),Sheet1!L:M,2,FALSE)</f>
        <v>61131</v>
      </c>
    </row>
    <row r="462" spans="1:13" ht="13.5" customHeight="1" x14ac:dyDescent="0.4">
      <c r="A462" s="1">
        <v>45765</v>
      </c>
      <c r="B462" t="s">
        <v>2240</v>
      </c>
      <c r="C462">
        <v>39.619999999999997</v>
      </c>
      <c r="D462" s="2" t="s">
        <v>4142</v>
      </c>
      <c r="E462" t="s">
        <v>2240</v>
      </c>
      <c r="F462" t="s">
        <v>2242</v>
      </c>
      <c r="G462" s="2" t="s">
        <v>41</v>
      </c>
      <c r="H462">
        <v>10003</v>
      </c>
      <c r="I462" t="s">
        <v>16</v>
      </c>
      <c r="J462" t="s">
        <v>4143</v>
      </c>
      <c r="K462" t="s">
        <v>1218</v>
      </c>
      <c r="L462" t="s">
        <v>4673</v>
      </c>
      <c r="M462">
        <f>VLOOKUP(SUBSTITUTE(J462,"'",""),Sheet1!L:M,2,FALSE)</f>
        <v>54820</v>
      </c>
    </row>
    <row r="463" spans="1:13" ht="13.5" customHeight="1" x14ac:dyDescent="0.4">
      <c r="A463" s="1">
        <v>45766</v>
      </c>
      <c r="B463" t="s">
        <v>3884</v>
      </c>
      <c r="C463">
        <v>25.25</v>
      </c>
      <c r="D463" s="2" t="s">
        <v>4120</v>
      </c>
      <c r="E463" t="s">
        <v>3884</v>
      </c>
      <c r="F463" t="s">
        <v>3886</v>
      </c>
      <c r="G463" s="2" t="s">
        <v>41</v>
      </c>
      <c r="H463">
        <v>10012</v>
      </c>
      <c r="I463" t="s">
        <v>16</v>
      </c>
      <c r="J463" t="s">
        <v>4121</v>
      </c>
      <c r="K463" t="s">
        <v>126</v>
      </c>
      <c r="L463" t="s">
        <v>4673</v>
      </c>
      <c r="M463">
        <f>VLOOKUP(SUBSTITUTE(J463,"'",""),Sheet1!L:M,2,FALSE)</f>
        <v>54820</v>
      </c>
    </row>
    <row r="464" spans="1:13" ht="13.5" customHeight="1" x14ac:dyDescent="0.4">
      <c r="A464" s="1">
        <v>45766</v>
      </c>
      <c r="B464" t="s">
        <v>3866</v>
      </c>
      <c r="C464">
        <v>8.35</v>
      </c>
      <c r="D464" s="2" t="s">
        <v>4122</v>
      </c>
      <c r="E464" t="s">
        <v>3866</v>
      </c>
      <c r="F464" t="s">
        <v>3868</v>
      </c>
      <c r="G464" s="2" t="s">
        <v>41</v>
      </c>
      <c r="H464">
        <v>10003</v>
      </c>
      <c r="I464" t="s">
        <v>16</v>
      </c>
      <c r="J464" t="s">
        <v>4123</v>
      </c>
      <c r="K464" t="s">
        <v>126</v>
      </c>
      <c r="L464" t="s">
        <v>4673</v>
      </c>
      <c r="M464">
        <f>VLOOKUP(SUBSTITUTE(J464,"'",""),Sheet1!L:M,2,FALSE)</f>
        <v>54820</v>
      </c>
    </row>
    <row r="465" spans="1:13" ht="13.5" customHeight="1" x14ac:dyDescent="0.4">
      <c r="A465" s="1">
        <v>45766</v>
      </c>
      <c r="B465" t="s">
        <v>1243</v>
      </c>
      <c r="C465">
        <v>558.95000000000005</v>
      </c>
      <c r="D465" s="2" t="s">
        <v>1451</v>
      </c>
      <c r="E465" t="s">
        <v>816</v>
      </c>
      <c r="F465" t="s">
        <v>1245</v>
      </c>
      <c r="G465" s="2" t="s">
        <v>819</v>
      </c>
      <c r="H465">
        <v>30344</v>
      </c>
      <c r="I465" t="s">
        <v>16</v>
      </c>
      <c r="J465" t="s">
        <v>1452</v>
      </c>
      <c r="K465" t="s">
        <v>682</v>
      </c>
      <c r="L465" t="s">
        <v>2047</v>
      </c>
      <c r="M465">
        <f>VLOOKUP(SUBSTITUTE(J465,"'",""),Sheet1!L:M,2,FALSE)</f>
        <v>61120</v>
      </c>
    </row>
    <row r="466" spans="1:13" ht="13.5" customHeight="1" x14ac:dyDescent="0.4">
      <c r="A466" s="1">
        <v>45766</v>
      </c>
      <c r="B466" t="s">
        <v>1243</v>
      </c>
      <c r="C466">
        <v>558.95000000000005</v>
      </c>
      <c r="D466" s="2" t="s">
        <v>1453</v>
      </c>
      <c r="E466" t="s">
        <v>816</v>
      </c>
      <c r="F466" t="s">
        <v>1245</v>
      </c>
      <c r="G466" s="2" t="s">
        <v>819</v>
      </c>
      <c r="H466">
        <v>30344</v>
      </c>
      <c r="I466" t="s">
        <v>16</v>
      </c>
      <c r="J466" t="s">
        <v>1454</v>
      </c>
      <c r="K466" t="s">
        <v>682</v>
      </c>
      <c r="L466" t="s">
        <v>2047</v>
      </c>
      <c r="M466">
        <f>VLOOKUP(SUBSTITUTE(J466,"'",""),Sheet1!L:M,2,FALSE)</f>
        <v>61120</v>
      </c>
    </row>
    <row r="467" spans="1:13" ht="13.5" customHeight="1" x14ac:dyDescent="0.4">
      <c r="A467" s="1">
        <v>45766</v>
      </c>
      <c r="B467" t="s">
        <v>3154</v>
      </c>
      <c r="C467">
        <v>272.83</v>
      </c>
      <c r="D467" s="2" t="s">
        <v>4129</v>
      </c>
      <c r="E467" t="s">
        <v>3154</v>
      </c>
      <c r="F467" s="2" t="s">
        <v>4130</v>
      </c>
      <c r="G467" s="2" t="s">
        <v>41</v>
      </c>
      <c r="H467" t="s">
        <v>4131</v>
      </c>
      <c r="I467" t="s">
        <v>16</v>
      </c>
      <c r="J467" t="s">
        <v>4132</v>
      </c>
      <c r="K467" t="s">
        <v>631</v>
      </c>
      <c r="L467" t="s">
        <v>4673</v>
      </c>
      <c r="M467">
        <f>VLOOKUP(SUBSTITUTE(J467,"'",""),Sheet1!L:M,2,FALSE)</f>
        <v>54820</v>
      </c>
    </row>
    <row r="468" spans="1:13" ht="13.5" customHeight="1" x14ac:dyDescent="0.4">
      <c r="A468" s="1">
        <v>45766</v>
      </c>
      <c r="B468" t="s">
        <v>4124</v>
      </c>
      <c r="C468">
        <v>68.599999999999994</v>
      </c>
      <c r="D468" s="2" t="s">
        <v>4125</v>
      </c>
      <c r="E468" t="s">
        <v>4124</v>
      </c>
      <c r="F468" s="2" t="s">
        <v>4126</v>
      </c>
      <c r="G468" s="2" t="s">
        <v>41</v>
      </c>
      <c r="H468" t="s">
        <v>4127</v>
      </c>
      <c r="I468" t="s">
        <v>16</v>
      </c>
      <c r="J468" t="s">
        <v>4128</v>
      </c>
      <c r="K468" t="s">
        <v>2114</v>
      </c>
      <c r="L468" t="s">
        <v>4673</v>
      </c>
      <c r="M468">
        <f>VLOOKUP(SUBSTITUTE(J468,"'",""),Sheet1!L:M,2,FALSE)</f>
        <v>54820</v>
      </c>
    </row>
    <row r="469" spans="1:13" ht="13.5" customHeight="1" x14ac:dyDescent="0.4">
      <c r="A469" s="1">
        <v>45766</v>
      </c>
      <c r="B469" t="s">
        <v>4133</v>
      </c>
      <c r="C469">
        <v>67.489999999999995</v>
      </c>
      <c r="D469" s="2" t="s">
        <v>4134</v>
      </c>
      <c r="E469" t="s">
        <v>4133</v>
      </c>
      <c r="F469" t="s">
        <v>4135</v>
      </c>
      <c r="G469" s="2" t="s">
        <v>41</v>
      </c>
      <c r="H469">
        <v>10012</v>
      </c>
      <c r="I469" t="s">
        <v>16</v>
      </c>
      <c r="J469" t="s">
        <v>4136</v>
      </c>
      <c r="K469" t="s">
        <v>2114</v>
      </c>
      <c r="L469" t="s">
        <v>4673</v>
      </c>
      <c r="M469">
        <f>VLOOKUP(SUBSTITUTE(J469,"'",""),Sheet1!L:M,2,FALSE)</f>
        <v>54820</v>
      </c>
    </row>
    <row r="470" spans="1:13" ht="13.5" customHeight="1" x14ac:dyDescent="0.4">
      <c r="A470" s="1">
        <v>45766</v>
      </c>
      <c r="B470" t="s">
        <v>140</v>
      </c>
      <c r="C470">
        <v>21.76</v>
      </c>
      <c r="D470" s="2" t="s">
        <v>1449</v>
      </c>
      <c r="E470" t="s">
        <v>142</v>
      </c>
      <c r="F470" t="s">
        <v>143</v>
      </c>
      <c r="G470" s="2" t="s">
        <v>14</v>
      </c>
      <c r="H470">
        <v>98109</v>
      </c>
      <c r="I470" t="s">
        <v>16</v>
      </c>
      <c r="J470" t="s">
        <v>1450</v>
      </c>
      <c r="K470" t="s">
        <v>18</v>
      </c>
      <c r="L470" t="s">
        <v>2047</v>
      </c>
      <c r="M470">
        <f>VLOOKUP(SUBSTITUTE(J470,"'",""),Sheet1!L:M,2,FALSE)</f>
        <v>54820</v>
      </c>
    </row>
    <row r="471" spans="1:13" ht="13.5" customHeight="1" x14ac:dyDescent="0.4">
      <c r="A471" s="1">
        <v>45767</v>
      </c>
      <c r="B471" t="s">
        <v>3894</v>
      </c>
      <c r="C471">
        <v>13.9</v>
      </c>
      <c r="D471" s="2" t="s">
        <v>4112</v>
      </c>
      <c r="E471" t="s">
        <v>3894</v>
      </c>
      <c r="F471" t="s">
        <v>2127</v>
      </c>
      <c r="G471" s="2" t="s">
        <v>41</v>
      </c>
      <c r="H471">
        <v>10003</v>
      </c>
      <c r="I471" t="s">
        <v>16</v>
      </c>
      <c r="J471" t="s">
        <v>4113</v>
      </c>
      <c r="K471" t="s">
        <v>37</v>
      </c>
      <c r="L471" t="s">
        <v>4673</v>
      </c>
      <c r="M471">
        <f>VLOOKUP(SUBSTITUTE(J471,"'",""),Sheet1!L:M,2,FALSE)</f>
        <v>54820</v>
      </c>
    </row>
    <row r="472" spans="1:13" ht="13.5" customHeight="1" x14ac:dyDescent="0.4">
      <c r="A472" s="1">
        <v>45767</v>
      </c>
      <c r="B472" t="s">
        <v>906</v>
      </c>
      <c r="C472">
        <v>9.9499999999999993</v>
      </c>
      <c r="D472" s="2" t="s">
        <v>1445</v>
      </c>
      <c r="E472" t="s">
        <v>906</v>
      </c>
      <c r="F472" t="s">
        <v>908</v>
      </c>
      <c r="G472" s="2" t="s">
        <v>909</v>
      </c>
      <c r="H472">
        <v>85016</v>
      </c>
      <c r="I472" t="s">
        <v>910</v>
      </c>
      <c r="J472" t="s">
        <v>1446</v>
      </c>
      <c r="K472" t="s">
        <v>321</v>
      </c>
      <c r="L472" t="s">
        <v>2047</v>
      </c>
      <c r="M472">
        <f>VLOOKUP(SUBSTITUTE(J472,"'",""),Sheet1!L:M,2,FALSE)</f>
        <v>61120</v>
      </c>
    </row>
    <row r="473" spans="1:13" ht="13.5" customHeight="1" x14ac:dyDescent="0.4">
      <c r="A473" s="1">
        <v>45767</v>
      </c>
      <c r="B473" t="s">
        <v>906</v>
      </c>
      <c r="C473">
        <v>9.9499999999999993</v>
      </c>
      <c r="D473" s="2" t="s">
        <v>1447</v>
      </c>
      <c r="E473" t="s">
        <v>906</v>
      </c>
      <c r="F473" t="s">
        <v>908</v>
      </c>
      <c r="G473" s="2" t="s">
        <v>909</v>
      </c>
      <c r="H473">
        <v>85016</v>
      </c>
      <c r="I473" t="s">
        <v>910</v>
      </c>
      <c r="J473" t="s">
        <v>1448</v>
      </c>
      <c r="K473" t="s">
        <v>321</v>
      </c>
      <c r="L473" t="s">
        <v>2047</v>
      </c>
      <c r="M473">
        <f>VLOOKUP(SUBSTITUTE(J473,"'",""),Sheet1!L:M,2,FALSE)</f>
        <v>61120</v>
      </c>
    </row>
    <row r="474" spans="1:13" ht="13.5" customHeight="1" x14ac:dyDescent="0.4">
      <c r="A474" s="1">
        <v>45767</v>
      </c>
      <c r="B474" t="s">
        <v>888</v>
      </c>
      <c r="C474">
        <v>14</v>
      </c>
      <c r="D474" s="2" t="s">
        <v>1435</v>
      </c>
      <c r="E474" t="s">
        <v>888</v>
      </c>
      <c r="F474" t="s">
        <v>890</v>
      </c>
      <c r="G474" s="2" t="s">
        <v>891</v>
      </c>
      <c r="H474">
        <v>54307</v>
      </c>
      <c r="I474" t="s">
        <v>16</v>
      </c>
      <c r="J474" t="s">
        <v>1436</v>
      </c>
      <c r="K474" t="s">
        <v>321</v>
      </c>
      <c r="L474" t="s">
        <v>2047</v>
      </c>
      <c r="M474">
        <f>VLOOKUP(SUBSTITUTE(J474,"'",""),Sheet1!L:M,2,FALSE)</f>
        <v>61120</v>
      </c>
    </row>
    <row r="475" spans="1:13" ht="13.5" customHeight="1" x14ac:dyDescent="0.4">
      <c r="A475" s="1">
        <v>45767</v>
      </c>
      <c r="B475" t="s">
        <v>888</v>
      </c>
      <c r="C475">
        <v>14</v>
      </c>
      <c r="D475" s="2" t="s">
        <v>1437</v>
      </c>
      <c r="E475" t="s">
        <v>888</v>
      </c>
      <c r="F475" t="s">
        <v>890</v>
      </c>
      <c r="G475" s="2" t="s">
        <v>891</v>
      </c>
      <c r="H475">
        <v>54307</v>
      </c>
      <c r="I475" t="s">
        <v>16</v>
      </c>
      <c r="J475" t="s">
        <v>1438</v>
      </c>
      <c r="K475" t="s">
        <v>321</v>
      </c>
      <c r="L475" t="s">
        <v>2047</v>
      </c>
      <c r="M475">
        <f>VLOOKUP(SUBSTITUTE(J475,"'",""),Sheet1!L:M,2,FALSE)</f>
        <v>61120</v>
      </c>
    </row>
    <row r="476" spans="1:13" ht="13.5" customHeight="1" x14ac:dyDescent="0.4">
      <c r="A476" s="1">
        <v>45767</v>
      </c>
      <c r="B476" t="s">
        <v>895</v>
      </c>
      <c r="C476">
        <v>9.9499999999999993</v>
      </c>
      <c r="D476" s="2" t="s">
        <v>1439</v>
      </c>
      <c r="E476" t="s">
        <v>895</v>
      </c>
      <c r="F476" s="2" t="s">
        <v>897</v>
      </c>
      <c r="G476" s="2" t="s">
        <v>898</v>
      </c>
      <c r="H476">
        <v>33337</v>
      </c>
      <c r="I476" t="s">
        <v>16</v>
      </c>
      <c r="J476" t="s">
        <v>1440</v>
      </c>
      <c r="K476" t="s">
        <v>321</v>
      </c>
      <c r="L476" t="s">
        <v>2047</v>
      </c>
      <c r="M476">
        <f>VLOOKUP(SUBSTITUTE(J476,"'",""),Sheet1!L:M,2,FALSE)</f>
        <v>61120</v>
      </c>
    </row>
    <row r="477" spans="1:13" ht="13.5" customHeight="1" x14ac:dyDescent="0.4">
      <c r="A477" s="1">
        <v>45767</v>
      </c>
      <c r="B477" t="s">
        <v>895</v>
      </c>
      <c r="C477">
        <v>9.9499999999999993</v>
      </c>
      <c r="D477" s="2" t="s">
        <v>1441</v>
      </c>
      <c r="E477" t="s">
        <v>895</v>
      </c>
      <c r="F477" s="2" t="s">
        <v>897</v>
      </c>
      <c r="G477" s="2" t="s">
        <v>898</v>
      </c>
      <c r="H477">
        <v>33337</v>
      </c>
      <c r="I477" t="s">
        <v>16</v>
      </c>
      <c r="J477" t="s">
        <v>1442</v>
      </c>
      <c r="K477" t="s">
        <v>321</v>
      </c>
      <c r="L477" t="s">
        <v>2047</v>
      </c>
      <c r="M477">
        <f>VLOOKUP(SUBSTITUTE(J477,"'",""),Sheet1!L:M,2,FALSE)</f>
        <v>61120</v>
      </c>
    </row>
    <row r="478" spans="1:13" ht="13.5" customHeight="1" x14ac:dyDescent="0.4">
      <c r="A478" s="1">
        <v>45767</v>
      </c>
      <c r="B478" t="s">
        <v>57</v>
      </c>
      <c r="C478">
        <v>19.14</v>
      </c>
      <c r="D478" s="2" t="s">
        <v>1443</v>
      </c>
      <c r="E478" t="s">
        <v>57</v>
      </c>
      <c r="F478" t="s">
        <v>59</v>
      </c>
      <c r="G478" s="2" t="s">
        <v>47</v>
      </c>
      <c r="H478">
        <v>12866</v>
      </c>
      <c r="I478" t="s">
        <v>16</v>
      </c>
      <c r="J478" t="s">
        <v>1444</v>
      </c>
      <c r="K478" t="s">
        <v>61</v>
      </c>
      <c r="L478" t="s">
        <v>2047</v>
      </c>
      <c r="M478">
        <f>VLOOKUP(SUBSTITUTE(J478,"'",""),Sheet1!L:M,2,FALSE)</f>
        <v>63100</v>
      </c>
    </row>
    <row r="479" spans="1:13" ht="13.5" customHeight="1" x14ac:dyDescent="0.4">
      <c r="A479" s="1">
        <v>45767</v>
      </c>
      <c r="B479" t="s">
        <v>4114</v>
      </c>
      <c r="C479">
        <v>7.27</v>
      </c>
      <c r="D479" s="2" t="s">
        <v>4115</v>
      </c>
      <c r="E479" t="s">
        <v>4114</v>
      </c>
      <c r="F479" t="s">
        <v>4116</v>
      </c>
      <c r="G479" s="2" t="s">
        <v>41</v>
      </c>
      <c r="H479">
        <v>10012</v>
      </c>
      <c r="I479" t="s">
        <v>16</v>
      </c>
      <c r="J479" t="s">
        <v>4117</v>
      </c>
      <c r="K479" t="s">
        <v>1218</v>
      </c>
      <c r="L479" t="s">
        <v>4673</v>
      </c>
      <c r="M479">
        <f>VLOOKUP(SUBSTITUTE(J479,"'",""),Sheet1!L:M,2,FALSE)</f>
        <v>54820</v>
      </c>
    </row>
    <row r="480" spans="1:13" ht="13.5" customHeight="1" x14ac:dyDescent="0.4">
      <c r="A480" s="1">
        <v>45767</v>
      </c>
      <c r="B480" t="s">
        <v>2240</v>
      </c>
      <c r="C480">
        <v>51.15</v>
      </c>
      <c r="D480" s="2" t="s">
        <v>4118</v>
      </c>
      <c r="E480" t="s">
        <v>2240</v>
      </c>
      <c r="F480" t="s">
        <v>2242</v>
      </c>
      <c r="G480" s="2" t="s">
        <v>41</v>
      </c>
      <c r="H480">
        <v>10003</v>
      </c>
      <c r="I480" t="s">
        <v>16</v>
      </c>
      <c r="J480" t="s">
        <v>4119</v>
      </c>
      <c r="K480" t="s">
        <v>1218</v>
      </c>
      <c r="L480" t="s">
        <v>4673</v>
      </c>
      <c r="M480">
        <f>VLOOKUP(SUBSTITUTE(J480,"'",""),Sheet1!L:M,2,FALSE)</f>
        <v>54820</v>
      </c>
    </row>
    <row r="481" spans="1:13" ht="13.5" customHeight="1" x14ac:dyDescent="0.4">
      <c r="A481" s="1">
        <v>45768</v>
      </c>
      <c r="B481" t="s">
        <v>4104</v>
      </c>
      <c r="C481">
        <v>15</v>
      </c>
      <c r="D481" s="2" t="s">
        <v>4105</v>
      </c>
      <c r="E481" t="s">
        <v>4104</v>
      </c>
      <c r="F481" t="s">
        <v>2091</v>
      </c>
      <c r="G481" s="2" t="s">
        <v>2092</v>
      </c>
      <c r="H481">
        <v>19934</v>
      </c>
      <c r="I481" t="s">
        <v>16</v>
      </c>
      <c r="J481" t="s">
        <v>4106</v>
      </c>
      <c r="K481" t="s">
        <v>56</v>
      </c>
      <c r="L481" t="s">
        <v>4673</v>
      </c>
      <c r="M481">
        <f>VLOOKUP(SUBSTITUTE(J481,"'",""),Sheet1!L:M,2,FALSE)</f>
        <v>64100</v>
      </c>
    </row>
    <row r="482" spans="1:13" ht="13.5" customHeight="1" x14ac:dyDescent="0.4">
      <c r="A482" s="1">
        <v>45768</v>
      </c>
      <c r="B482" t="s">
        <v>1426</v>
      </c>
      <c r="C482">
        <v>1856.4</v>
      </c>
      <c r="D482" s="2" t="s">
        <v>1427</v>
      </c>
      <c r="E482" t="s">
        <v>1426</v>
      </c>
      <c r="F482" t="s">
        <v>367</v>
      </c>
      <c r="G482" s="2" t="s">
        <v>35</v>
      </c>
      <c r="H482" t="s">
        <v>368</v>
      </c>
      <c r="I482" t="s">
        <v>16</v>
      </c>
      <c r="J482" t="s">
        <v>1428</v>
      </c>
      <c r="K482" t="s">
        <v>370</v>
      </c>
      <c r="L482" t="s">
        <v>2047</v>
      </c>
      <c r="M482">
        <f>VLOOKUP(SUBSTITUTE(J482,"'",""),Sheet1!L:M,2,FALSE)</f>
        <v>61100</v>
      </c>
    </row>
    <row r="483" spans="1:13" ht="13.5" customHeight="1" x14ac:dyDescent="0.4">
      <c r="A483" s="1">
        <v>45768</v>
      </c>
      <c r="B483" t="s">
        <v>4107</v>
      </c>
      <c r="C483">
        <v>82.01</v>
      </c>
      <c r="D483" s="2" t="s">
        <v>4108</v>
      </c>
      <c r="E483" t="s">
        <v>4107</v>
      </c>
      <c r="F483" t="s">
        <v>4072</v>
      </c>
      <c r="G483" s="2" t="s">
        <v>1342</v>
      </c>
      <c r="H483" t="s">
        <v>4109</v>
      </c>
      <c r="I483" t="s">
        <v>498</v>
      </c>
      <c r="J483" t="s">
        <v>4110</v>
      </c>
      <c r="K483" t="s">
        <v>4111</v>
      </c>
      <c r="L483" t="s">
        <v>4673</v>
      </c>
      <c r="M483">
        <f>VLOOKUP(SUBSTITUTE(J483,"'",""),Sheet1!L:M,2,FALSE)</f>
        <v>54820</v>
      </c>
    </row>
    <row r="484" spans="1:13" ht="13.5" customHeight="1" x14ac:dyDescent="0.4">
      <c r="A484" s="1">
        <v>45768</v>
      </c>
      <c r="B484" t="s">
        <v>1431</v>
      </c>
      <c r="C484">
        <v>1080</v>
      </c>
      <c r="D484" s="2" t="s">
        <v>1432</v>
      </c>
      <c r="E484" t="s">
        <v>1431</v>
      </c>
      <c r="F484" t="s">
        <v>1433</v>
      </c>
      <c r="G484" s="2" t="s">
        <v>41</v>
      </c>
      <c r="H484">
        <v>10013</v>
      </c>
      <c r="I484" t="s">
        <v>16</v>
      </c>
      <c r="J484" t="s">
        <v>1434</v>
      </c>
      <c r="K484" t="s">
        <v>126</v>
      </c>
      <c r="L484" t="s">
        <v>2047</v>
      </c>
      <c r="M484">
        <f>VLOOKUP(SUBSTITUTE(J484,"'",""),Sheet1!L:M,2,FALSE)</f>
        <v>61215</v>
      </c>
    </row>
    <row r="485" spans="1:13" ht="13.5" customHeight="1" x14ac:dyDescent="0.4">
      <c r="A485" s="1">
        <v>45768</v>
      </c>
      <c r="B485" t="s">
        <v>38</v>
      </c>
      <c r="C485">
        <v>931.67</v>
      </c>
      <c r="D485" s="2" t="s">
        <v>1429</v>
      </c>
      <c r="E485" t="s">
        <v>38</v>
      </c>
      <c r="F485" t="s">
        <v>40</v>
      </c>
      <c r="G485" s="2" t="s">
        <v>41</v>
      </c>
      <c r="H485">
        <v>10012</v>
      </c>
      <c r="I485" t="s">
        <v>16</v>
      </c>
      <c r="J485" t="s">
        <v>1430</v>
      </c>
      <c r="K485" t="s">
        <v>43</v>
      </c>
      <c r="L485" t="s">
        <v>2047</v>
      </c>
      <c r="M485">
        <f>VLOOKUP(SUBSTITUTE(J485,"'",""),Sheet1!L:M,2,FALSE)</f>
        <v>61131</v>
      </c>
    </row>
    <row r="486" spans="1:13" ht="13.5" customHeight="1" x14ac:dyDescent="0.4">
      <c r="A486" s="1">
        <v>45769</v>
      </c>
      <c r="B486" t="s">
        <v>213</v>
      </c>
      <c r="C486">
        <v>192.6</v>
      </c>
      <c r="D486" s="2" t="s">
        <v>1418</v>
      </c>
      <c r="E486" t="s">
        <v>213</v>
      </c>
      <c r="F486" s="2" t="s">
        <v>215</v>
      </c>
      <c r="G486" s="2" t="s">
        <v>216</v>
      </c>
      <c r="H486" s="3" t="s">
        <v>217</v>
      </c>
      <c r="I486" t="s">
        <v>16</v>
      </c>
      <c r="J486" t="s">
        <v>1419</v>
      </c>
      <c r="K486" t="s">
        <v>188</v>
      </c>
      <c r="L486" t="s">
        <v>2047</v>
      </c>
      <c r="M486">
        <f>VLOOKUP(SUBSTITUTE(J486,"'",""),Sheet1!L:M,2,FALSE)</f>
        <v>64100</v>
      </c>
    </row>
    <row r="487" spans="1:13" ht="13.5" customHeight="1" x14ac:dyDescent="0.4">
      <c r="A487" s="1">
        <v>45769</v>
      </c>
      <c r="B487" t="s">
        <v>32</v>
      </c>
      <c r="C487">
        <v>21.4</v>
      </c>
      <c r="D487" s="2" t="s">
        <v>1420</v>
      </c>
      <c r="E487" t="s">
        <v>32</v>
      </c>
      <c r="F487" s="2" t="s">
        <v>34</v>
      </c>
      <c r="G487" s="2" t="s">
        <v>35</v>
      </c>
      <c r="H487">
        <v>94110</v>
      </c>
      <c r="I487" t="s">
        <v>16</v>
      </c>
      <c r="J487" t="s">
        <v>1421</v>
      </c>
      <c r="K487" t="s">
        <v>37</v>
      </c>
      <c r="L487" t="s">
        <v>2047</v>
      </c>
      <c r="M487">
        <f>VLOOKUP(SUBSTITUTE(J487,"'",""),Sheet1!L:M,2,FALSE)</f>
        <v>64100</v>
      </c>
    </row>
    <row r="488" spans="1:13" ht="13.5" customHeight="1" x14ac:dyDescent="0.4">
      <c r="A488" s="1">
        <v>45769</v>
      </c>
      <c r="B488" t="s">
        <v>4100</v>
      </c>
      <c r="C488">
        <v>249.01</v>
      </c>
      <c r="D488" s="2" t="s">
        <v>4101</v>
      </c>
      <c r="E488" t="s">
        <v>4100</v>
      </c>
      <c r="F488" t="s">
        <v>4102</v>
      </c>
      <c r="G488" s="2" t="s">
        <v>41</v>
      </c>
      <c r="H488">
        <v>10012</v>
      </c>
      <c r="I488" t="s">
        <v>16</v>
      </c>
      <c r="J488" t="s">
        <v>4103</v>
      </c>
      <c r="K488" t="s">
        <v>37</v>
      </c>
      <c r="L488" t="s">
        <v>4673</v>
      </c>
      <c r="M488">
        <f>VLOOKUP(SUBSTITUTE(J488,"'",""),Sheet1!L:M,2,FALSE)</f>
        <v>54820</v>
      </c>
    </row>
    <row r="489" spans="1:13" ht="13.5" customHeight="1" x14ac:dyDescent="0.4">
      <c r="A489" s="1">
        <v>45769</v>
      </c>
      <c r="B489" t="s">
        <v>1422</v>
      </c>
      <c r="C489">
        <v>243.96</v>
      </c>
      <c r="D489" s="2" t="s">
        <v>1423</v>
      </c>
      <c r="E489" t="s">
        <v>1422</v>
      </c>
      <c r="F489" t="s">
        <v>1424</v>
      </c>
      <c r="G489" s="2" t="s">
        <v>35</v>
      </c>
      <c r="H489">
        <v>94158</v>
      </c>
      <c r="I489" t="s">
        <v>16</v>
      </c>
      <c r="J489" t="s">
        <v>1425</v>
      </c>
      <c r="K489" t="s">
        <v>18</v>
      </c>
      <c r="L489" t="s">
        <v>2047</v>
      </c>
      <c r="M489">
        <f>VLOOKUP(SUBSTITUTE(J489,"'",""),Sheet1!L:M,2,FALSE)</f>
        <v>64100</v>
      </c>
    </row>
    <row r="490" spans="1:13" ht="13.5" customHeight="1" x14ac:dyDescent="0.4">
      <c r="A490" s="1">
        <v>45770</v>
      </c>
      <c r="B490" t="s">
        <v>3866</v>
      </c>
      <c r="C490">
        <v>10.79</v>
      </c>
      <c r="D490" s="2" t="s">
        <v>4098</v>
      </c>
      <c r="E490" t="s">
        <v>3866</v>
      </c>
      <c r="F490" t="s">
        <v>3868</v>
      </c>
      <c r="G490" s="2" t="s">
        <v>41</v>
      </c>
      <c r="H490">
        <v>10003</v>
      </c>
      <c r="I490" t="s">
        <v>16</v>
      </c>
      <c r="J490" t="s">
        <v>4099</v>
      </c>
      <c r="K490" t="s">
        <v>126</v>
      </c>
      <c r="L490" t="s">
        <v>4673</v>
      </c>
      <c r="M490">
        <f>VLOOKUP(SUBSTITUTE(J490,"'",""),Sheet1!L:M,2,FALSE)</f>
        <v>54820</v>
      </c>
    </row>
    <row r="491" spans="1:13" ht="13.5" customHeight="1" x14ac:dyDescent="0.4">
      <c r="A491" s="1">
        <v>45770</v>
      </c>
      <c r="B491" t="s">
        <v>885</v>
      </c>
      <c r="C491">
        <v>72</v>
      </c>
      <c r="D491" s="2" t="s">
        <v>1416</v>
      </c>
      <c r="E491" t="s">
        <v>885</v>
      </c>
      <c r="F491" t="s">
        <v>108</v>
      </c>
      <c r="G491" s="2" t="s">
        <v>41</v>
      </c>
      <c r="H491">
        <v>10012</v>
      </c>
      <c r="I491" t="s">
        <v>16</v>
      </c>
      <c r="J491" t="s">
        <v>1417</v>
      </c>
      <c r="K491" t="s">
        <v>110</v>
      </c>
      <c r="L491" t="s">
        <v>2047</v>
      </c>
      <c r="M491">
        <f>VLOOKUP(SUBSTITUTE(J491,"'",""),Sheet1!L:M,2,FALSE)</f>
        <v>67500</v>
      </c>
    </row>
    <row r="492" spans="1:13" ht="13.5" customHeight="1" x14ac:dyDescent="0.4">
      <c r="A492" s="1">
        <v>45770</v>
      </c>
      <c r="B492" t="s">
        <v>1412</v>
      </c>
      <c r="C492">
        <v>650</v>
      </c>
      <c r="D492" s="2" t="s">
        <v>1413</v>
      </c>
      <c r="E492" t="s">
        <v>1412</v>
      </c>
      <c r="F492" s="2" t="s">
        <v>1414</v>
      </c>
      <c r="G492" s="2" t="s">
        <v>41</v>
      </c>
      <c r="H492">
        <v>10004</v>
      </c>
      <c r="I492" t="s">
        <v>16</v>
      </c>
      <c r="J492" t="s">
        <v>1415</v>
      </c>
      <c r="K492" t="s">
        <v>126</v>
      </c>
      <c r="L492" t="s">
        <v>2047</v>
      </c>
      <c r="M492">
        <f>VLOOKUP(SUBSTITUTE(J492,"'",""),Sheet1!L:M,2,FALSE)</f>
        <v>61215</v>
      </c>
    </row>
    <row r="493" spans="1:13" ht="13.5" customHeight="1" x14ac:dyDescent="0.4">
      <c r="A493" s="1">
        <v>45771</v>
      </c>
      <c r="B493" t="s">
        <v>478</v>
      </c>
      <c r="C493">
        <v>38.83</v>
      </c>
      <c r="D493" s="2" t="s">
        <v>1406</v>
      </c>
      <c r="E493" t="s">
        <v>480</v>
      </c>
      <c r="F493" s="2" t="s">
        <v>481</v>
      </c>
      <c r="G493" s="2" t="s">
        <v>35</v>
      </c>
      <c r="H493">
        <v>94103</v>
      </c>
      <c r="I493" t="s">
        <v>16</v>
      </c>
      <c r="J493" t="s">
        <v>1407</v>
      </c>
      <c r="K493" t="s">
        <v>483</v>
      </c>
      <c r="L493" t="s">
        <v>2047</v>
      </c>
      <c r="M493">
        <f>VLOOKUP(SUBSTITUTE(J493,"'",""),Sheet1!L:M,2,FALSE)</f>
        <v>61130</v>
      </c>
    </row>
    <row r="494" spans="1:13" ht="13.5" customHeight="1" x14ac:dyDescent="0.4">
      <c r="A494" s="1">
        <v>45771</v>
      </c>
      <c r="B494" t="s">
        <v>478</v>
      </c>
      <c r="C494">
        <v>70.510000000000005</v>
      </c>
      <c r="D494" s="2" t="s">
        <v>1410</v>
      </c>
      <c r="E494" t="s">
        <v>480</v>
      </c>
      <c r="F494" s="2" t="s">
        <v>481</v>
      </c>
      <c r="G494" s="2" t="s">
        <v>35</v>
      </c>
      <c r="H494">
        <v>94103</v>
      </c>
      <c r="I494" t="s">
        <v>16</v>
      </c>
      <c r="J494" t="s">
        <v>1411</v>
      </c>
      <c r="K494" t="s">
        <v>483</v>
      </c>
      <c r="L494" t="s">
        <v>2047</v>
      </c>
      <c r="M494">
        <f>VLOOKUP(SUBSTITUTE(J494,"'",""),Sheet1!L:M,2,FALSE)</f>
        <v>61130</v>
      </c>
    </row>
    <row r="495" spans="1:13" ht="13.5" customHeight="1" x14ac:dyDescent="0.4">
      <c r="A495" s="1">
        <v>45771</v>
      </c>
      <c r="B495" t="s">
        <v>478</v>
      </c>
      <c r="C495">
        <v>63.73</v>
      </c>
      <c r="D495" s="2" t="s">
        <v>1408</v>
      </c>
      <c r="E495" t="s">
        <v>480</v>
      </c>
      <c r="F495" s="2" t="s">
        <v>481</v>
      </c>
      <c r="G495" s="2" t="s">
        <v>35</v>
      </c>
      <c r="H495">
        <v>94103</v>
      </c>
      <c r="I495" t="s">
        <v>16</v>
      </c>
      <c r="J495" t="s">
        <v>1409</v>
      </c>
      <c r="K495" t="s">
        <v>483</v>
      </c>
      <c r="L495" t="s">
        <v>2047</v>
      </c>
      <c r="M495">
        <f>VLOOKUP(SUBSTITUTE(J495,"'",""),Sheet1!L:M,2,FALSE)</f>
        <v>61130</v>
      </c>
    </row>
    <row r="496" spans="1:13" ht="13.5" customHeight="1" x14ac:dyDescent="0.4">
      <c r="A496" s="1">
        <v>45771</v>
      </c>
      <c r="B496" t="s">
        <v>885</v>
      </c>
      <c r="C496">
        <v>77.760000000000005</v>
      </c>
      <c r="D496" s="2" t="s">
        <v>4096</v>
      </c>
      <c r="E496" t="s">
        <v>885</v>
      </c>
      <c r="F496" t="s">
        <v>108</v>
      </c>
      <c r="G496" s="2" t="s">
        <v>41</v>
      </c>
      <c r="H496">
        <v>10012</v>
      </c>
      <c r="I496" t="s">
        <v>16</v>
      </c>
      <c r="J496" t="s">
        <v>4097</v>
      </c>
      <c r="K496" t="s">
        <v>110</v>
      </c>
      <c r="L496" t="s">
        <v>4673</v>
      </c>
      <c r="M496">
        <f>VLOOKUP(SUBSTITUTE(J496,"'",""),Sheet1!L:M,2,FALSE)</f>
        <v>67500</v>
      </c>
    </row>
    <row r="497" spans="1:13" ht="13.5" customHeight="1" x14ac:dyDescent="0.4">
      <c r="A497" s="1">
        <v>45771</v>
      </c>
      <c r="B497" t="s">
        <v>977</v>
      </c>
      <c r="C497">
        <v>10</v>
      </c>
      <c r="D497" s="2" t="s">
        <v>4092</v>
      </c>
      <c r="E497" t="s">
        <v>977</v>
      </c>
      <c r="F497" s="2" t="s">
        <v>979</v>
      </c>
      <c r="G497" s="2" t="s">
        <v>980</v>
      </c>
      <c r="H497">
        <v>78259</v>
      </c>
      <c r="I497" t="s">
        <v>16</v>
      </c>
      <c r="J497" t="s">
        <v>4093</v>
      </c>
      <c r="K497" t="s">
        <v>164</v>
      </c>
      <c r="L497" t="s">
        <v>4673</v>
      </c>
      <c r="M497">
        <f>VLOOKUP(SUBSTITUTE(J497,"'",""),Sheet1!L:M,2,FALSE)</f>
        <v>54820</v>
      </c>
    </row>
    <row r="498" spans="1:13" ht="13.5" customHeight="1" x14ac:dyDescent="0.4">
      <c r="A498" s="1">
        <v>45771</v>
      </c>
      <c r="B498" t="s">
        <v>2142</v>
      </c>
      <c r="C498">
        <v>21.52</v>
      </c>
      <c r="D498" s="2" t="s">
        <v>4094</v>
      </c>
      <c r="E498" t="s">
        <v>2142</v>
      </c>
      <c r="F498" t="s">
        <v>2144</v>
      </c>
      <c r="G498" s="2" t="s">
        <v>41</v>
      </c>
      <c r="H498">
        <v>10012</v>
      </c>
      <c r="I498" t="s">
        <v>16</v>
      </c>
      <c r="J498" t="s">
        <v>4095</v>
      </c>
      <c r="K498" t="s">
        <v>1304</v>
      </c>
      <c r="L498" t="s">
        <v>4673</v>
      </c>
      <c r="M498">
        <f>VLOOKUP(SUBSTITUTE(J498,"'",""),Sheet1!L:M,2,FALSE)</f>
        <v>54820</v>
      </c>
    </row>
    <row r="499" spans="1:13" ht="13.5" customHeight="1" x14ac:dyDescent="0.4">
      <c r="A499" s="1">
        <v>45772</v>
      </c>
      <c r="B499" t="s">
        <v>134</v>
      </c>
      <c r="C499">
        <v>-7500</v>
      </c>
      <c r="D499" t="s">
        <v>134</v>
      </c>
      <c r="E499" t="s">
        <v>134</v>
      </c>
      <c r="J499" t="s">
        <v>1391</v>
      </c>
      <c r="L499" t="s">
        <v>2047</v>
      </c>
      <c r="M499" t="e">
        <f>VLOOKUP(SUBSTITUTE(J499,"'",""),Sheet1!L:M,2,FALSE)</f>
        <v>#N/A</v>
      </c>
    </row>
    <row r="500" spans="1:13" ht="13.5" customHeight="1" x14ac:dyDescent="0.4">
      <c r="A500" s="1">
        <v>45772</v>
      </c>
      <c r="B500" t="s">
        <v>478</v>
      </c>
      <c r="C500">
        <v>69.11</v>
      </c>
      <c r="D500" s="2" t="s">
        <v>1402</v>
      </c>
      <c r="E500" t="s">
        <v>480</v>
      </c>
      <c r="F500" s="2" t="s">
        <v>481</v>
      </c>
      <c r="G500" s="2" t="s">
        <v>35</v>
      </c>
      <c r="H500">
        <v>94103</v>
      </c>
      <c r="I500" t="s">
        <v>16</v>
      </c>
      <c r="J500" t="s">
        <v>1403</v>
      </c>
      <c r="K500" t="s">
        <v>483</v>
      </c>
      <c r="L500" t="s">
        <v>2047</v>
      </c>
      <c r="M500">
        <f>VLOOKUP(SUBSTITUTE(J500,"'",""),Sheet1!L:M,2,FALSE)</f>
        <v>61130</v>
      </c>
    </row>
    <row r="501" spans="1:13" ht="13.5" customHeight="1" x14ac:dyDescent="0.4">
      <c r="A501" s="1">
        <v>45772</v>
      </c>
      <c r="B501" t="s">
        <v>478</v>
      </c>
      <c r="C501">
        <v>49.77</v>
      </c>
      <c r="D501" s="2" t="s">
        <v>1398</v>
      </c>
      <c r="E501" t="s">
        <v>480</v>
      </c>
      <c r="F501" s="2" t="s">
        <v>481</v>
      </c>
      <c r="G501" s="2" t="s">
        <v>35</v>
      </c>
      <c r="H501">
        <v>94103</v>
      </c>
      <c r="I501" t="s">
        <v>16</v>
      </c>
      <c r="J501" t="s">
        <v>1399</v>
      </c>
      <c r="K501" t="s">
        <v>483</v>
      </c>
      <c r="L501" t="s">
        <v>2047</v>
      </c>
      <c r="M501">
        <f>VLOOKUP(SUBSTITUTE(J501,"'",""),Sheet1!L:M,2,FALSE)</f>
        <v>61130</v>
      </c>
    </row>
    <row r="502" spans="1:13" ht="13.5" customHeight="1" x14ac:dyDescent="0.4">
      <c r="A502" s="1">
        <v>45772</v>
      </c>
      <c r="B502" t="s">
        <v>478</v>
      </c>
      <c r="C502">
        <v>53.05</v>
      </c>
      <c r="D502" s="2" t="s">
        <v>1400</v>
      </c>
      <c r="E502" t="s">
        <v>480</v>
      </c>
      <c r="F502" s="2" t="s">
        <v>481</v>
      </c>
      <c r="G502" s="2" t="s">
        <v>35</v>
      </c>
      <c r="H502">
        <v>94103</v>
      </c>
      <c r="I502" t="s">
        <v>16</v>
      </c>
      <c r="J502" t="s">
        <v>1401</v>
      </c>
      <c r="K502" t="s">
        <v>483</v>
      </c>
      <c r="L502" t="s">
        <v>2047</v>
      </c>
      <c r="M502">
        <f>VLOOKUP(SUBSTITUTE(J502,"'",""),Sheet1!L:M,2,FALSE)</f>
        <v>61130</v>
      </c>
    </row>
    <row r="503" spans="1:13" ht="13.5" customHeight="1" x14ac:dyDescent="0.4">
      <c r="A503" s="1">
        <v>45772</v>
      </c>
      <c r="B503" t="s">
        <v>478</v>
      </c>
      <c r="C503">
        <v>48.8</v>
      </c>
      <c r="D503" s="2" t="s">
        <v>1396</v>
      </c>
      <c r="E503" t="s">
        <v>480</v>
      </c>
      <c r="F503" s="2" t="s">
        <v>481</v>
      </c>
      <c r="G503" s="2" t="s">
        <v>35</v>
      </c>
      <c r="H503">
        <v>94103</v>
      </c>
      <c r="I503" t="s">
        <v>16</v>
      </c>
      <c r="J503" t="s">
        <v>1397</v>
      </c>
      <c r="K503" t="s">
        <v>483</v>
      </c>
      <c r="L503" t="s">
        <v>2047</v>
      </c>
      <c r="M503">
        <f>VLOOKUP(SUBSTITUTE(J503,"'",""),Sheet1!L:M,2,FALSE)</f>
        <v>61130</v>
      </c>
    </row>
    <row r="504" spans="1:13" ht="13.5" customHeight="1" x14ac:dyDescent="0.4">
      <c r="A504" s="1">
        <v>45772</v>
      </c>
      <c r="B504" t="s">
        <v>478</v>
      </c>
      <c r="C504">
        <v>120.41</v>
      </c>
      <c r="D504" s="2" t="s">
        <v>1404</v>
      </c>
      <c r="E504" t="s">
        <v>480</v>
      </c>
      <c r="F504" s="2" t="s">
        <v>481</v>
      </c>
      <c r="G504" s="2" t="s">
        <v>35</v>
      </c>
      <c r="H504">
        <v>94103</v>
      </c>
      <c r="I504" t="s">
        <v>16</v>
      </c>
      <c r="J504" t="s">
        <v>1405</v>
      </c>
      <c r="K504" t="s">
        <v>483</v>
      </c>
      <c r="L504" t="s">
        <v>2047</v>
      </c>
      <c r="M504">
        <f>VLOOKUP(SUBSTITUTE(J504,"'",""),Sheet1!L:M,2,FALSE)</f>
        <v>61130</v>
      </c>
    </row>
    <row r="505" spans="1:13" ht="13.5" customHeight="1" x14ac:dyDescent="0.4">
      <c r="A505" s="1">
        <v>45772</v>
      </c>
      <c r="B505" t="s">
        <v>478</v>
      </c>
      <c r="C505">
        <v>18.059999999999999</v>
      </c>
      <c r="D505" s="2" t="s">
        <v>1394</v>
      </c>
      <c r="E505" t="s">
        <v>480</v>
      </c>
      <c r="F505" s="2" t="s">
        <v>481</v>
      </c>
      <c r="G505" s="2" t="s">
        <v>35</v>
      </c>
      <c r="H505">
        <v>94103</v>
      </c>
      <c r="I505" t="s">
        <v>16</v>
      </c>
      <c r="J505" t="s">
        <v>1395</v>
      </c>
      <c r="K505" t="s">
        <v>483</v>
      </c>
      <c r="L505" t="s">
        <v>2047</v>
      </c>
      <c r="M505">
        <f>VLOOKUP(SUBSTITUTE(J505,"'",""),Sheet1!L:M,2,FALSE)</f>
        <v>61130</v>
      </c>
    </row>
    <row r="506" spans="1:13" ht="13.5" customHeight="1" x14ac:dyDescent="0.4">
      <c r="A506" s="1">
        <v>45772</v>
      </c>
      <c r="B506" t="s">
        <v>1385</v>
      </c>
      <c r="C506">
        <v>19.670000000000002</v>
      </c>
      <c r="D506" s="2" t="s">
        <v>1386</v>
      </c>
      <c r="E506" t="s">
        <v>1385</v>
      </c>
      <c r="F506" s="2" t="s">
        <v>1387</v>
      </c>
      <c r="G506" s="2" t="s">
        <v>1388</v>
      </c>
      <c r="H506">
        <v>11430</v>
      </c>
      <c r="I506" t="s">
        <v>16</v>
      </c>
      <c r="J506" t="s">
        <v>1389</v>
      </c>
      <c r="K506" t="s">
        <v>1390</v>
      </c>
      <c r="L506" t="s">
        <v>2047</v>
      </c>
      <c r="M506">
        <f>VLOOKUP(SUBSTITUTE(J506,"'",""),Sheet1!L:M,2,FALSE)</f>
        <v>54820</v>
      </c>
    </row>
    <row r="507" spans="1:13" ht="13.5" customHeight="1" x14ac:dyDescent="0.4">
      <c r="A507" s="1">
        <v>45772</v>
      </c>
      <c r="B507" t="s">
        <v>222</v>
      </c>
      <c r="C507">
        <v>436.5</v>
      </c>
      <c r="D507" s="2" t="s">
        <v>1392</v>
      </c>
      <c r="E507" t="s">
        <v>222</v>
      </c>
      <c r="F507" t="s">
        <v>224</v>
      </c>
      <c r="G507" s="2" t="s">
        <v>35</v>
      </c>
      <c r="H507">
        <v>94104</v>
      </c>
      <c r="I507" t="s">
        <v>16</v>
      </c>
      <c r="J507" t="s">
        <v>1393</v>
      </c>
      <c r="K507" t="s">
        <v>37</v>
      </c>
      <c r="L507" t="s">
        <v>2047</v>
      </c>
      <c r="M507">
        <f>VLOOKUP(SUBSTITUTE(J507,"'",""),Sheet1!L:M,2,FALSE)</f>
        <v>64200</v>
      </c>
    </row>
    <row r="508" spans="1:13" ht="13.5" customHeight="1" x14ac:dyDescent="0.4">
      <c r="A508" s="1">
        <v>45772</v>
      </c>
      <c r="B508" t="s">
        <v>1380</v>
      </c>
      <c r="C508">
        <v>245.2</v>
      </c>
      <c r="D508" s="2" t="s">
        <v>1381</v>
      </c>
      <c r="E508" t="s">
        <v>1380</v>
      </c>
      <c r="F508" s="2" t="s">
        <v>1382</v>
      </c>
      <c r="G508" s="2" t="s">
        <v>1342</v>
      </c>
      <c r="H508" t="s">
        <v>1383</v>
      </c>
      <c r="I508" t="s">
        <v>498</v>
      </c>
      <c r="J508" t="s">
        <v>1384</v>
      </c>
      <c r="K508" t="s">
        <v>126</v>
      </c>
      <c r="L508" t="s">
        <v>2047</v>
      </c>
      <c r="M508">
        <f>VLOOKUP(SUBSTITUTE(J508,"'",""),Sheet1!L:M,2,FALSE)</f>
        <v>61215</v>
      </c>
    </row>
    <row r="509" spans="1:13" ht="13.5" customHeight="1" x14ac:dyDescent="0.4">
      <c r="A509" s="1">
        <v>45773</v>
      </c>
      <c r="B509" t="s">
        <v>1373</v>
      </c>
      <c r="C509">
        <v>80</v>
      </c>
      <c r="D509" s="2" t="s">
        <v>1374</v>
      </c>
      <c r="E509" t="s">
        <v>1373</v>
      </c>
      <c r="F509" s="2" t="s">
        <v>1375</v>
      </c>
      <c r="G509" s="2" t="s">
        <v>1376</v>
      </c>
      <c r="H509">
        <v>78731</v>
      </c>
      <c r="I509" t="s">
        <v>16</v>
      </c>
      <c r="J509" t="s">
        <v>1377</v>
      </c>
      <c r="K509" t="s">
        <v>370</v>
      </c>
      <c r="L509" t="s">
        <v>2047</v>
      </c>
      <c r="M509">
        <f>VLOOKUP(SUBSTITUTE(J509,"'",""),Sheet1!L:M,2,FALSE)</f>
        <v>54820</v>
      </c>
    </row>
    <row r="510" spans="1:13" ht="13.5" customHeight="1" x14ac:dyDescent="0.4">
      <c r="A510" s="1">
        <v>45773</v>
      </c>
      <c r="B510" t="s">
        <v>1370</v>
      </c>
      <c r="C510">
        <v>10.99</v>
      </c>
      <c r="D510" s="2" t="s">
        <v>1371</v>
      </c>
      <c r="E510" t="s">
        <v>1370</v>
      </c>
      <c r="F510" t="s">
        <v>13</v>
      </c>
      <c r="G510" s="2" t="s">
        <v>14</v>
      </c>
      <c r="H510" t="s">
        <v>15</v>
      </c>
      <c r="I510" t="s">
        <v>16</v>
      </c>
      <c r="J510" t="s">
        <v>1372</v>
      </c>
      <c r="K510" t="s">
        <v>18</v>
      </c>
      <c r="L510" t="s">
        <v>2047</v>
      </c>
      <c r="M510">
        <f>VLOOKUP(SUBSTITUTE(J510,"'",""),Sheet1!L:M,2,FALSE)</f>
        <v>54820</v>
      </c>
    </row>
    <row r="511" spans="1:13" ht="13.5" customHeight="1" x14ac:dyDescent="0.4">
      <c r="A511" s="1">
        <v>45773</v>
      </c>
      <c r="B511" t="s">
        <v>478</v>
      </c>
      <c r="C511">
        <v>249.92</v>
      </c>
      <c r="D511" s="2" t="s">
        <v>1378</v>
      </c>
      <c r="E511" t="s">
        <v>480</v>
      </c>
      <c r="F511" s="2" t="s">
        <v>481</v>
      </c>
      <c r="G511" s="2" t="s">
        <v>35</v>
      </c>
      <c r="H511">
        <v>94103</v>
      </c>
      <c r="I511" t="s">
        <v>16</v>
      </c>
      <c r="J511" t="s">
        <v>1379</v>
      </c>
      <c r="K511" t="s">
        <v>483</v>
      </c>
      <c r="L511" t="s">
        <v>2047</v>
      </c>
      <c r="M511">
        <f>VLOOKUP(SUBSTITUTE(J511,"'",""),Sheet1!L:M,2,FALSE)</f>
        <v>61130</v>
      </c>
    </row>
    <row r="512" spans="1:13" ht="13.5" customHeight="1" x14ac:dyDescent="0.4">
      <c r="A512" s="1">
        <v>45773</v>
      </c>
      <c r="B512" t="s">
        <v>4083</v>
      </c>
      <c r="C512">
        <v>535.34</v>
      </c>
      <c r="D512" s="2" t="s">
        <v>4084</v>
      </c>
      <c r="E512" t="s">
        <v>4083</v>
      </c>
      <c r="F512" s="2" t="s">
        <v>4085</v>
      </c>
      <c r="G512" s="2" t="s">
        <v>1342</v>
      </c>
      <c r="H512" t="s">
        <v>4050</v>
      </c>
      <c r="I512" t="s">
        <v>498</v>
      </c>
      <c r="J512" t="s">
        <v>4086</v>
      </c>
      <c r="K512" t="s">
        <v>2114</v>
      </c>
      <c r="L512" t="s">
        <v>4673</v>
      </c>
      <c r="M512">
        <f>VLOOKUP(SUBSTITUTE(J512,"'",""),Sheet1!L:M,2,FALSE)</f>
        <v>54820</v>
      </c>
    </row>
    <row r="513" spans="1:13" ht="13.5" customHeight="1" x14ac:dyDescent="0.4">
      <c r="A513" s="1">
        <v>45773</v>
      </c>
      <c r="B513" t="s">
        <v>4079</v>
      </c>
      <c r="C513">
        <v>236.64</v>
      </c>
      <c r="D513" s="2" t="s">
        <v>4080</v>
      </c>
      <c r="E513" t="s">
        <v>4079</v>
      </c>
      <c r="F513" s="2" t="s">
        <v>4081</v>
      </c>
      <c r="G513" s="2" t="s">
        <v>1342</v>
      </c>
      <c r="H513" t="s">
        <v>4050</v>
      </c>
      <c r="I513" t="s">
        <v>498</v>
      </c>
      <c r="J513" t="s">
        <v>4082</v>
      </c>
      <c r="K513" t="s">
        <v>2114</v>
      </c>
      <c r="L513" t="s">
        <v>4673</v>
      </c>
      <c r="M513">
        <f>VLOOKUP(SUBSTITUTE(J513,"'",""),Sheet1!L:M,2,FALSE)</f>
        <v>54820</v>
      </c>
    </row>
    <row r="514" spans="1:13" ht="13.5" customHeight="1" x14ac:dyDescent="0.4">
      <c r="A514" s="1">
        <v>45773</v>
      </c>
      <c r="B514" t="s">
        <v>4087</v>
      </c>
      <c r="C514">
        <v>90.26</v>
      </c>
      <c r="D514" s="2" t="s">
        <v>4088</v>
      </c>
      <c r="E514" t="s">
        <v>4087</v>
      </c>
      <c r="F514" t="s">
        <v>4089</v>
      </c>
      <c r="G514" s="2" t="s">
        <v>1342</v>
      </c>
      <c r="H514" t="s">
        <v>4090</v>
      </c>
      <c r="I514" t="s">
        <v>498</v>
      </c>
      <c r="J514" t="s">
        <v>4091</v>
      </c>
      <c r="K514" t="s">
        <v>2114</v>
      </c>
      <c r="L514" t="s">
        <v>4673</v>
      </c>
      <c r="M514">
        <f>VLOOKUP(SUBSTITUTE(J514,"'",""),Sheet1!L:M,2,FALSE)</f>
        <v>54820</v>
      </c>
    </row>
    <row r="515" spans="1:13" ht="13.5" customHeight="1" x14ac:dyDescent="0.4">
      <c r="A515" s="1">
        <v>45773</v>
      </c>
      <c r="B515" t="s">
        <v>1792</v>
      </c>
      <c r="C515">
        <v>16.05</v>
      </c>
      <c r="D515" s="2" t="s">
        <v>4077</v>
      </c>
      <c r="E515" t="s">
        <v>1792</v>
      </c>
      <c r="F515" t="s">
        <v>1794</v>
      </c>
      <c r="G515" s="2" t="s">
        <v>35</v>
      </c>
      <c r="H515">
        <v>94105</v>
      </c>
      <c r="I515" t="s">
        <v>16</v>
      </c>
      <c r="J515" t="s">
        <v>4078</v>
      </c>
      <c r="K515" t="s">
        <v>37</v>
      </c>
      <c r="L515" t="s">
        <v>4673</v>
      </c>
      <c r="M515">
        <f>VLOOKUP(SUBSTITUTE(J515,"'",""),Sheet1!L:M,2,FALSE)</f>
        <v>64100</v>
      </c>
    </row>
    <row r="516" spans="1:13" ht="13.5" customHeight="1" x14ac:dyDescent="0.4">
      <c r="A516" s="1">
        <v>45774</v>
      </c>
      <c r="B516" t="s">
        <v>4070</v>
      </c>
      <c r="C516">
        <v>6.12</v>
      </c>
      <c r="D516" s="2" t="s">
        <v>4071</v>
      </c>
      <c r="E516" t="s">
        <v>4070</v>
      </c>
      <c r="F516" t="s">
        <v>4072</v>
      </c>
      <c r="G516" s="2" t="s">
        <v>1342</v>
      </c>
      <c r="H516" t="s">
        <v>4073</v>
      </c>
      <c r="I516" t="s">
        <v>498</v>
      </c>
      <c r="J516" t="s">
        <v>4074</v>
      </c>
      <c r="K516" t="s">
        <v>2710</v>
      </c>
      <c r="L516" t="s">
        <v>4673</v>
      </c>
      <c r="M516">
        <f>VLOOKUP(SUBSTITUTE(J516,"'",""),Sheet1!L:M,2,FALSE)</f>
        <v>54820</v>
      </c>
    </row>
    <row r="517" spans="1:13" ht="13.5" customHeight="1" x14ac:dyDescent="0.4">
      <c r="A517" s="1">
        <v>45774</v>
      </c>
      <c r="B517" t="s">
        <v>4070</v>
      </c>
      <c r="C517">
        <v>7.34</v>
      </c>
      <c r="D517" s="2" t="s">
        <v>4075</v>
      </c>
      <c r="E517" t="s">
        <v>4070</v>
      </c>
      <c r="F517" t="s">
        <v>4072</v>
      </c>
      <c r="G517" s="2" t="s">
        <v>1342</v>
      </c>
      <c r="H517" t="s">
        <v>4073</v>
      </c>
      <c r="I517" t="s">
        <v>498</v>
      </c>
      <c r="J517" t="s">
        <v>4076</v>
      </c>
      <c r="K517" t="s">
        <v>2710</v>
      </c>
      <c r="L517" t="s">
        <v>4673</v>
      </c>
      <c r="M517">
        <f>VLOOKUP(SUBSTITUTE(J517,"'",""),Sheet1!L:M,2,FALSE)</f>
        <v>54820</v>
      </c>
    </row>
    <row r="518" spans="1:13" ht="13.5" customHeight="1" x14ac:dyDescent="0.4">
      <c r="A518" s="1">
        <v>45774</v>
      </c>
      <c r="B518" t="s">
        <v>4065</v>
      </c>
      <c r="C518">
        <v>32.82</v>
      </c>
      <c r="D518" s="2" t="s">
        <v>4066</v>
      </c>
      <c r="E518" t="s">
        <v>4065</v>
      </c>
      <c r="F518" t="s">
        <v>4067</v>
      </c>
      <c r="G518" s="2" t="s">
        <v>1342</v>
      </c>
      <c r="H518" t="s">
        <v>4068</v>
      </c>
      <c r="I518" t="s">
        <v>498</v>
      </c>
      <c r="J518" t="s">
        <v>4069</v>
      </c>
      <c r="K518" t="s">
        <v>370</v>
      </c>
      <c r="L518" t="s">
        <v>4673</v>
      </c>
      <c r="M518">
        <f>VLOOKUP(SUBSTITUTE(J518,"'",""),Sheet1!L:M,2,FALSE)</f>
        <v>54820</v>
      </c>
    </row>
    <row r="519" spans="1:13" ht="13.5" customHeight="1" x14ac:dyDescent="0.4">
      <c r="A519" s="1">
        <v>45774</v>
      </c>
      <c r="B519" t="s">
        <v>1365</v>
      </c>
      <c r="C519">
        <v>270.8</v>
      </c>
      <c r="D519" s="2" t="s">
        <v>1366</v>
      </c>
      <c r="E519" t="s">
        <v>1365</v>
      </c>
      <c r="F519" t="s">
        <v>1367</v>
      </c>
      <c r="G519" s="2" t="s">
        <v>1342</v>
      </c>
      <c r="H519" t="s">
        <v>1368</v>
      </c>
      <c r="I519" t="s">
        <v>498</v>
      </c>
      <c r="J519" t="s">
        <v>1369</v>
      </c>
      <c r="K519" t="s">
        <v>126</v>
      </c>
      <c r="L519" t="s">
        <v>2047</v>
      </c>
      <c r="M519">
        <f>VLOOKUP(SUBSTITUTE(J519,"'",""),Sheet1!L:M,2,FALSE)</f>
        <v>61215</v>
      </c>
    </row>
    <row r="520" spans="1:13" ht="13.5" customHeight="1" x14ac:dyDescent="0.4">
      <c r="A520" s="1">
        <v>45775</v>
      </c>
      <c r="B520" t="s">
        <v>22</v>
      </c>
      <c r="C520">
        <v>-5000</v>
      </c>
      <c r="D520" t="s">
        <v>22</v>
      </c>
      <c r="E520" t="s">
        <v>22</v>
      </c>
      <c r="J520" t="s">
        <v>4064</v>
      </c>
      <c r="L520" t="s">
        <v>4673</v>
      </c>
      <c r="M520" t="e">
        <f>VLOOKUP(SUBSTITUTE(J520,"'",""),Sheet1!L:M,2,FALSE)</f>
        <v>#N/A</v>
      </c>
    </row>
    <row r="521" spans="1:13" ht="13.5" customHeight="1" x14ac:dyDescent="0.4">
      <c r="A521" s="1">
        <v>45775</v>
      </c>
      <c r="B521" t="s">
        <v>22</v>
      </c>
      <c r="C521">
        <v>-5000</v>
      </c>
      <c r="D521" t="s">
        <v>22</v>
      </c>
      <c r="E521" t="s">
        <v>22</v>
      </c>
      <c r="J521" t="s">
        <v>1360</v>
      </c>
      <c r="L521" t="s">
        <v>2047</v>
      </c>
      <c r="M521" t="e">
        <f>VLOOKUP(SUBSTITUTE(J521,"'",""),Sheet1!L:M,2,FALSE)</f>
        <v>#N/A</v>
      </c>
    </row>
    <row r="522" spans="1:13" ht="13.5" customHeight="1" x14ac:dyDescent="0.4">
      <c r="A522" s="1">
        <v>45775</v>
      </c>
      <c r="B522" t="s">
        <v>478</v>
      </c>
      <c r="C522">
        <v>30.58</v>
      </c>
      <c r="D522" s="2" t="s">
        <v>1363</v>
      </c>
      <c r="E522" t="s">
        <v>480</v>
      </c>
      <c r="F522" s="2" t="s">
        <v>481</v>
      </c>
      <c r="G522" s="2" t="s">
        <v>35</v>
      </c>
      <c r="H522">
        <v>94103</v>
      </c>
      <c r="I522" t="s">
        <v>16</v>
      </c>
      <c r="J522" t="s">
        <v>1364</v>
      </c>
      <c r="K522" t="s">
        <v>483</v>
      </c>
      <c r="L522" t="s">
        <v>2047</v>
      </c>
      <c r="M522">
        <f>VLOOKUP(SUBSTITUTE(J522,"'",""),Sheet1!L:M,2,FALSE)</f>
        <v>61130</v>
      </c>
    </row>
    <row r="523" spans="1:13" ht="13.5" customHeight="1" x14ac:dyDescent="0.4">
      <c r="A523" s="1">
        <v>45775</v>
      </c>
      <c r="B523" t="s">
        <v>478</v>
      </c>
      <c r="C523">
        <v>29.47</v>
      </c>
      <c r="D523" s="2" t="s">
        <v>1361</v>
      </c>
      <c r="E523" t="s">
        <v>480</v>
      </c>
      <c r="F523" s="2" t="s">
        <v>481</v>
      </c>
      <c r="G523" s="2" t="s">
        <v>35</v>
      </c>
      <c r="H523">
        <v>94103</v>
      </c>
      <c r="I523" t="s">
        <v>16</v>
      </c>
      <c r="J523" t="s">
        <v>1362</v>
      </c>
      <c r="K523" t="s">
        <v>483</v>
      </c>
      <c r="L523" t="s">
        <v>2047</v>
      </c>
      <c r="M523">
        <f>VLOOKUP(SUBSTITUTE(J523,"'",""),Sheet1!L:M,2,FALSE)</f>
        <v>61130</v>
      </c>
    </row>
    <row r="524" spans="1:13" ht="13.5" customHeight="1" x14ac:dyDescent="0.4">
      <c r="A524" s="1">
        <v>45775</v>
      </c>
      <c r="B524" t="s">
        <v>1355</v>
      </c>
      <c r="C524">
        <v>1036.9000000000001</v>
      </c>
      <c r="D524" s="2" t="s">
        <v>1356</v>
      </c>
      <c r="E524" t="s">
        <v>1355</v>
      </c>
      <c r="F524" s="2" t="s">
        <v>1357</v>
      </c>
      <c r="G524" s="2" t="s">
        <v>1342</v>
      </c>
      <c r="H524" t="s">
        <v>1358</v>
      </c>
      <c r="I524" t="s">
        <v>498</v>
      </c>
      <c r="J524" t="s">
        <v>1359</v>
      </c>
      <c r="K524" t="s">
        <v>126</v>
      </c>
      <c r="L524" t="s">
        <v>2047</v>
      </c>
      <c r="M524">
        <f>VLOOKUP(SUBSTITUTE(J524,"'",""),Sheet1!L:M,2,FALSE)</f>
        <v>61215</v>
      </c>
    </row>
    <row r="525" spans="1:13" ht="13.5" customHeight="1" x14ac:dyDescent="0.4">
      <c r="A525" s="1">
        <v>45776</v>
      </c>
      <c r="B525" t="s">
        <v>478</v>
      </c>
      <c r="C525">
        <v>18.559999999999999</v>
      </c>
      <c r="D525" s="2" t="s">
        <v>1351</v>
      </c>
      <c r="E525" t="s">
        <v>480</v>
      </c>
      <c r="F525" s="2" t="s">
        <v>481</v>
      </c>
      <c r="G525" s="2" t="s">
        <v>35</v>
      </c>
      <c r="H525">
        <v>94103</v>
      </c>
      <c r="I525" t="s">
        <v>16</v>
      </c>
      <c r="J525" t="s">
        <v>1352</v>
      </c>
      <c r="K525" t="s">
        <v>483</v>
      </c>
      <c r="L525" t="s">
        <v>2047</v>
      </c>
      <c r="M525">
        <f>VLOOKUP(SUBSTITUTE(J525,"'",""),Sheet1!L:M,2,FALSE)</f>
        <v>61130</v>
      </c>
    </row>
    <row r="526" spans="1:13" ht="13.5" customHeight="1" x14ac:dyDescent="0.4">
      <c r="A526" s="1">
        <v>45776</v>
      </c>
      <c r="B526" t="s">
        <v>478</v>
      </c>
      <c r="C526">
        <v>25.79</v>
      </c>
      <c r="D526" s="2" t="s">
        <v>1353</v>
      </c>
      <c r="E526" t="s">
        <v>480</v>
      </c>
      <c r="F526" s="2" t="s">
        <v>481</v>
      </c>
      <c r="G526" s="2" t="s">
        <v>35</v>
      </c>
      <c r="H526">
        <v>94103</v>
      </c>
      <c r="I526" t="s">
        <v>16</v>
      </c>
      <c r="J526" t="s">
        <v>1354</v>
      </c>
      <c r="K526" t="s">
        <v>483</v>
      </c>
      <c r="L526" t="s">
        <v>2047</v>
      </c>
      <c r="M526">
        <f>VLOOKUP(SUBSTITUTE(J526,"'",""),Sheet1!L:M,2,FALSE)</f>
        <v>61130</v>
      </c>
    </row>
    <row r="527" spans="1:13" ht="13.5" customHeight="1" x14ac:dyDescent="0.4">
      <c r="A527" s="1">
        <v>45776</v>
      </c>
      <c r="B527" t="s">
        <v>4047</v>
      </c>
      <c r="C527">
        <v>115.3</v>
      </c>
      <c r="D527" s="2" t="s">
        <v>4048</v>
      </c>
      <c r="E527" t="s">
        <v>4047</v>
      </c>
      <c r="F527" s="2" t="s">
        <v>4049</v>
      </c>
      <c r="G527" s="2" t="s">
        <v>1342</v>
      </c>
      <c r="H527" t="s">
        <v>4050</v>
      </c>
      <c r="I527" t="s">
        <v>498</v>
      </c>
      <c r="J527" t="s">
        <v>4051</v>
      </c>
      <c r="K527" t="s">
        <v>2114</v>
      </c>
      <c r="L527" t="s">
        <v>4673</v>
      </c>
      <c r="M527">
        <f>VLOOKUP(SUBSTITUTE(J527,"'",""),Sheet1!L:M,2,FALSE)</f>
        <v>54820</v>
      </c>
    </row>
    <row r="528" spans="1:13" ht="13.5" customHeight="1" x14ac:dyDescent="0.4">
      <c r="A528" s="1">
        <v>45776</v>
      </c>
      <c r="B528" t="s">
        <v>4061</v>
      </c>
      <c r="C528">
        <v>168.43</v>
      </c>
      <c r="D528" s="2" t="s">
        <v>4062</v>
      </c>
      <c r="E528" t="s">
        <v>4061</v>
      </c>
      <c r="F528" t="s">
        <v>4059</v>
      </c>
      <c r="G528" s="2" t="s">
        <v>1342</v>
      </c>
      <c r="H528" t="s">
        <v>4050</v>
      </c>
      <c r="I528" t="s">
        <v>498</v>
      </c>
      <c r="J528" t="s">
        <v>4063</v>
      </c>
      <c r="K528" t="s">
        <v>2114</v>
      </c>
      <c r="L528" t="s">
        <v>4673</v>
      </c>
      <c r="M528">
        <f>VLOOKUP(SUBSTITUTE(J528,"'",""),Sheet1!L:M,2,FALSE)</f>
        <v>54820</v>
      </c>
    </row>
    <row r="529" spans="1:13" ht="13.5" customHeight="1" x14ac:dyDescent="0.4">
      <c r="A529" s="1">
        <v>45776</v>
      </c>
      <c r="B529" t="s">
        <v>4057</v>
      </c>
      <c r="C529">
        <v>5.55</v>
      </c>
      <c r="D529" s="2" t="s">
        <v>4058</v>
      </c>
      <c r="E529" t="s">
        <v>4057</v>
      </c>
      <c r="F529" t="s">
        <v>4059</v>
      </c>
      <c r="G529" s="2" t="s">
        <v>1342</v>
      </c>
      <c r="H529" t="s">
        <v>4050</v>
      </c>
      <c r="I529" t="s">
        <v>498</v>
      </c>
      <c r="J529" t="s">
        <v>4060</v>
      </c>
      <c r="K529" t="s">
        <v>1218</v>
      </c>
      <c r="L529" t="s">
        <v>4673</v>
      </c>
      <c r="M529">
        <f>VLOOKUP(SUBSTITUTE(J529,"'",""),Sheet1!L:M,2,FALSE)</f>
        <v>54820</v>
      </c>
    </row>
    <row r="530" spans="1:13" ht="13.5" customHeight="1" x14ac:dyDescent="0.4">
      <c r="A530" s="1">
        <v>45776</v>
      </c>
      <c r="B530" t="s">
        <v>4052</v>
      </c>
      <c r="C530">
        <v>41.2</v>
      </c>
      <c r="D530" s="2" t="s">
        <v>4053</v>
      </c>
      <c r="E530" t="s">
        <v>4052</v>
      </c>
      <c r="F530" s="2" t="s">
        <v>4054</v>
      </c>
      <c r="G530" s="2" t="s">
        <v>1342</v>
      </c>
      <c r="H530" t="s">
        <v>4055</v>
      </c>
      <c r="I530" t="s">
        <v>498</v>
      </c>
      <c r="J530" t="s">
        <v>4056</v>
      </c>
      <c r="K530" t="s">
        <v>2114</v>
      </c>
      <c r="L530" t="s">
        <v>4673</v>
      </c>
      <c r="M530">
        <f>VLOOKUP(SUBSTITUTE(J530,"'",""),Sheet1!L:M,2,FALSE)</f>
        <v>54820</v>
      </c>
    </row>
    <row r="531" spans="1:13" ht="13.5" customHeight="1" x14ac:dyDescent="0.4">
      <c r="A531" s="1">
        <v>45777</v>
      </c>
      <c r="B531" t="s">
        <v>478</v>
      </c>
      <c r="C531">
        <v>120.67</v>
      </c>
      <c r="D531" s="2" t="s">
        <v>1349</v>
      </c>
      <c r="E531" t="s">
        <v>480</v>
      </c>
      <c r="F531" s="2" t="s">
        <v>481</v>
      </c>
      <c r="G531" s="2" t="s">
        <v>35</v>
      </c>
      <c r="H531">
        <v>94103</v>
      </c>
      <c r="I531" t="s">
        <v>16</v>
      </c>
      <c r="J531" t="s">
        <v>1350</v>
      </c>
      <c r="K531" t="s">
        <v>483</v>
      </c>
      <c r="L531" t="s">
        <v>2047</v>
      </c>
      <c r="M531">
        <f>VLOOKUP(SUBSTITUTE(J531,"'",""),Sheet1!L:M,2,FALSE)</f>
        <v>61130</v>
      </c>
    </row>
    <row r="532" spans="1:13" ht="13.5" customHeight="1" x14ac:dyDescent="0.4">
      <c r="A532" s="1">
        <v>45777</v>
      </c>
      <c r="B532" t="s">
        <v>4042</v>
      </c>
      <c r="C532">
        <v>9.23</v>
      </c>
      <c r="D532" s="2" t="s">
        <v>4043</v>
      </c>
      <c r="E532" t="s">
        <v>4042</v>
      </c>
      <c r="F532" t="s">
        <v>4044</v>
      </c>
      <c r="G532" s="2" t="s">
        <v>1342</v>
      </c>
      <c r="H532" t="s">
        <v>4045</v>
      </c>
      <c r="I532" t="s">
        <v>498</v>
      </c>
      <c r="J532" t="s">
        <v>4046</v>
      </c>
      <c r="K532" t="s">
        <v>305</v>
      </c>
      <c r="L532" t="s">
        <v>4673</v>
      </c>
      <c r="M532">
        <f>VLOOKUP(SUBSTITUTE(J532,"'",""),Sheet1!L:M,2,FALSE)</f>
        <v>54820</v>
      </c>
    </row>
    <row r="533" spans="1:13" ht="13.5" customHeight="1" x14ac:dyDescent="0.4">
      <c r="A533" s="1">
        <v>45777</v>
      </c>
      <c r="B533" t="s">
        <v>4036</v>
      </c>
      <c r="C533">
        <v>103.48</v>
      </c>
      <c r="D533" s="2" t="s">
        <v>4037</v>
      </c>
      <c r="E533" t="s">
        <v>4036</v>
      </c>
      <c r="F533" t="s">
        <v>4038</v>
      </c>
      <c r="G533" s="2" t="s">
        <v>4039</v>
      </c>
      <c r="H533" t="s">
        <v>4040</v>
      </c>
      <c r="I533" t="s">
        <v>498</v>
      </c>
      <c r="J533" t="s">
        <v>4041</v>
      </c>
      <c r="K533" t="s">
        <v>126</v>
      </c>
      <c r="L533" t="s">
        <v>4673</v>
      </c>
      <c r="M533">
        <f>VLOOKUP(SUBSTITUTE(J533,"'",""),Sheet1!L:M,2,FALSE)</f>
        <v>54820</v>
      </c>
    </row>
    <row r="534" spans="1:13" ht="13.5" customHeight="1" x14ac:dyDescent="0.4">
      <c r="A534" s="1">
        <v>45777</v>
      </c>
      <c r="B534" t="s">
        <v>4032</v>
      </c>
      <c r="C534">
        <v>5.57</v>
      </c>
      <c r="D534" s="2" t="s">
        <v>4033</v>
      </c>
      <c r="E534" t="s">
        <v>4032</v>
      </c>
      <c r="F534" t="s">
        <v>4034</v>
      </c>
      <c r="G534" s="2" t="s">
        <v>35</v>
      </c>
      <c r="H534">
        <v>94107</v>
      </c>
      <c r="I534" t="s">
        <v>16</v>
      </c>
      <c r="J534" t="s">
        <v>4035</v>
      </c>
      <c r="K534" t="s">
        <v>483</v>
      </c>
      <c r="L534" t="s">
        <v>4673</v>
      </c>
      <c r="M534">
        <f>VLOOKUP(SUBSTITUTE(J534,"'",""),Sheet1!L:M,2,FALSE)</f>
        <v>54820</v>
      </c>
    </row>
    <row r="535" spans="1:13" ht="13.5" customHeight="1" x14ac:dyDescent="0.4">
      <c r="A535" s="1">
        <v>45778</v>
      </c>
      <c r="B535" t="s">
        <v>213</v>
      </c>
      <c r="C535">
        <v>21.4</v>
      </c>
      <c r="D535" s="2" t="s">
        <v>1326</v>
      </c>
      <c r="E535" t="s">
        <v>213</v>
      </c>
      <c r="F535" s="2" t="s">
        <v>215</v>
      </c>
      <c r="G535" s="2" t="s">
        <v>216</v>
      </c>
      <c r="H535" s="3" t="s">
        <v>217</v>
      </c>
      <c r="I535" t="s">
        <v>16</v>
      </c>
      <c r="J535" t="s">
        <v>1327</v>
      </c>
      <c r="K535" t="s">
        <v>188</v>
      </c>
      <c r="L535" t="s">
        <v>2047</v>
      </c>
      <c r="M535">
        <f>VLOOKUP(SUBSTITUTE(J535,"'",""),Sheet1!L:M,2,FALSE)</f>
        <v>64100</v>
      </c>
    </row>
    <row r="536" spans="1:13" ht="13.5" customHeight="1" x14ac:dyDescent="0.4">
      <c r="A536" s="1">
        <v>45778</v>
      </c>
      <c r="B536" t="s">
        <v>478</v>
      </c>
      <c r="C536">
        <v>222.02</v>
      </c>
      <c r="D536" s="2" t="s">
        <v>1335</v>
      </c>
      <c r="E536" t="s">
        <v>480</v>
      </c>
      <c r="F536" s="2" t="s">
        <v>481</v>
      </c>
      <c r="G536" s="2" t="s">
        <v>35</v>
      </c>
      <c r="H536">
        <v>94103</v>
      </c>
      <c r="I536" t="s">
        <v>16</v>
      </c>
      <c r="J536" t="s">
        <v>1336</v>
      </c>
      <c r="K536" t="s">
        <v>483</v>
      </c>
      <c r="L536" t="s">
        <v>2047</v>
      </c>
      <c r="M536">
        <f>VLOOKUP(SUBSTITUTE(J536,"'",""),Sheet1!L:M,2,FALSE)</f>
        <v>61130</v>
      </c>
    </row>
    <row r="537" spans="1:13" ht="13.5" customHeight="1" x14ac:dyDescent="0.4">
      <c r="A537" s="1">
        <v>45778</v>
      </c>
      <c r="B537" t="s">
        <v>1339</v>
      </c>
      <c r="C537">
        <v>22.92</v>
      </c>
      <c r="D537" s="2" t="s">
        <v>1340</v>
      </c>
      <c r="E537" t="s">
        <v>1339</v>
      </c>
      <c r="F537" t="s">
        <v>1341</v>
      </c>
      <c r="G537" s="2" t="s">
        <v>1342</v>
      </c>
      <c r="H537" t="s">
        <v>1343</v>
      </c>
      <c r="I537" t="s">
        <v>498</v>
      </c>
      <c r="J537" t="s">
        <v>1344</v>
      </c>
      <c r="K537" t="s">
        <v>500</v>
      </c>
      <c r="L537" t="s">
        <v>2047</v>
      </c>
      <c r="M537">
        <f>VLOOKUP(SUBSTITUTE(J537,"'",""),Sheet1!L:M,2,FALSE)</f>
        <v>61110</v>
      </c>
    </row>
    <row r="538" spans="1:13" ht="13.5" customHeight="1" x14ac:dyDescent="0.4">
      <c r="A538" s="1">
        <v>45778</v>
      </c>
      <c r="B538" t="s">
        <v>234</v>
      </c>
      <c r="C538">
        <v>226.6</v>
      </c>
      <c r="D538" s="2" t="s">
        <v>1337</v>
      </c>
      <c r="E538" t="s">
        <v>236</v>
      </c>
      <c r="F538" t="s">
        <v>237</v>
      </c>
      <c r="G538" s="2" t="s">
        <v>238</v>
      </c>
      <c r="H538" t="s">
        <v>239</v>
      </c>
      <c r="I538" t="s">
        <v>16</v>
      </c>
      <c r="J538" t="s">
        <v>1338</v>
      </c>
      <c r="K538" t="s">
        <v>90</v>
      </c>
      <c r="L538" t="s">
        <v>2047</v>
      </c>
      <c r="M538">
        <f>VLOOKUP(SUBSTITUTE(J538,"'",""),Sheet1!L:M,2,FALSE)</f>
        <v>65700</v>
      </c>
    </row>
    <row r="539" spans="1:13" ht="13.5" customHeight="1" x14ac:dyDescent="0.4">
      <c r="A539" s="1">
        <v>45778</v>
      </c>
      <c r="B539" t="s">
        <v>1339</v>
      </c>
      <c r="C539">
        <v>4871.5600000000004</v>
      </c>
      <c r="D539" s="2" t="s">
        <v>1347</v>
      </c>
      <c r="E539" t="s">
        <v>1339</v>
      </c>
      <c r="F539" t="s">
        <v>1341</v>
      </c>
      <c r="G539" s="2" t="s">
        <v>1342</v>
      </c>
      <c r="H539" t="s">
        <v>1343</v>
      </c>
      <c r="I539" t="s">
        <v>498</v>
      </c>
      <c r="J539" t="s">
        <v>1348</v>
      </c>
      <c r="K539" t="s">
        <v>500</v>
      </c>
      <c r="L539" t="s">
        <v>2047</v>
      </c>
      <c r="M539">
        <f>VLOOKUP(SUBSTITUTE(J539,"'",""),Sheet1!L:M,2,FALSE)</f>
        <v>61110</v>
      </c>
    </row>
    <row r="540" spans="1:13" ht="13.5" customHeight="1" x14ac:dyDescent="0.4">
      <c r="A540" s="1">
        <v>45778</v>
      </c>
      <c r="B540" t="s">
        <v>1339</v>
      </c>
      <c r="C540">
        <v>28.98</v>
      </c>
      <c r="D540" s="2" t="s">
        <v>1345</v>
      </c>
      <c r="E540" t="s">
        <v>1339</v>
      </c>
      <c r="F540" t="s">
        <v>1341</v>
      </c>
      <c r="G540" s="2" t="s">
        <v>1342</v>
      </c>
      <c r="H540" t="s">
        <v>1343</v>
      </c>
      <c r="I540" t="s">
        <v>498</v>
      </c>
      <c r="J540" t="s">
        <v>1346</v>
      </c>
      <c r="K540" t="s">
        <v>500</v>
      </c>
      <c r="L540" t="s">
        <v>2047</v>
      </c>
      <c r="M540">
        <f>VLOOKUP(SUBSTITUTE(J540,"'",""),Sheet1!L:M,2,FALSE)</f>
        <v>61110</v>
      </c>
    </row>
    <row r="541" spans="1:13" ht="13.5" customHeight="1" x14ac:dyDescent="0.4">
      <c r="A541" s="1">
        <v>45778</v>
      </c>
      <c r="B541" t="s">
        <v>1328</v>
      </c>
      <c r="C541">
        <v>750</v>
      </c>
      <c r="D541" s="2" t="s">
        <v>1329</v>
      </c>
      <c r="E541" t="s">
        <v>1328</v>
      </c>
      <c r="F541" t="s">
        <v>1330</v>
      </c>
      <c r="G541" s="2" t="s">
        <v>1331</v>
      </c>
      <c r="H541" s="3" t="s">
        <v>1332</v>
      </c>
      <c r="I541" t="s">
        <v>16</v>
      </c>
      <c r="J541" t="s">
        <v>1333</v>
      </c>
      <c r="K541" t="s">
        <v>1334</v>
      </c>
      <c r="L541" t="s">
        <v>2047</v>
      </c>
      <c r="M541">
        <f>VLOOKUP(SUBSTITUTE(J541,"'",""),Sheet1!L:M,2,FALSE)</f>
        <v>65505</v>
      </c>
    </row>
    <row r="542" spans="1:13" ht="13.5" customHeight="1" x14ac:dyDescent="0.4">
      <c r="A542" s="1">
        <v>45778</v>
      </c>
      <c r="B542" t="s">
        <v>2429</v>
      </c>
      <c r="C542">
        <v>1540.61</v>
      </c>
      <c r="D542" s="2" t="s">
        <v>4026</v>
      </c>
      <c r="E542" t="s">
        <v>2429</v>
      </c>
      <c r="F542" t="s">
        <v>13</v>
      </c>
      <c r="G542" s="2" t="s">
        <v>14</v>
      </c>
      <c r="H542">
        <v>98101</v>
      </c>
      <c r="I542" t="s">
        <v>16</v>
      </c>
      <c r="J542" t="s">
        <v>4027</v>
      </c>
      <c r="K542" t="s">
        <v>18</v>
      </c>
      <c r="L542" t="s">
        <v>4673</v>
      </c>
      <c r="M542">
        <f>VLOOKUP(SUBSTITUTE(J542,"'",""),Sheet1!L:M,2,FALSE)</f>
        <v>64101</v>
      </c>
    </row>
    <row r="543" spans="1:13" ht="13.5" customHeight="1" x14ac:dyDescent="0.4">
      <c r="A543" s="1">
        <v>45778</v>
      </c>
      <c r="B543" t="s">
        <v>2340</v>
      </c>
      <c r="C543">
        <v>16.96</v>
      </c>
      <c r="D543" s="2" t="s">
        <v>4030</v>
      </c>
      <c r="E543" t="s">
        <v>2340</v>
      </c>
      <c r="F543" s="2" t="s">
        <v>2342</v>
      </c>
      <c r="G543" s="2" t="s">
        <v>14</v>
      </c>
      <c r="H543">
        <v>98119</v>
      </c>
      <c r="I543" t="s">
        <v>16</v>
      </c>
      <c r="J543" t="s">
        <v>4031</v>
      </c>
      <c r="K543" t="s">
        <v>96</v>
      </c>
      <c r="L543" t="s">
        <v>4673</v>
      </c>
      <c r="M543">
        <f>VLOOKUP(SUBSTITUTE(J543,"'",""),Sheet1!L:M,2,FALSE)</f>
        <v>65700</v>
      </c>
    </row>
    <row r="544" spans="1:13" ht="13.5" customHeight="1" x14ac:dyDescent="0.4">
      <c r="A544" s="1">
        <v>45778</v>
      </c>
      <c r="B544" t="s">
        <v>3499</v>
      </c>
      <c r="C544">
        <v>385.42</v>
      </c>
      <c r="D544" s="2" t="s">
        <v>4028</v>
      </c>
      <c r="E544" t="s">
        <v>3499</v>
      </c>
      <c r="F544" s="2" t="s">
        <v>3501</v>
      </c>
      <c r="G544" s="2" t="s">
        <v>2786</v>
      </c>
      <c r="H544">
        <v>10016</v>
      </c>
      <c r="I544" t="s">
        <v>16</v>
      </c>
      <c r="J544" t="s">
        <v>4029</v>
      </c>
      <c r="K544" t="s">
        <v>110</v>
      </c>
      <c r="L544" t="s">
        <v>4673</v>
      </c>
      <c r="M544">
        <f>VLOOKUP(SUBSTITUTE(J544,"'",""),Sheet1!L:M,2,FALSE)</f>
        <v>67500</v>
      </c>
    </row>
    <row r="545" spans="1:13" ht="13.5" customHeight="1" x14ac:dyDescent="0.4">
      <c r="A545" s="1">
        <v>45779</v>
      </c>
      <c r="B545" t="s">
        <v>478</v>
      </c>
      <c r="C545">
        <v>40.26</v>
      </c>
      <c r="D545" s="2" t="s">
        <v>1324</v>
      </c>
      <c r="E545" t="s">
        <v>480</v>
      </c>
      <c r="F545" s="2" t="s">
        <v>481</v>
      </c>
      <c r="G545" s="2" t="s">
        <v>35</v>
      </c>
      <c r="H545">
        <v>94103</v>
      </c>
      <c r="I545" t="s">
        <v>16</v>
      </c>
      <c r="J545" t="s">
        <v>1325</v>
      </c>
      <c r="K545" t="s">
        <v>483</v>
      </c>
      <c r="L545" t="s">
        <v>2047</v>
      </c>
      <c r="M545">
        <f>VLOOKUP(SUBSTITUTE(J545,"'",""),Sheet1!L:M,2,FALSE)</f>
        <v>61130</v>
      </c>
    </row>
    <row r="546" spans="1:13" ht="13.5" customHeight="1" x14ac:dyDescent="0.4">
      <c r="A546" s="1">
        <v>45779</v>
      </c>
      <c r="B546" t="s">
        <v>885</v>
      </c>
      <c r="C546">
        <v>48.83</v>
      </c>
      <c r="D546" s="2" t="s">
        <v>4022</v>
      </c>
      <c r="E546" t="s">
        <v>885</v>
      </c>
      <c r="F546" t="s">
        <v>108</v>
      </c>
      <c r="G546" s="2" t="s">
        <v>41</v>
      </c>
      <c r="H546">
        <v>10012</v>
      </c>
      <c r="I546" t="s">
        <v>16</v>
      </c>
      <c r="J546" t="s">
        <v>4023</v>
      </c>
      <c r="K546" t="s">
        <v>110</v>
      </c>
      <c r="L546" t="s">
        <v>4673</v>
      </c>
      <c r="M546">
        <f>VLOOKUP(SUBSTITUTE(J546,"'",""),Sheet1!L:M,2,FALSE)</f>
        <v>67500</v>
      </c>
    </row>
    <row r="547" spans="1:13" ht="13.5" customHeight="1" x14ac:dyDescent="0.4">
      <c r="A547" s="1">
        <v>45779</v>
      </c>
      <c r="B547" t="s">
        <v>1316</v>
      </c>
      <c r="C547">
        <v>148.59</v>
      </c>
      <c r="D547" s="2" t="s">
        <v>1317</v>
      </c>
      <c r="E547" t="s">
        <v>1316</v>
      </c>
      <c r="F547" s="2" t="s">
        <v>1318</v>
      </c>
      <c r="G547" s="2" t="s">
        <v>1319</v>
      </c>
      <c r="H547">
        <v>94103</v>
      </c>
      <c r="I547" t="s">
        <v>16</v>
      </c>
      <c r="J547" t="s">
        <v>1320</v>
      </c>
      <c r="K547" t="s">
        <v>126</v>
      </c>
      <c r="L547" t="s">
        <v>2047</v>
      </c>
      <c r="M547">
        <f>VLOOKUP(SUBSTITUTE(J547,"'",""),Sheet1!L:M,2,FALSE)</f>
        <v>54820</v>
      </c>
    </row>
    <row r="548" spans="1:13" ht="13.5" customHeight="1" x14ac:dyDescent="0.4">
      <c r="A548" s="1">
        <v>45779</v>
      </c>
      <c r="B548" t="s">
        <v>1321</v>
      </c>
      <c r="C548">
        <v>22.55</v>
      </c>
      <c r="D548" s="2" t="s">
        <v>1322</v>
      </c>
      <c r="E548" t="s">
        <v>1321</v>
      </c>
      <c r="F548" s="2" t="s">
        <v>1318</v>
      </c>
      <c r="G548" s="2" t="s">
        <v>1319</v>
      </c>
      <c r="H548">
        <v>94103</v>
      </c>
      <c r="I548" t="s">
        <v>16</v>
      </c>
      <c r="J548" t="s">
        <v>1323</v>
      </c>
      <c r="K548" t="s">
        <v>126</v>
      </c>
      <c r="L548" t="s">
        <v>2047</v>
      </c>
      <c r="M548">
        <f>VLOOKUP(SUBSTITUTE(J548,"'",""),Sheet1!L:M,2,FALSE)</f>
        <v>61130</v>
      </c>
    </row>
    <row r="549" spans="1:13" ht="13.5" customHeight="1" x14ac:dyDescent="0.4">
      <c r="A549" s="1">
        <v>45779</v>
      </c>
      <c r="B549" t="s">
        <v>222</v>
      </c>
      <c r="C549">
        <v>79</v>
      </c>
      <c r="D549" s="2" t="s">
        <v>1314</v>
      </c>
      <c r="E549" t="s">
        <v>222</v>
      </c>
      <c r="F549" t="s">
        <v>224</v>
      </c>
      <c r="G549" s="2" t="s">
        <v>35</v>
      </c>
      <c r="H549">
        <v>94104</v>
      </c>
      <c r="I549" t="s">
        <v>16</v>
      </c>
      <c r="J549" t="s">
        <v>1315</v>
      </c>
      <c r="K549" t="s">
        <v>37</v>
      </c>
      <c r="L549" t="s">
        <v>2047</v>
      </c>
      <c r="M549">
        <f>VLOOKUP(SUBSTITUTE(J549,"'",""),Sheet1!L:M,2,FALSE)</f>
        <v>64200</v>
      </c>
    </row>
    <row r="550" spans="1:13" ht="13.5" customHeight="1" x14ac:dyDescent="0.4">
      <c r="A550" s="1">
        <v>45779</v>
      </c>
      <c r="B550" t="s">
        <v>2240</v>
      </c>
      <c r="C550">
        <v>93.61</v>
      </c>
      <c r="D550" s="2" t="s">
        <v>4024</v>
      </c>
      <c r="E550" t="s">
        <v>2240</v>
      </c>
      <c r="F550" t="s">
        <v>2242</v>
      </c>
      <c r="G550" s="2" t="s">
        <v>41</v>
      </c>
      <c r="H550">
        <v>10003</v>
      </c>
      <c r="I550" t="s">
        <v>16</v>
      </c>
      <c r="J550" t="s">
        <v>4025</v>
      </c>
      <c r="K550" t="s">
        <v>1218</v>
      </c>
      <c r="L550" t="s">
        <v>4673</v>
      </c>
      <c r="M550">
        <f>VLOOKUP(SUBSTITUTE(J550,"'",""),Sheet1!L:M,2,FALSE)</f>
        <v>54820</v>
      </c>
    </row>
    <row r="551" spans="1:13" ht="13.5" customHeight="1" x14ac:dyDescent="0.4">
      <c r="A551" s="1">
        <v>45779</v>
      </c>
      <c r="B551" t="s">
        <v>2146</v>
      </c>
      <c r="C551">
        <v>41.72</v>
      </c>
      <c r="D551" s="2" t="s">
        <v>4020</v>
      </c>
      <c r="E551" t="s">
        <v>2146</v>
      </c>
      <c r="F551" t="s">
        <v>2148</v>
      </c>
      <c r="G551" s="2" t="s">
        <v>2149</v>
      </c>
      <c r="H551" s="3" t="s">
        <v>2150</v>
      </c>
      <c r="I551" t="s">
        <v>16</v>
      </c>
      <c r="J551" t="s">
        <v>4021</v>
      </c>
      <c r="K551" t="s">
        <v>1904</v>
      </c>
      <c r="L551" t="s">
        <v>4673</v>
      </c>
      <c r="M551">
        <f>VLOOKUP(SUBSTITUTE(J551,"'",""),Sheet1!L:M,2,FALSE)</f>
        <v>67500</v>
      </c>
    </row>
    <row r="552" spans="1:13" ht="13.5" customHeight="1" x14ac:dyDescent="0.4">
      <c r="A552" s="1">
        <v>45780</v>
      </c>
      <c r="B552" t="s">
        <v>22</v>
      </c>
      <c r="C552">
        <v>-2500</v>
      </c>
      <c r="D552" t="s">
        <v>22</v>
      </c>
      <c r="E552" t="s">
        <v>22</v>
      </c>
      <c r="J552" t="s">
        <v>4014</v>
      </c>
      <c r="L552" t="s">
        <v>4673</v>
      </c>
      <c r="M552" t="e">
        <f>VLOOKUP(SUBSTITUTE(J552,"'",""),Sheet1!L:M,2,FALSE)</f>
        <v>#N/A</v>
      </c>
    </row>
    <row r="553" spans="1:13" ht="13.5" customHeight="1" x14ac:dyDescent="0.4">
      <c r="A553" s="1">
        <v>45780</v>
      </c>
      <c r="B553" t="s">
        <v>22</v>
      </c>
      <c r="C553">
        <v>-3000</v>
      </c>
      <c r="D553" t="s">
        <v>22</v>
      </c>
      <c r="E553" t="s">
        <v>22</v>
      </c>
      <c r="J553" t="s">
        <v>1309</v>
      </c>
      <c r="L553" t="s">
        <v>2047</v>
      </c>
      <c r="M553" t="e">
        <f>VLOOKUP(SUBSTITUTE(J553,"'",""),Sheet1!L:M,2,FALSE)</f>
        <v>#N/A</v>
      </c>
    </row>
    <row r="554" spans="1:13" ht="13.5" customHeight="1" x14ac:dyDescent="0.4">
      <c r="A554" s="1">
        <v>45780</v>
      </c>
      <c r="B554" t="s">
        <v>977</v>
      </c>
      <c r="C554">
        <v>20</v>
      </c>
      <c r="D554" s="2" t="s">
        <v>4007</v>
      </c>
      <c r="E554" t="s">
        <v>977</v>
      </c>
      <c r="F554" s="2" t="s">
        <v>979</v>
      </c>
      <c r="G554" s="2" t="s">
        <v>980</v>
      </c>
      <c r="H554">
        <v>78259</v>
      </c>
      <c r="I554" t="s">
        <v>16</v>
      </c>
      <c r="J554" t="s">
        <v>4008</v>
      </c>
      <c r="K554" t="s">
        <v>164</v>
      </c>
      <c r="L554" t="s">
        <v>4673</v>
      </c>
      <c r="M554">
        <f>VLOOKUP(SUBSTITUTE(J554,"'",""),Sheet1!L:M,2,FALSE)</f>
        <v>54820</v>
      </c>
    </row>
    <row r="555" spans="1:13" ht="13.5" customHeight="1" x14ac:dyDescent="0.4">
      <c r="A555" s="1">
        <v>45780</v>
      </c>
      <c r="B555" t="s">
        <v>478</v>
      </c>
      <c r="C555">
        <v>37.869999999999997</v>
      </c>
      <c r="D555" s="2" t="s">
        <v>1310</v>
      </c>
      <c r="E555" t="s">
        <v>480</v>
      </c>
      <c r="F555" s="2" t="s">
        <v>481</v>
      </c>
      <c r="G555" s="2" t="s">
        <v>35</v>
      </c>
      <c r="H555">
        <v>94103</v>
      </c>
      <c r="I555" t="s">
        <v>16</v>
      </c>
      <c r="J555" t="s">
        <v>1311</v>
      </c>
      <c r="K555" t="s">
        <v>483</v>
      </c>
      <c r="L555" t="s">
        <v>2047</v>
      </c>
      <c r="M555">
        <f>VLOOKUP(SUBSTITUTE(J555,"'",""),Sheet1!L:M,2,FALSE)</f>
        <v>61130</v>
      </c>
    </row>
    <row r="556" spans="1:13" ht="13.5" customHeight="1" x14ac:dyDescent="0.4">
      <c r="A556" s="1">
        <v>45780</v>
      </c>
      <c r="B556" t="s">
        <v>153</v>
      </c>
      <c r="C556">
        <v>25.84</v>
      </c>
      <c r="D556" s="2" t="s">
        <v>1307</v>
      </c>
      <c r="E556" t="s">
        <v>153</v>
      </c>
      <c r="F556" t="s">
        <v>155</v>
      </c>
      <c r="G556" s="2" t="s">
        <v>156</v>
      </c>
      <c r="H556">
        <v>98052</v>
      </c>
      <c r="I556" t="s">
        <v>16</v>
      </c>
      <c r="J556" t="s">
        <v>1308</v>
      </c>
      <c r="K556" t="s">
        <v>96</v>
      </c>
      <c r="L556" t="s">
        <v>2047</v>
      </c>
      <c r="M556">
        <f>VLOOKUP(SUBSTITUTE(J556,"'",""),Sheet1!L:M,2,FALSE)</f>
        <v>64100</v>
      </c>
    </row>
    <row r="557" spans="1:13" ht="13.5" customHeight="1" x14ac:dyDescent="0.4">
      <c r="A557" s="1">
        <v>45780</v>
      </c>
      <c r="B557" t="s">
        <v>478</v>
      </c>
      <c r="C557">
        <v>42.13</v>
      </c>
      <c r="D557" s="2" t="s">
        <v>1312</v>
      </c>
      <c r="E557" t="s">
        <v>480</v>
      </c>
      <c r="F557" s="2" t="s">
        <v>481</v>
      </c>
      <c r="G557" s="2" t="s">
        <v>35</v>
      </c>
      <c r="H557">
        <v>94103</v>
      </c>
      <c r="I557" t="s">
        <v>16</v>
      </c>
      <c r="J557" t="s">
        <v>1313</v>
      </c>
      <c r="K557" t="s">
        <v>483</v>
      </c>
      <c r="L557" t="s">
        <v>2047</v>
      </c>
      <c r="M557">
        <f>VLOOKUP(SUBSTITUTE(J557,"'",""),Sheet1!L:M,2,FALSE)</f>
        <v>61130</v>
      </c>
    </row>
    <row r="558" spans="1:13" ht="13.5" customHeight="1" x14ac:dyDescent="0.4">
      <c r="A558" s="1">
        <v>45780</v>
      </c>
      <c r="B558" t="s">
        <v>2400</v>
      </c>
      <c r="C558">
        <v>21.39</v>
      </c>
      <c r="D558" s="2" t="s">
        <v>2401</v>
      </c>
      <c r="E558" t="s">
        <v>2400</v>
      </c>
      <c r="F558" t="s">
        <v>2402</v>
      </c>
      <c r="G558" s="2" t="s">
        <v>41</v>
      </c>
      <c r="H558">
        <v>10019</v>
      </c>
      <c r="I558" t="s">
        <v>16</v>
      </c>
      <c r="J558" t="s">
        <v>4009</v>
      </c>
      <c r="K558" t="s">
        <v>110</v>
      </c>
      <c r="L558" t="s">
        <v>4673</v>
      </c>
      <c r="M558">
        <f>VLOOKUP(SUBSTITUTE(J558,"'",""),Sheet1!L:M,2,FALSE)</f>
        <v>67500</v>
      </c>
    </row>
    <row r="559" spans="1:13" ht="13.5" customHeight="1" x14ac:dyDescent="0.4">
      <c r="A559" s="1">
        <v>45780</v>
      </c>
      <c r="B559" t="s">
        <v>327</v>
      </c>
      <c r="C559">
        <v>21.15</v>
      </c>
      <c r="D559" s="2" t="s">
        <v>1305</v>
      </c>
      <c r="E559" t="s">
        <v>327</v>
      </c>
      <c r="F559" t="s">
        <v>29</v>
      </c>
      <c r="G559" t="e">
        <f>-
NY</f>
        <v>#NAME?</v>
      </c>
      <c r="H559">
        <v>11577</v>
      </c>
      <c r="I559" t="s">
        <v>16</v>
      </c>
      <c r="J559" t="s">
        <v>1306</v>
      </c>
      <c r="K559" t="s">
        <v>31</v>
      </c>
      <c r="L559" t="s">
        <v>2047</v>
      </c>
      <c r="M559">
        <f>VLOOKUP(SUBSTITUTE(J559,"'",""),Sheet1!L:M,2,FALSE)</f>
        <v>61131</v>
      </c>
    </row>
    <row r="560" spans="1:13" ht="13.5" customHeight="1" x14ac:dyDescent="0.4">
      <c r="A560" s="1">
        <v>45780</v>
      </c>
      <c r="B560" t="s">
        <v>1300</v>
      </c>
      <c r="C560">
        <v>228.2</v>
      </c>
      <c r="D560" s="2" t="s">
        <v>1301</v>
      </c>
      <c r="E560" t="s">
        <v>1300</v>
      </c>
      <c r="F560" t="s">
        <v>1302</v>
      </c>
      <c r="G560" s="2" t="s">
        <v>41</v>
      </c>
      <c r="H560">
        <v>10003</v>
      </c>
      <c r="I560" t="s">
        <v>16</v>
      </c>
      <c r="J560" t="s">
        <v>1303</v>
      </c>
      <c r="K560" t="s">
        <v>1304</v>
      </c>
      <c r="L560" t="s">
        <v>2047</v>
      </c>
      <c r="M560">
        <f>VLOOKUP(SUBSTITUTE(J560,"'",""),Sheet1!L:M,2,FALSE)</f>
        <v>54820</v>
      </c>
    </row>
    <row r="561" spans="1:13" ht="13.5" customHeight="1" x14ac:dyDescent="0.4">
      <c r="A561" s="1">
        <v>45780</v>
      </c>
      <c r="B561" t="s">
        <v>2670</v>
      </c>
      <c r="C561">
        <v>355.3</v>
      </c>
      <c r="D561" s="2" t="s">
        <v>4005</v>
      </c>
      <c r="E561" t="s">
        <v>2670</v>
      </c>
      <c r="F561" s="2" t="s">
        <v>2672</v>
      </c>
      <c r="G561" s="2" t="s">
        <v>41</v>
      </c>
      <c r="H561" t="s">
        <v>2673</v>
      </c>
      <c r="I561" t="s">
        <v>16</v>
      </c>
      <c r="J561" t="s">
        <v>4006</v>
      </c>
      <c r="K561" t="s">
        <v>110</v>
      </c>
      <c r="L561" t="s">
        <v>4673</v>
      </c>
      <c r="M561">
        <f>VLOOKUP(SUBSTITUTE(J561,"'",""),Sheet1!L:M,2,FALSE)</f>
        <v>54820</v>
      </c>
    </row>
    <row r="562" spans="1:13" ht="13.5" customHeight="1" x14ac:dyDescent="0.4">
      <c r="A562" s="1">
        <v>45780</v>
      </c>
      <c r="B562" t="s">
        <v>4015</v>
      </c>
      <c r="C562">
        <v>37.17</v>
      </c>
      <c r="D562" s="2" t="s">
        <v>4016</v>
      </c>
      <c r="E562" t="s">
        <v>4015</v>
      </c>
      <c r="F562" t="s">
        <v>4017</v>
      </c>
      <c r="G562" s="2" t="s">
        <v>41</v>
      </c>
      <c r="H562" t="s">
        <v>4018</v>
      </c>
      <c r="I562" t="s">
        <v>16</v>
      </c>
      <c r="J562" t="s">
        <v>4019</v>
      </c>
      <c r="K562" t="s">
        <v>126</v>
      </c>
      <c r="L562" t="s">
        <v>4673</v>
      </c>
      <c r="M562">
        <f>VLOOKUP(SUBSTITUTE(J562,"'",""),Sheet1!L:M,2,FALSE)</f>
        <v>54820</v>
      </c>
    </row>
    <row r="563" spans="1:13" ht="13.5" customHeight="1" x14ac:dyDescent="0.4">
      <c r="A563" s="1">
        <v>45780</v>
      </c>
      <c r="B563" t="s">
        <v>4010</v>
      </c>
      <c r="C563">
        <v>9.0500000000000007</v>
      </c>
      <c r="D563" s="2" t="s">
        <v>4011</v>
      </c>
      <c r="E563" t="s">
        <v>4010</v>
      </c>
      <c r="F563" t="s">
        <v>4012</v>
      </c>
      <c r="G563" s="2" t="s">
        <v>41</v>
      </c>
      <c r="H563">
        <v>10012</v>
      </c>
      <c r="I563" t="s">
        <v>16</v>
      </c>
      <c r="J563" t="s">
        <v>4013</v>
      </c>
      <c r="K563" t="s">
        <v>1218</v>
      </c>
      <c r="L563" t="s">
        <v>4673</v>
      </c>
      <c r="M563">
        <f>VLOOKUP(SUBSTITUTE(J563,"'",""),Sheet1!L:M,2,FALSE)</f>
        <v>54820</v>
      </c>
    </row>
    <row r="564" spans="1:13" ht="13.5" customHeight="1" x14ac:dyDescent="0.4">
      <c r="A564" s="1">
        <v>45781</v>
      </c>
      <c r="B564" t="s">
        <v>196</v>
      </c>
      <c r="C564">
        <v>7.99</v>
      </c>
      <c r="D564" s="2" t="s">
        <v>197</v>
      </c>
      <c r="E564" t="s">
        <v>196</v>
      </c>
      <c r="F564" t="s">
        <v>198</v>
      </c>
      <c r="G564" s="2" t="s">
        <v>199</v>
      </c>
      <c r="H564">
        <v>91608</v>
      </c>
      <c r="I564" t="s">
        <v>16</v>
      </c>
      <c r="J564" t="s">
        <v>1299</v>
      </c>
      <c r="K564" t="s">
        <v>201</v>
      </c>
      <c r="L564" t="s">
        <v>2047</v>
      </c>
      <c r="M564">
        <f>VLOOKUP(SUBSTITUTE(J564,"'",""),Sheet1!L:M,2,FALSE)</f>
        <v>54820</v>
      </c>
    </row>
    <row r="565" spans="1:13" ht="13.5" customHeight="1" x14ac:dyDescent="0.4">
      <c r="A565" s="1">
        <v>45781</v>
      </c>
      <c r="B565" t="s">
        <v>2393</v>
      </c>
      <c r="C565">
        <v>9.9499999999999993</v>
      </c>
      <c r="D565" s="2" t="s">
        <v>3999</v>
      </c>
      <c r="E565" t="s">
        <v>2393</v>
      </c>
      <c r="F565" s="2" t="s">
        <v>2395</v>
      </c>
      <c r="G565" s="2" t="s">
        <v>2396</v>
      </c>
      <c r="H565">
        <v>55331</v>
      </c>
      <c r="I565" t="s">
        <v>16</v>
      </c>
      <c r="J565" t="s">
        <v>4000</v>
      </c>
      <c r="K565" t="s">
        <v>37</v>
      </c>
      <c r="L565" t="s">
        <v>4673</v>
      </c>
      <c r="M565">
        <f>VLOOKUP(SUBSTITUTE(J565,"'",""),Sheet1!L:M,2,FALSE)</f>
        <v>54820</v>
      </c>
    </row>
    <row r="566" spans="1:13" ht="13.5" customHeight="1" x14ac:dyDescent="0.4">
      <c r="A566" s="1">
        <v>45781</v>
      </c>
      <c r="B566" t="s">
        <v>153</v>
      </c>
      <c r="C566">
        <v>25.84</v>
      </c>
      <c r="D566" s="2" t="s">
        <v>1297</v>
      </c>
      <c r="E566" t="s">
        <v>153</v>
      </c>
      <c r="F566" t="s">
        <v>155</v>
      </c>
      <c r="G566" s="2" t="s">
        <v>156</v>
      </c>
      <c r="H566">
        <v>98052</v>
      </c>
      <c r="I566" t="s">
        <v>16</v>
      </c>
      <c r="J566" t="s">
        <v>1298</v>
      </c>
      <c r="K566" t="s">
        <v>96</v>
      </c>
      <c r="L566" t="s">
        <v>2047</v>
      </c>
      <c r="M566">
        <f>VLOOKUP(SUBSTITUTE(J566,"'",""),Sheet1!L:M,2,FALSE)</f>
        <v>64100</v>
      </c>
    </row>
    <row r="567" spans="1:13" ht="13.5" customHeight="1" x14ac:dyDescent="0.4">
      <c r="A567" s="1">
        <v>45781</v>
      </c>
      <c r="B567" t="s">
        <v>165</v>
      </c>
      <c r="C567">
        <v>25.68</v>
      </c>
      <c r="D567" s="2" t="s">
        <v>3987</v>
      </c>
      <c r="E567" t="s">
        <v>165</v>
      </c>
      <c r="F567" s="2" t="s">
        <v>167</v>
      </c>
      <c r="G567" s="2" t="s">
        <v>87</v>
      </c>
      <c r="H567">
        <v>75202</v>
      </c>
      <c r="I567" t="s">
        <v>16</v>
      </c>
      <c r="J567" t="s">
        <v>3988</v>
      </c>
      <c r="K567" t="s">
        <v>96</v>
      </c>
      <c r="L567" t="s">
        <v>4673</v>
      </c>
      <c r="M567">
        <f>VLOOKUP(SUBSTITUTE(J567,"'",""),Sheet1!L:M,2,FALSE)</f>
        <v>64100</v>
      </c>
    </row>
    <row r="568" spans="1:13" ht="13.5" customHeight="1" x14ac:dyDescent="0.4">
      <c r="A568" s="1">
        <v>45781</v>
      </c>
      <c r="B568" t="s">
        <v>165</v>
      </c>
      <c r="C568">
        <v>32.1</v>
      </c>
      <c r="D568" s="2" t="s">
        <v>3991</v>
      </c>
      <c r="E568" t="s">
        <v>165</v>
      </c>
      <c r="F568" s="2" t="s">
        <v>167</v>
      </c>
      <c r="G568" s="2" t="s">
        <v>87</v>
      </c>
      <c r="H568">
        <v>75202</v>
      </c>
      <c r="I568" t="s">
        <v>16</v>
      </c>
      <c r="J568" t="s">
        <v>3992</v>
      </c>
      <c r="K568" t="s">
        <v>96</v>
      </c>
      <c r="L568" t="s">
        <v>4673</v>
      </c>
      <c r="M568">
        <f>VLOOKUP(SUBSTITUTE(J568,"'",""),Sheet1!L:M,2,FALSE)</f>
        <v>64100</v>
      </c>
    </row>
    <row r="569" spans="1:13" ht="13.5" customHeight="1" x14ac:dyDescent="0.4">
      <c r="A569" s="1">
        <v>45781</v>
      </c>
      <c r="B569" t="s">
        <v>165</v>
      </c>
      <c r="C569">
        <v>289.06</v>
      </c>
      <c r="D569" s="2" t="s">
        <v>3995</v>
      </c>
      <c r="E569" t="s">
        <v>165</v>
      </c>
      <c r="F569" s="2" t="s">
        <v>167</v>
      </c>
      <c r="G569" s="2" t="s">
        <v>87</v>
      </c>
      <c r="H569">
        <v>75202</v>
      </c>
      <c r="I569" t="s">
        <v>16</v>
      </c>
      <c r="J569" t="s">
        <v>3996</v>
      </c>
      <c r="K569" t="s">
        <v>96</v>
      </c>
      <c r="L569" t="s">
        <v>4673</v>
      </c>
      <c r="M569">
        <f>VLOOKUP(SUBSTITUTE(J569,"'",""),Sheet1!L:M,2,FALSE)</f>
        <v>64100</v>
      </c>
    </row>
    <row r="570" spans="1:13" ht="13.5" customHeight="1" x14ac:dyDescent="0.4">
      <c r="A570" s="1">
        <v>45781</v>
      </c>
      <c r="B570" t="s">
        <v>165</v>
      </c>
      <c r="C570">
        <v>32.07</v>
      </c>
      <c r="D570" s="2" t="s">
        <v>3989</v>
      </c>
      <c r="E570" t="s">
        <v>165</v>
      </c>
      <c r="F570" s="2" t="s">
        <v>167</v>
      </c>
      <c r="G570" s="2" t="s">
        <v>87</v>
      </c>
      <c r="H570">
        <v>75202</v>
      </c>
      <c r="I570" t="s">
        <v>16</v>
      </c>
      <c r="J570" t="s">
        <v>3990</v>
      </c>
      <c r="K570" t="s">
        <v>96</v>
      </c>
      <c r="L570" t="s">
        <v>4673</v>
      </c>
      <c r="M570">
        <f>VLOOKUP(SUBSTITUTE(J570,"'",""),Sheet1!L:M,2,FALSE)</f>
        <v>64100</v>
      </c>
    </row>
    <row r="571" spans="1:13" ht="13.5" customHeight="1" x14ac:dyDescent="0.4">
      <c r="A571" s="1">
        <v>45781</v>
      </c>
      <c r="B571" t="s">
        <v>165</v>
      </c>
      <c r="C571">
        <v>59.92</v>
      </c>
      <c r="D571" s="2" t="s">
        <v>3993</v>
      </c>
      <c r="E571" t="s">
        <v>165</v>
      </c>
      <c r="F571" s="2" t="s">
        <v>167</v>
      </c>
      <c r="G571" s="2" t="s">
        <v>87</v>
      </c>
      <c r="H571">
        <v>75202</v>
      </c>
      <c r="I571" t="s">
        <v>16</v>
      </c>
      <c r="J571" t="s">
        <v>3994</v>
      </c>
      <c r="K571" t="s">
        <v>96</v>
      </c>
      <c r="L571" t="s">
        <v>4673</v>
      </c>
      <c r="M571">
        <f>VLOOKUP(SUBSTITUTE(J571,"'",""),Sheet1!L:M,2,FALSE)</f>
        <v>64100</v>
      </c>
    </row>
    <row r="572" spans="1:13" ht="13.5" customHeight="1" x14ac:dyDescent="0.4">
      <c r="A572" s="1">
        <v>45781</v>
      </c>
      <c r="B572" t="s">
        <v>2390</v>
      </c>
      <c r="C572">
        <v>21.4</v>
      </c>
      <c r="D572" s="2" t="s">
        <v>3997</v>
      </c>
      <c r="E572" t="s">
        <v>2390</v>
      </c>
      <c r="F572" s="2" t="s">
        <v>167</v>
      </c>
      <c r="G572" s="2" t="s">
        <v>87</v>
      </c>
      <c r="H572">
        <v>75202</v>
      </c>
      <c r="I572" t="s">
        <v>16</v>
      </c>
      <c r="J572" t="s">
        <v>3998</v>
      </c>
      <c r="K572" t="s">
        <v>96</v>
      </c>
      <c r="L572" t="s">
        <v>4673</v>
      </c>
      <c r="M572">
        <f>VLOOKUP(SUBSTITUTE(J572,"'",""),Sheet1!L:M,2,FALSE)</f>
        <v>64100</v>
      </c>
    </row>
    <row r="573" spans="1:13" ht="13.5" customHeight="1" x14ac:dyDescent="0.4">
      <c r="A573" s="1">
        <v>45781</v>
      </c>
      <c r="B573" t="s">
        <v>2442</v>
      </c>
      <c r="C573">
        <v>92.98</v>
      </c>
      <c r="D573" s="2" t="s">
        <v>4003</v>
      </c>
      <c r="E573" t="s">
        <v>2442</v>
      </c>
      <c r="F573" t="s">
        <v>2444</v>
      </c>
      <c r="G573" s="2" t="s">
        <v>41</v>
      </c>
      <c r="H573">
        <v>10012</v>
      </c>
      <c r="I573" t="s">
        <v>16</v>
      </c>
      <c r="J573" t="s">
        <v>4004</v>
      </c>
      <c r="K573" t="s">
        <v>631</v>
      </c>
      <c r="L573" t="s">
        <v>4673</v>
      </c>
      <c r="M573">
        <f>VLOOKUP(SUBSTITUTE(J573,"'",""),Sheet1!L:M,2,FALSE)</f>
        <v>54820</v>
      </c>
    </row>
    <row r="574" spans="1:13" ht="13.5" customHeight="1" x14ac:dyDescent="0.4">
      <c r="A574" s="1">
        <v>45781</v>
      </c>
      <c r="B574" t="s">
        <v>3682</v>
      </c>
      <c r="C574">
        <v>102.5</v>
      </c>
      <c r="D574" s="2" t="s">
        <v>4001</v>
      </c>
      <c r="E574" t="s">
        <v>3682</v>
      </c>
      <c r="F574" t="s">
        <v>3684</v>
      </c>
      <c r="G574" s="2" t="s">
        <v>3685</v>
      </c>
      <c r="H574" t="s">
        <v>3686</v>
      </c>
      <c r="I574" t="s">
        <v>16</v>
      </c>
      <c r="J574" t="s">
        <v>4002</v>
      </c>
      <c r="K574" t="s">
        <v>631</v>
      </c>
      <c r="L574" t="s">
        <v>4673</v>
      </c>
      <c r="M574">
        <f>VLOOKUP(SUBSTITUTE(J574,"'",""),Sheet1!L:M,2,FALSE)</f>
        <v>54820</v>
      </c>
    </row>
    <row r="575" spans="1:13" ht="13.5" customHeight="1" x14ac:dyDescent="0.4">
      <c r="A575" s="1">
        <v>45782</v>
      </c>
      <c r="B575" t="s">
        <v>517</v>
      </c>
      <c r="C575">
        <v>4</v>
      </c>
      <c r="D575" s="2" t="s">
        <v>1294</v>
      </c>
      <c r="E575" t="s">
        <v>517</v>
      </c>
      <c r="F575" t="s">
        <v>519</v>
      </c>
      <c r="G575" s="2" t="s">
        <v>35</v>
      </c>
      <c r="H575">
        <v>94107</v>
      </c>
      <c r="I575" t="s">
        <v>16</v>
      </c>
      <c r="J575" t="s">
        <v>1295</v>
      </c>
      <c r="K575" t="s">
        <v>96</v>
      </c>
      <c r="L575" t="s">
        <v>2047</v>
      </c>
      <c r="M575">
        <f>VLOOKUP(SUBSTITUTE(J575,"'",""),Sheet1!L:M,2,FALSE)</f>
        <v>64100</v>
      </c>
    </row>
    <row r="576" spans="1:13" ht="13.5" customHeight="1" x14ac:dyDescent="0.4">
      <c r="A576" s="1">
        <v>45782</v>
      </c>
      <c r="B576" t="s">
        <v>3866</v>
      </c>
      <c r="C576">
        <v>16.63</v>
      </c>
      <c r="D576" s="2" t="s">
        <v>3983</v>
      </c>
      <c r="E576" t="s">
        <v>3866</v>
      </c>
      <c r="F576" t="s">
        <v>3868</v>
      </c>
      <c r="G576" s="2" t="s">
        <v>41</v>
      </c>
      <c r="H576">
        <v>10003</v>
      </c>
      <c r="I576" t="s">
        <v>16</v>
      </c>
      <c r="J576" t="s">
        <v>3984</v>
      </c>
      <c r="K576" t="s">
        <v>126</v>
      </c>
      <c r="L576" t="s">
        <v>4673</v>
      </c>
      <c r="M576">
        <f>VLOOKUP(SUBSTITUTE(J576,"'",""),Sheet1!L:M,2,FALSE)</f>
        <v>54820</v>
      </c>
    </row>
    <row r="577" spans="1:13" ht="13.5" customHeight="1" x14ac:dyDescent="0.4">
      <c r="A577" s="1">
        <v>45782</v>
      </c>
      <c r="B577" t="s">
        <v>2448</v>
      </c>
      <c r="C577">
        <v>51.45</v>
      </c>
      <c r="D577" s="2" t="s">
        <v>3985</v>
      </c>
      <c r="E577" t="s">
        <v>2448</v>
      </c>
      <c r="F577" s="2" t="s">
        <v>2450</v>
      </c>
      <c r="G577" s="2" t="s">
        <v>1143</v>
      </c>
      <c r="H577">
        <v>10120</v>
      </c>
      <c r="I577" t="s">
        <v>16</v>
      </c>
      <c r="J577" t="s">
        <v>3986</v>
      </c>
      <c r="K577" t="s">
        <v>1218</v>
      </c>
      <c r="L577" t="s">
        <v>4673</v>
      </c>
      <c r="M577">
        <f>VLOOKUP(SUBSTITUTE(J577,"'",""),Sheet1!L:M,2,FALSE)</f>
        <v>54820</v>
      </c>
    </row>
    <row r="578" spans="1:13" ht="13.5" customHeight="1" x14ac:dyDescent="0.4">
      <c r="A578" s="1">
        <v>45782</v>
      </c>
      <c r="B578" t="s">
        <v>1292</v>
      </c>
      <c r="C578">
        <v>-700</v>
      </c>
      <c r="D578" t="s">
        <v>1292</v>
      </c>
      <c r="E578" t="s">
        <v>1292</v>
      </c>
      <c r="J578" t="s">
        <v>1293</v>
      </c>
      <c r="K578" t="s">
        <v>21</v>
      </c>
      <c r="L578" t="s">
        <v>2047</v>
      </c>
      <c r="M578">
        <f>VLOOKUP(SUBSTITUTE(J578,"'",""),Sheet1!L:M,2,FALSE)</f>
        <v>61120</v>
      </c>
    </row>
    <row r="579" spans="1:13" ht="13.5" customHeight="1" x14ac:dyDescent="0.4">
      <c r="A579" s="1">
        <v>45782</v>
      </c>
      <c r="B579" t="s">
        <v>22</v>
      </c>
      <c r="C579">
        <v>-5000</v>
      </c>
      <c r="D579" t="s">
        <v>22</v>
      </c>
      <c r="E579" t="s">
        <v>22</v>
      </c>
      <c r="J579" t="s">
        <v>1296</v>
      </c>
      <c r="L579" t="s">
        <v>2047</v>
      </c>
      <c r="M579" t="e">
        <f>VLOOKUP(SUBSTITUTE(J579,"'",""),Sheet1!L:M,2,FALSE)</f>
        <v>#N/A</v>
      </c>
    </row>
    <row r="580" spans="1:13" ht="13.5" customHeight="1" x14ac:dyDescent="0.4">
      <c r="A580" s="1">
        <v>45783</v>
      </c>
      <c r="B580" t="s">
        <v>22</v>
      </c>
      <c r="C580">
        <v>-5000</v>
      </c>
      <c r="D580" t="s">
        <v>22</v>
      </c>
      <c r="E580" t="s">
        <v>22</v>
      </c>
      <c r="J580" t="s">
        <v>1291</v>
      </c>
      <c r="L580" t="s">
        <v>2047</v>
      </c>
      <c r="M580" t="e">
        <f>VLOOKUP(SUBSTITUTE(J580,"'",""),Sheet1!L:M,2,FALSE)</f>
        <v>#N/A</v>
      </c>
    </row>
    <row r="581" spans="1:13" ht="13.5" customHeight="1" x14ac:dyDescent="0.4">
      <c r="A581" s="1">
        <v>45783</v>
      </c>
      <c r="B581" t="s">
        <v>3073</v>
      </c>
      <c r="C581">
        <v>65.37</v>
      </c>
      <c r="D581" s="2" t="s">
        <v>3962</v>
      </c>
      <c r="E581" t="s">
        <v>3073</v>
      </c>
      <c r="F581" s="2" t="s">
        <v>3075</v>
      </c>
      <c r="G581" s="2" t="s">
        <v>3076</v>
      </c>
      <c r="H581">
        <v>91436</v>
      </c>
      <c r="I581" t="s">
        <v>16</v>
      </c>
      <c r="J581" t="s">
        <v>3963</v>
      </c>
      <c r="K581" t="s">
        <v>370</v>
      </c>
      <c r="L581" t="s">
        <v>4673</v>
      </c>
      <c r="M581">
        <f>VLOOKUP(SUBSTITUTE(J581,"'",""),Sheet1!L:M,2,FALSE)</f>
        <v>54820</v>
      </c>
    </row>
    <row r="582" spans="1:13" ht="13.5" customHeight="1" x14ac:dyDescent="0.4">
      <c r="A582" s="1">
        <v>45783</v>
      </c>
      <c r="B582" t="s">
        <v>2217</v>
      </c>
      <c r="C582">
        <v>11.37</v>
      </c>
      <c r="D582" s="2" t="s">
        <v>3977</v>
      </c>
      <c r="E582" t="s">
        <v>2217</v>
      </c>
      <c r="F582" t="s">
        <v>2219</v>
      </c>
      <c r="G582" s="2" t="s">
        <v>41</v>
      </c>
      <c r="H582">
        <v>10013</v>
      </c>
      <c r="I582" t="s">
        <v>16</v>
      </c>
      <c r="J582" t="s">
        <v>3978</v>
      </c>
      <c r="K582" t="s">
        <v>321</v>
      </c>
      <c r="L582" t="s">
        <v>4673</v>
      </c>
      <c r="M582">
        <f>VLOOKUP(SUBSTITUTE(J582,"'",""),Sheet1!L:M,2,FALSE)</f>
        <v>54820</v>
      </c>
    </row>
    <row r="583" spans="1:13" ht="13.5" customHeight="1" x14ac:dyDescent="0.4">
      <c r="A583" s="1">
        <v>45783</v>
      </c>
      <c r="B583" t="s">
        <v>3971</v>
      </c>
      <c r="C583">
        <v>4.57</v>
      </c>
      <c r="D583" s="2" t="s">
        <v>3972</v>
      </c>
      <c r="E583" t="s">
        <v>3971</v>
      </c>
      <c r="F583" t="s">
        <v>2248</v>
      </c>
      <c r="G583" s="2" t="s">
        <v>2249</v>
      </c>
      <c r="H583">
        <v>94025</v>
      </c>
      <c r="I583" t="s">
        <v>16</v>
      </c>
      <c r="J583" t="s">
        <v>3973</v>
      </c>
      <c r="K583" t="s">
        <v>2335</v>
      </c>
      <c r="L583" t="s">
        <v>4673</v>
      </c>
      <c r="M583">
        <f>VLOOKUP(SUBSTITUTE(J583,"'",""),Sheet1!L:M,2,FALSE)</f>
        <v>54820</v>
      </c>
    </row>
    <row r="584" spans="1:13" ht="13.5" customHeight="1" x14ac:dyDescent="0.4">
      <c r="A584" s="1">
        <v>45783</v>
      </c>
      <c r="B584" t="s">
        <v>3428</v>
      </c>
      <c r="C584">
        <v>16.02</v>
      </c>
      <c r="D584" s="2" t="s">
        <v>3969</v>
      </c>
      <c r="E584" t="s">
        <v>3428</v>
      </c>
      <c r="F584" t="s">
        <v>3430</v>
      </c>
      <c r="G584" s="2" t="s">
        <v>3431</v>
      </c>
      <c r="H584">
        <v>94065</v>
      </c>
      <c r="I584" t="s">
        <v>16</v>
      </c>
      <c r="J584" t="s">
        <v>3970</v>
      </c>
      <c r="K584" t="s">
        <v>188</v>
      </c>
      <c r="L584" t="s">
        <v>4673</v>
      </c>
      <c r="M584">
        <f>VLOOKUP(SUBSTITUTE(J584,"'",""),Sheet1!L:M,2,FALSE)</f>
        <v>54820</v>
      </c>
    </row>
    <row r="585" spans="1:13" ht="13.5" customHeight="1" x14ac:dyDescent="0.4">
      <c r="A585" s="1">
        <v>45783</v>
      </c>
      <c r="B585" t="s">
        <v>2354</v>
      </c>
      <c r="C585">
        <v>109.99</v>
      </c>
      <c r="D585" s="2" t="s">
        <v>3981</v>
      </c>
      <c r="E585" t="s">
        <v>2354</v>
      </c>
      <c r="F585" t="s">
        <v>2356</v>
      </c>
      <c r="G585" s="2" t="s">
        <v>2357</v>
      </c>
      <c r="H585">
        <v>63131</v>
      </c>
      <c r="I585" t="s">
        <v>16</v>
      </c>
      <c r="J585" t="s">
        <v>3982</v>
      </c>
      <c r="K585" t="s">
        <v>201</v>
      </c>
      <c r="L585" t="s">
        <v>4673</v>
      </c>
      <c r="M585">
        <f>VLOOKUP(SUBSTITUTE(J585,"'",""),Sheet1!L:M,2,FALSE)</f>
        <v>65700</v>
      </c>
    </row>
    <row r="586" spans="1:13" ht="13.5" customHeight="1" x14ac:dyDescent="0.4">
      <c r="A586" s="1">
        <v>45783</v>
      </c>
      <c r="B586" t="s">
        <v>3974</v>
      </c>
      <c r="C586">
        <v>12.88</v>
      </c>
      <c r="D586" s="2" t="s">
        <v>3975</v>
      </c>
      <c r="E586" t="s">
        <v>3974</v>
      </c>
      <c r="F586" t="s">
        <v>2248</v>
      </c>
      <c r="G586" s="2" t="s">
        <v>2249</v>
      </c>
      <c r="H586">
        <v>94025</v>
      </c>
      <c r="I586" t="s">
        <v>16</v>
      </c>
      <c r="J586" t="s">
        <v>3976</v>
      </c>
      <c r="K586" t="s">
        <v>2335</v>
      </c>
      <c r="L586" t="s">
        <v>4673</v>
      </c>
      <c r="M586">
        <f>VLOOKUP(SUBSTITUTE(J586,"'",""),Sheet1!L:M,2,FALSE)</f>
        <v>54820</v>
      </c>
    </row>
    <row r="587" spans="1:13" ht="13.5" customHeight="1" x14ac:dyDescent="0.4">
      <c r="A587" s="1">
        <v>45783</v>
      </c>
      <c r="B587" t="s">
        <v>1243</v>
      </c>
      <c r="C587">
        <v>2431.81</v>
      </c>
      <c r="D587" s="2" t="s">
        <v>1285</v>
      </c>
      <c r="E587" t="s">
        <v>816</v>
      </c>
      <c r="F587" t="s">
        <v>1245</v>
      </c>
      <c r="G587" s="2" t="s">
        <v>819</v>
      </c>
      <c r="H587">
        <v>30344</v>
      </c>
      <c r="I587" t="s">
        <v>16</v>
      </c>
      <c r="J587" t="s">
        <v>1286</v>
      </c>
      <c r="K587" t="s">
        <v>682</v>
      </c>
      <c r="L587" t="s">
        <v>2047</v>
      </c>
      <c r="M587">
        <f>VLOOKUP(SUBSTITUTE(J587,"'",""),Sheet1!L:M,2,FALSE)</f>
        <v>61120</v>
      </c>
    </row>
    <row r="588" spans="1:13" ht="13.5" customHeight="1" x14ac:dyDescent="0.4">
      <c r="A588" s="1">
        <v>45783</v>
      </c>
      <c r="B588" t="s">
        <v>1243</v>
      </c>
      <c r="C588">
        <v>3965.81</v>
      </c>
      <c r="D588" s="2" t="s">
        <v>1289</v>
      </c>
      <c r="E588" t="s">
        <v>816</v>
      </c>
      <c r="F588" t="s">
        <v>1245</v>
      </c>
      <c r="G588" s="2" t="s">
        <v>819</v>
      </c>
      <c r="H588">
        <v>30344</v>
      </c>
      <c r="I588" t="s">
        <v>16</v>
      </c>
      <c r="J588" t="s">
        <v>1290</v>
      </c>
      <c r="K588" t="s">
        <v>682</v>
      </c>
      <c r="L588" t="s">
        <v>2047</v>
      </c>
      <c r="M588">
        <f>VLOOKUP(SUBSTITUTE(J588,"'",""),Sheet1!L:M,2,FALSE)</f>
        <v>61120</v>
      </c>
    </row>
    <row r="589" spans="1:13" ht="13.5" customHeight="1" x14ac:dyDescent="0.4">
      <c r="A589" s="1">
        <v>45783</v>
      </c>
      <c r="B589" t="s">
        <v>816</v>
      </c>
      <c r="C589">
        <v>2536.41</v>
      </c>
      <c r="D589" s="2" t="s">
        <v>1287</v>
      </c>
      <c r="E589" t="s">
        <v>816</v>
      </c>
      <c r="F589" t="s">
        <v>818</v>
      </c>
      <c r="G589" s="2" t="s">
        <v>819</v>
      </c>
      <c r="H589">
        <v>30354</v>
      </c>
      <c r="I589" t="s">
        <v>16</v>
      </c>
      <c r="J589" t="s">
        <v>1288</v>
      </c>
      <c r="K589" t="s">
        <v>682</v>
      </c>
      <c r="L589" t="s">
        <v>2047</v>
      </c>
      <c r="M589">
        <f>VLOOKUP(SUBSTITUTE(J589,"'",""),Sheet1!L:M,2,FALSE)</f>
        <v>61120</v>
      </c>
    </row>
    <row r="590" spans="1:13" ht="13.5" customHeight="1" x14ac:dyDescent="0.4">
      <c r="A590" s="1">
        <v>45783</v>
      </c>
      <c r="B590" t="s">
        <v>3964</v>
      </c>
      <c r="C590">
        <v>65.239999999999995</v>
      </c>
      <c r="D590" s="2" t="s">
        <v>3965</v>
      </c>
      <c r="E590" t="s">
        <v>3964</v>
      </c>
      <c r="F590" t="s">
        <v>3966</v>
      </c>
      <c r="G590" s="2" t="s">
        <v>3431</v>
      </c>
      <c r="H590">
        <v>94065</v>
      </c>
      <c r="I590" t="s">
        <v>16</v>
      </c>
      <c r="J590" t="s">
        <v>3967</v>
      </c>
      <c r="K590" t="s">
        <v>3968</v>
      </c>
      <c r="L590" t="s">
        <v>4673</v>
      </c>
      <c r="M590">
        <f>VLOOKUP(SUBSTITUTE(J590,"'",""),Sheet1!L:M,2,FALSE)</f>
        <v>54820</v>
      </c>
    </row>
    <row r="591" spans="1:13" ht="13.5" customHeight="1" x14ac:dyDescent="0.4">
      <c r="A591" s="1">
        <v>45783</v>
      </c>
      <c r="B591" t="s">
        <v>2690</v>
      </c>
      <c r="C591">
        <v>100</v>
      </c>
      <c r="D591" s="2" t="s">
        <v>3979</v>
      </c>
      <c r="E591" t="s">
        <v>2690</v>
      </c>
      <c r="F591" t="s">
        <v>2349</v>
      </c>
      <c r="G591" s="2" t="s">
        <v>41</v>
      </c>
      <c r="H591" t="s">
        <v>2350</v>
      </c>
      <c r="I591" t="s">
        <v>16</v>
      </c>
      <c r="J591" t="s">
        <v>3980</v>
      </c>
      <c r="K591" t="s">
        <v>116</v>
      </c>
      <c r="L591" t="s">
        <v>4673</v>
      </c>
      <c r="M591">
        <f>VLOOKUP(SUBSTITUTE(J591,"'",""),Sheet1!L:M,2,FALSE)</f>
        <v>54820</v>
      </c>
    </row>
    <row r="592" spans="1:13" ht="13.5" customHeight="1" x14ac:dyDescent="0.4">
      <c r="A592" s="1">
        <v>45784</v>
      </c>
      <c r="B592" t="s">
        <v>816</v>
      </c>
      <c r="C592">
        <v>2536.41</v>
      </c>
      <c r="D592" s="2" t="s">
        <v>1277</v>
      </c>
      <c r="E592" t="s">
        <v>816</v>
      </c>
      <c r="F592" t="s">
        <v>818</v>
      </c>
      <c r="G592" s="2" t="s">
        <v>819</v>
      </c>
      <c r="H592">
        <v>30354</v>
      </c>
      <c r="I592" t="s">
        <v>16</v>
      </c>
      <c r="J592" t="s">
        <v>1278</v>
      </c>
      <c r="K592" t="s">
        <v>682</v>
      </c>
      <c r="L592" t="s">
        <v>2047</v>
      </c>
      <c r="M592">
        <f>VLOOKUP(SUBSTITUTE(J592,"'",""),Sheet1!L:M,2,FALSE)</f>
        <v>61120</v>
      </c>
    </row>
    <row r="593" spans="1:13" ht="13.5" customHeight="1" x14ac:dyDescent="0.4">
      <c r="A593" s="1">
        <v>45784</v>
      </c>
      <c r="B593" t="s">
        <v>816</v>
      </c>
      <c r="C593">
        <v>609</v>
      </c>
      <c r="D593" s="2" t="s">
        <v>1275</v>
      </c>
      <c r="E593" t="s">
        <v>816</v>
      </c>
      <c r="F593" t="s">
        <v>818</v>
      </c>
      <c r="G593" s="2" t="s">
        <v>819</v>
      </c>
      <c r="H593">
        <v>30354</v>
      </c>
      <c r="I593" t="s">
        <v>16</v>
      </c>
      <c r="J593" t="s">
        <v>1276</v>
      </c>
      <c r="K593" t="s">
        <v>682</v>
      </c>
      <c r="L593" t="s">
        <v>2047</v>
      </c>
      <c r="M593">
        <f>VLOOKUP(SUBSTITUTE(J593,"'",""),Sheet1!L:M,2,FALSE)</f>
        <v>61120</v>
      </c>
    </row>
    <row r="594" spans="1:13" ht="13.5" customHeight="1" x14ac:dyDescent="0.4">
      <c r="A594" s="1">
        <v>45784</v>
      </c>
      <c r="B594" t="s">
        <v>165</v>
      </c>
      <c r="C594">
        <v>21.38</v>
      </c>
      <c r="D594" s="2" t="s">
        <v>1259</v>
      </c>
      <c r="E594" t="s">
        <v>165</v>
      </c>
      <c r="F594" s="2" t="s">
        <v>167</v>
      </c>
      <c r="G594" s="2" t="s">
        <v>87</v>
      </c>
      <c r="H594">
        <v>75202</v>
      </c>
      <c r="I594" t="s">
        <v>16</v>
      </c>
      <c r="J594" t="s">
        <v>1260</v>
      </c>
      <c r="K594" t="s">
        <v>96</v>
      </c>
      <c r="L594" t="s">
        <v>2047</v>
      </c>
      <c r="M594">
        <f>VLOOKUP(SUBSTITUTE(J594,"'",""),Sheet1!L:M,2,FALSE)</f>
        <v>64100</v>
      </c>
    </row>
    <row r="595" spans="1:13" ht="13.5" customHeight="1" x14ac:dyDescent="0.4">
      <c r="A595" s="1">
        <v>45784</v>
      </c>
      <c r="B595" t="s">
        <v>888</v>
      </c>
      <c r="C595">
        <v>14</v>
      </c>
      <c r="D595" s="2" t="s">
        <v>1261</v>
      </c>
      <c r="E595" t="s">
        <v>888</v>
      </c>
      <c r="F595" t="s">
        <v>890</v>
      </c>
      <c r="G595" s="2" t="s">
        <v>891</v>
      </c>
      <c r="H595">
        <v>54307</v>
      </c>
      <c r="I595" t="s">
        <v>16</v>
      </c>
      <c r="J595" t="s">
        <v>1262</v>
      </c>
      <c r="K595" t="s">
        <v>321</v>
      </c>
      <c r="L595" t="s">
        <v>2047</v>
      </c>
      <c r="M595">
        <f>VLOOKUP(SUBSTITUTE(J595,"'",""),Sheet1!L:M,2,FALSE)</f>
        <v>61120</v>
      </c>
    </row>
    <row r="596" spans="1:13" ht="13.5" customHeight="1" x14ac:dyDescent="0.4">
      <c r="A596" s="1">
        <v>45784</v>
      </c>
      <c r="B596" t="s">
        <v>888</v>
      </c>
      <c r="C596">
        <v>14</v>
      </c>
      <c r="D596" s="2" t="s">
        <v>1263</v>
      </c>
      <c r="E596" t="s">
        <v>888</v>
      </c>
      <c r="F596" t="s">
        <v>890</v>
      </c>
      <c r="G596" s="2" t="s">
        <v>891</v>
      </c>
      <c r="H596">
        <v>54307</v>
      </c>
      <c r="I596" t="s">
        <v>16</v>
      </c>
      <c r="J596" t="s">
        <v>1264</v>
      </c>
      <c r="K596" t="s">
        <v>321</v>
      </c>
      <c r="L596" t="s">
        <v>2047</v>
      </c>
      <c r="M596">
        <f>VLOOKUP(SUBSTITUTE(J596,"'",""),Sheet1!L:M,2,FALSE)</f>
        <v>61120</v>
      </c>
    </row>
    <row r="597" spans="1:13" ht="13.5" customHeight="1" x14ac:dyDescent="0.4">
      <c r="A597" s="1">
        <v>45784</v>
      </c>
      <c r="B597" t="s">
        <v>906</v>
      </c>
      <c r="C597">
        <v>9.9499999999999993</v>
      </c>
      <c r="D597" s="2" t="s">
        <v>1279</v>
      </c>
      <c r="E597" t="s">
        <v>906</v>
      </c>
      <c r="F597" t="s">
        <v>908</v>
      </c>
      <c r="G597" s="2" t="s">
        <v>909</v>
      </c>
      <c r="H597">
        <v>85016</v>
      </c>
      <c r="I597" t="s">
        <v>910</v>
      </c>
      <c r="J597" t="s">
        <v>1280</v>
      </c>
      <c r="K597" t="s">
        <v>321</v>
      </c>
      <c r="L597" t="s">
        <v>2047</v>
      </c>
      <c r="M597">
        <f>VLOOKUP(SUBSTITUTE(J597,"'",""),Sheet1!L:M,2,FALSE)</f>
        <v>61120</v>
      </c>
    </row>
    <row r="598" spans="1:13" ht="13.5" customHeight="1" x14ac:dyDescent="0.4">
      <c r="A598" s="1">
        <v>45784</v>
      </c>
      <c r="B598" t="s">
        <v>906</v>
      </c>
      <c r="C598">
        <v>9.9499999999999993</v>
      </c>
      <c r="D598" s="2" t="s">
        <v>1281</v>
      </c>
      <c r="E598" t="s">
        <v>906</v>
      </c>
      <c r="F598" t="s">
        <v>908</v>
      </c>
      <c r="G598" s="2" t="s">
        <v>909</v>
      </c>
      <c r="H598">
        <v>85016</v>
      </c>
      <c r="I598" t="s">
        <v>910</v>
      </c>
      <c r="J598" t="s">
        <v>1282</v>
      </c>
      <c r="K598" t="s">
        <v>321</v>
      </c>
      <c r="L598" t="s">
        <v>2047</v>
      </c>
      <c r="M598">
        <f>VLOOKUP(SUBSTITUTE(J598,"'",""),Sheet1!L:M,2,FALSE)</f>
        <v>61120</v>
      </c>
    </row>
    <row r="599" spans="1:13" ht="13.5" customHeight="1" x14ac:dyDescent="0.4">
      <c r="A599" s="1">
        <v>45784</v>
      </c>
      <c r="B599" t="s">
        <v>895</v>
      </c>
      <c r="C599">
        <v>9.9499999999999993</v>
      </c>
      <c r="D599" s="2" t="s">
        <v>1269</v>
      </c>
      <c r="E599" t="s">
        <v>895</v>
      </c>
      <c r="F599" s="2" t="s">
        <v>897</v>
      </c>
      <c r="G599" s="2" t="s">
        <v>898</v>
      </c>
      <c r="H599">
        <v>33337</v>
      </c>
      <c r="I599" t="s">
        <v>16</v>
      </c>
      <c r="J599" t="s">
        <v>1270</v>
      </c>
      <c r="K599" t="s">
        <v>321</v>
      </c>
      <c r="L599" t="s">
        <v>2047</v>
      </c>
      <c r="M599">
        <f>VLOOKUP(SUBSTITUTE(J599,"'",""),Sheet1!L:M,2,FALSE)</f>
        <v>61120</v>
      </c>
    </row>
    <row r="600" spans="1:13" ht="13.5" customHeight="1" x14ac:dyDescent="0.4">
      <c r="A600" s="1">
        <v>45784</v>
      </c>
      <c r="B600" t="s">
        <v>895</v>
      </c>
      <c r="C600">
        <v>9.9499999999999993</v>
      </c>
      <c r="D600" s="2" t="s">
        <v>1271</v>
      </c>
      <c r="E600" t="s">
        <v>895</v>
      </c>
      <c r="F600" s="2" t="s">
        <v>897</v>
      </c>
      <c r="G600" s="2" t="s">
        <v>898</v>
      </c>
      <c r="H600">
        <v>33337</v>
      </c>
      <c r="I600" t="s">
        <v>16</v>
      </c>
      <c r="J600" t="s">
        <v>1272</v>
      </c>
      <c r="K600" t="s">
        <v>321</v>
      </c>
      <c r="L600" t="s">
        <v>2047</v>
      </c>
      <c r="M600">
        <f>VLOOKUP(SUBSTITUTE(J600,"'",""),Sheet1!L:M,2,FALSE)</f>
        <v>61120</v>
      </c>
    </row>
    <row r="601" spans="1:13" ht="13.5" customHeight="1" x14ac:dyDescent="0.4">
      <c r="A601" s="1">
        <v>45784</v>
      </c>
      <c r="B601" t="s">
        <v>895</v>
      </c>
      <c r="C601">
        <v>9.9499999999999993</v>
      </c>
      <c r="D601" s="2" t="s">
        <v>1273</v>
      </c>
      <c r="E601" t="s">
        <v>895</v>
      </c>
      <c r="F601" s="2" t="s">
        <v>897</v>
      </c>
      <c r="G601" s="2" t="s">
        <v>898</v>
      </c>
      <c r="H601">
        <v>33337</v>
      </c>
      <c r="I601" t="s">
        <v>16</v>
      </c>
      <c r="J601" t="s">
        <v>1274</v>
      </c>
      <c r="K601" t="s">
        <v>321</v>
      </c>
      <c r="L601" t="s">
        <v>2047</v>
      </c>
      <c r="M601">
        <f>VLOOKUP(SUBSTITUTE(J601,"'",""),Sheet1!L:M,2,FALSE)</f>
        <v>61120</v>
      </c>
    </row>
    <row r="602" spans="1:13" ht="13.5" customHeight="1" x14ac:dyDescent="0.4">
      <c r="A602" s="1">
        <v>45784</v>
      </c>
      <c r="B602" t="s">
        <v>906</v>
      </c>
      <c r="C602">
        <v>9.9499999999999993</v>
      </c>
      <c r="D602" s="2" t="s">
        <v>1283</v>
      </c>
      <c r="E602" t="s">
        <v>906</v>
      </c>
      <c r="F602" t="s">
        <v>908</v>
      </c>
      <c r="G602" s="2" t="s">
        <v>909</v>
      </c>
      <c r="H602">
        <v>85016</v>
      </c>
      <c r="I602" t="s">
        <v>910</v>
      </c>
      <c r="J602" t="s">
        <v>1284</v>
      </c>
      <c r="K602" t="s">
        <v>321</v>
      </c>
      <c r="L602" t="s">
        <v>2047</v>
      </c>
      <c r="M602">
        <f>VLOOKUP(SUBSTITUTE(J602,"'",""),Sheet1!L:M,2,FALSE)</f>
        <v>61120</v>
      </c>
    </row>
    <row r="603" spans="1:13" ht="13.5" customHeight="1" x14ac:dyDescent="0.4">
      <c r="A603" s="1">
        <v>45784</v>
      </c>
      <c r="B603" t="s">
        <v>888</v>
      </c>
      <c r="C603">
        <v>14</v>
      </c>
      <c r="D603" s="2" t="s">
        <v>1265</v>
      </c>
      <c r="E603" t="s">
        <v>888</v>
      </c>
      <c r="F603" t="s">
        <v>890</v>
      </c>
      <c r="G603" s="2" t="s">
        <v>891</v>
      </c>
      <c r="H603">
        <v>54307</v>
      </c>
      <c r="I603" t="s">
        <v>16</v>
      </c>
      <c r="J603" t="s">
        <v>1266</v>
      </c>
      <c r="K603" t="s">
        <v>321</v>
      </c>
      <c r="L603" t="s">
        <v>2047</v>
      </c>
      <c r="M603">
        <f>VLOOKUP(SUBSTITUTE(J603,"'",""),Sheet1!L:M,2,FALSE)</f>
        <v>61120</v>
      </c>
    </row>
    <row r="604" spans="1:13" ht="13.5" customHeight="1" x14ac:dyDescent="0.4">
      <c r="A604" s="1">
        <v>45784</v>
      </c>
      <c r="B604" t="s">
        <v>2311</v>
      </c>
      <c r="C604">
        <v>41.12</v>
      </c>
      <c r="D604" s="2" t="s">
        <v>3960</v>
      </c>
      <c r="E604" t="s">
        <v>2311</v>
      </c>
      <c r="F604" s="2" t="s">
        <v>2313</v>
      </c>
      <c r="G604" s="2" t="s">
        <v>2314</v>
      </c>
      <c r="H604" t="s">
        <v>2315</v>
      </c>
      <c r="I604" t="s">
        <v>16</v>
      </c>
      <c r="J604" t="s">
        <v>3961</v>
      </c>
      <c r="K604" t="s">
        <v>37</v>
      </c>
      <c r="L604" t="s">
        <v>4673</v>
      </c>
      <c r="M604">
        <f>VLOOKUP(SUBSTITUTE(J604,"'",""),Sheet1!L:M,2,FALSE)</f>
        <v>64100</v>
      </c>
    </row>
    <row r="605" spans="1:13" ht="13.5" customHeight="1" x14ac:dyDescent="0.4">
      <c r="A605" s="1">
        <v>45784</v>
      </c>
      <c r="B605" t="s">
        <v>169</v>
      </c>
      <c r="C605">
        <v>21.39</v>
      </c>
      <c r="D605" s="2" t="s">
        <v>1267</v>
      </c>
      <c r="E605" t="s">
        <v>169</v>
      </c>
      <c r="F605" s="2" t="s">
        <v>171</v>
      </c>
      <c r="G605" s="2" t="s">
        <v>172</v>
      </c>
      <c r="H605">
        <v>95035</v>
      </c>
      <c r="I605" t="s">
        <v>16</v>
      </c>
      <c r="J605" t="s">
        <v>1268</v>
      </c>
      <c r="K605" t="s">
        <v>174</v>
      </c>
      <c r="L605" t="s">
        <v>2047</v>
      </c>
      <c r="M605">
        <f>VLOOKUP(SUBSTITUTE(J605,"'",""),Sheet1!L:M,2,FALSE)</f>
        <v>64100</v>
      </c>
    </row>
    <row r="606" spans="1:13" ht="13.5" customHeight="1" x14ac:dyDescent="0.4">
      <c r="A606" s="1">
        <v>45785</v>
      </c>
      <c r="B606" t="s">
        <v>2303</v>
      </c>
      <c r="C606">
        <v>354.98</v>
      </c>
      <c r="D606" t="s">
        <v>2303</v>
      </c>
      <c r="E606" t="s">
        <v>2303</v>
      </c>
      <c r="J606" t="s">
        <v>3959</v>
      </c>
      <c r="K606" t="s">
        <v>21</v>
      </c>
      <c r="L606" t="s">
        <v>4673</v>
      </c>
      <c r="M606">
        <f>VLOOKUP(SUBSTITUTE(J606,"'",""),Sheet1!L:M,2,FALSE)</f>
        <v>80100</v>
      </c>
    </row>
    <row r="607" spans="1:13" ht="13.5" customHeight="1" x14ac:dyDescent="0.4">
      <c r="A607" s="1">
        <v>45785</v>
      </c>
      <c r="B607" t="s">
        <v>906</v>
      </c>
      <c r="C607">
        <v>9.9499999999999993</v>
      </c>
      <c r="D607" s="2" t="s">
        <v>1257</v>
      </c>
      <c r="E607" t="s">
        <v>906</v>
      </c>
      <c r="F607" t="s">
        <v>908</v>
      </c>
      <c r="G607" s="2" t="s">
        <v>909</v>
      </c>
      <c r="H607">
        <v>85016</v>
      </c>
      <c r="I607" t="s">
        <v>910</v>
      </c>
      <c r="J607" t="s">
        <v>1258</v>
      </c>
      <c r="K607" t="s">
        <v>321</v>
      </c>
      <c r="L607" t="s">
        <v>2047</v>
      </c>
      <c r="M607">
        <f>VLOOKUP(SUBSTITUTE(J607,"'",""),Sheet1!L:M,2,FALSE)</f>
        <v>61120</v>
      </c>
    </row>
    <row r="608" spans="1:13" ht="13.5" customHeight="1" x14ac:dyDescent="0.4">
      <c r="A608" s="1">
        <v>45785</v>
      </c>
      <c r="B608" t="s">
        <v>895</v>
      </c>
      <c r="C608">
        <v>9.9499999999999993</v>
      </c>
      <c r="D608" s="2" t="s">
        <v>1255</v>
      </c>
      <c r="E608" t="s">
        <v>895</v>
      </c>
      <c r="F608" s="2" t="s">
        <v>897</v>
      </c>
      <c r="G608" s="2" t="s">
        <v>898</v>
      </c>
      <c r="H608">
        <v>33337</v>
      </c>
      <c r="I608" t="s">
        <v>16</v>
      </c>
      <c r="J608" t="s">
        <v>1256</v>
      </c>
      <c r="K608" t="s">
        <v>321</v>
      </c>
      <c r="L608" t="s">
        <v>2047</v>
      </c>
      <c r="M608">
        <f>VLOOKUP(SUBSTITUTE(J608,"'",""),Sheet1!L:M,2,FALSE)</f>
        <v>61120</v>
      </c>
    </row>
    <row r="609" spans="1:13" ht="13.5" customHeight="1" x14ac:dyDescent="0.4">
      <c r="A609" s="1">
        <v>45785</v>
      </c>
      <c r="B609" t="s">
        <v>888</v>
      </c>
      <c r="C609">
        <v>14</v>
      </c>
      <c r="D609" s="2" t="s">
        <v>1253</v>
      </c>
      <c r="E609" t="s">
        <v>888</v>
      </c>
      <c r="F609" t="s">
        <v>890</v>
      </c>
      <c r="G609" s="2" t="s">
        <v>891</v>
      </c>
      <c r="H609">
        <v>54307</v>
      </c>
      <c r="I609" t="s">
        <v>16</v>
      </c>
      <c r="J609" t="s">
        <v>1254</v>
      </c>
      <c r="K609" t="s">
        <v>321</v>
      </c>
      <c r="L609" t="s">
        <v>2047</v>
      </c>
      <c r="M609">
        <f>VLOOKUP(SUBSTITUTE(J609,"'",""),Sheet1!L:M,2,FALSE)</f>
        <v>61120</v>
      </c>
    </row>
    <row r="610" spans="1:13" ht="13.5" customHeight="1" x14ac:dyDescent="0.4">
      <c r="A610" s="1">
        <v>45785</v>
      </c>
      <c r="B610" t="s">
        <v>2764</v>
      </c>
      <c r="C610">
        <v>9.25</v>
      </c>
      <c r="D610" s="2" t="s">
        <v>3953</v>
      </c>
      <c r="E610" t="s">
        <v>2764</v>
      </c>
      <c r="F610" t="s">
        <v>2766</v>
      </c>
      <c r="G610" s="2" t="s">
        <v>41</v>
      </c>
      <c r="H610">
        <v>10011</v>
      </c>
      <c r="I610" t="s">
        <v>16</v>
      </c>
      <c r="J610" t="s">
        <v>3954</v>
      </c>
      <c r="K610" t="s">
        <v>305</v>
      </c>
      <c r="L610" t="s">
        <v>4673</v>
      </c>
      <c r="M610">
        <f>VLOOKUP(SUBSTITUTE(J610,"'",""),Sheet1!L:M,2,FALSE)</f>
        <v>54820</v>
      </c>
    </row>
    <row r="611" spans="1:13" ht="13.5" customHeight="1" x14ac:dyDescent="0.4">
      <c r="A611" s="1">
        <v>45785</v>
      </c>
      <c r="B611" t="s">
        <v>977</v>
      </c>
      <c r="C611">
        <v>20</v>
      </c>
      <c r="D611" s="2" t="s">
        <v>3957</v>
      </c>
      <c r="E611" t="s">
        <v>977</v>
      </c>
      <c r="F611" s="2" t="s">
        <v>979</v>
      </c>
      <c r="G611" s="2" t="s">
        <v>980</v>
      </c>
      <c r="H611">
        <v>78259</v>
      </c>
      <c r="I611" t="s">
        <v>16</v>
      </c>
      <c r="J611" t="s">
        <v>3958</v>
      </c>
      <c r="K611" t="s">
        <v>164</v>
      </c>
      <c r="L611" t="s">
        <v>4673</v>
      </c>
      <c r="M611">
        <f>VLOOKUP(SUBSTITUTE(J611,"'",""),Sheet1!L:M,2,FALSE)</f>
        <v>54820</v>
      </c>
    </row>
    <row r="612" spans="1:13" ht="13.5" customHeight="1" x14ac:dyDescent="0.4">
      <c r="A612" s="1">
        <v>45785</v>
      </c>
      <c r="B612" t="s">
        <v>3073</v>
      </c>
      <c r="C612">
        <v>26.99</v>
      </c>
      <c r="D612" s="2" t="s">
        <v>3955</v>
      </c>
      <c r="E612" t="s">
        <v>3073</v>
      </c>
      <c r="F612" s="2" t="s">
        <v>3075</v>
      </c>
      <c r="G612" s="2" t="s">
        <v>3076</v>
      </c>
      <c r="H612">
        <v>91436</v>
      </c>
      <c r="I612" t="s">
        <v>16</v>
      </c>
      <c r="J612" t="s">
        <v>3956</v>
      </c>
      <c r="K612" t="s">
        <v>370</v>
      </c>
      <c r="L612" t="s">
        <v>4673</v>
      </c>
      <c r="M612">
        <f>VLOOKUP(SUBSTITUTE(J612,"'",""),Sheet1!L:M,2,FALSE)</f>
        <v>54820</v>
      </c>
    </row>
    <row r="613" spans="1:13" ht="13.5" customHeight="1" x14ac:dyDescent="0.4">
      <c r="A613" s="1">
        <v>45786</v>
      </c>
      <c r="B613" t="s">
        <v>885</v>
      </c>
      <c r="C613">
        <v>92.94</v>
      </c>
      <c r="D613" s="2" t="s">
        <v>3949</v>
      </c>
      <c r="E613" t="s">
        <v>885</v>
      </c>
      <c r="F613" t="s">
        <v>108</v>
      </c>
      <c r="G613" s="2" t="s">
        <v>41</v>
      </c>
      <c r="H613">
        <v>10012</v>
      </c>
      <c r="I613" t="s">
        <v>16</v>
      </c>
      <c r="J613" t="s">
        <v>3950</v>
      </c>
      <c r="K613" t="s">
        <v>110</v>
      </c>
      <c r="L613" t="s">
        <v>4673</v>
      </c>
      <c r="M613">
        <f>VLOOKUP(SUBSTITUTE(J613,"'",""),Sheet1!L:M,2,FALSE)</f>
        <v>67500</v>
      </c>
    </row>
    <row r="614" spans="1:13" ht="13.5" customHeight="1" x14ac:dyDescent="0.4">
      <c r="A614" s="1">
        <v>45786</v>
      </c>
      <c r="B614" t="s">
        <v>153</v>
      </c>
      <c r="C614">
        <v>160.72</v>
      </c>
      <c r="D614" s="2" t="s">
        <v>3947</v>
      </c>
      <c r="E614" t="s">
        <v>153</v>
      </c>
      <c r="F614" t="s">
        <v>155</v>
      </c>
      <c r="G614" s="2" t="s">
        <v>156</v>
      </c>
      <c r="H614">
        <v>98052</v>
      </c>
      <c r="I614" t="s">
        <v>16</v>
      </c>
      <c r="J614" t="s">
        <v>3948</v>
      </c>
      <c r="K614" t="s">
        <v>96</v>
      </c>
      <c r="L614" t="s">
        <v>4673</v>
      </c>
      <c r="M614">
        <f>VLOOKUP(SUBSTITUTE(J614,"'",""),Sheet1!L:M,2,FALSE)</f>
        <v>64100</v>
      </c>
    </row>
    <row r="615" spans="1:13" ht="13.5" customHeight="1" x14ac:dyDescent="0.4">
      <c r="A615" s="1">
        <v>45786</v>
      </c>
      <c r="B615" t="s">
        <v>153</v>
      </c>
      <c r="C615">
        <v>216.13</v>
      </c>
      <c r="D615" s="2" t="s">
        <v>1251</v>
      </c>
      <c r="E615" t="s">
        <v>153</v>
      </c>
      <c r="F615" t="s">
        <v>155</v>
      </c>
      <c r="G615" s="2" t="s">
        <v>156</v>
      </c>
      <c r="H615">
        <v>98052</v>
      </c>
      <c r="I615" t="s">
        <v>16</v>
      </c>
      <c r="J615" t="s">
        <v>1252</v>
      </c>
      <c r="K615" t="s">
        <v>96</v>
      </c>
      <c r="L615" t="s">
        <v>2047</v>
      </c>
      <c r="M615">
        <f>VLOOKUP(SUBSTITUTE(J615,"'",""),Sheet1!L:M,2,FALSE)</f>
        <v>64100</v>
      </c>
    </row>
    <row r="616" spans="1:13" ht="13.5" customHeight="1" x14ac:dyDescent="0.4">
      <c r="A616" s="1">
        <v>45786</v>
      </c>
      <c r="B616" t="s">
        <v>816</v>
      </c>
      <c r="C616">
        <v>-2536.41</v>
      </c>
      <c r="D616" s="2" t="s">
        <v>1249</v>
      </c>
      <c r="E616" t="s">
        <v>816</v>
      </c>
      <c r="F616" t="s">
        <v>818</v>
      </c>
      <c r="G616" s="2" t="s">
        <v>819</v>
      </c>
      <c r="H616">
        <v>30354</v>
      </c>
      <c r="I616" t="s">
        <v>16</v>
      </c>
      <c r="J616" t="s">
        <v>1250</v>
      </c>
      <c r="K616" t="s">
        <v>682</v>
      </c>
      <c r="L616" t="s">
        <v>2047</v>
      </c>
      <c r="M616">
        <f>VLOOKUP(SUBSTITUTE(J616,"'",""),Sheet1!L:M,2,FALSE)</f>
        <v>61120</v>
      </c>
    </row>
    <row r="617" spans="1:13" ht="13.5" customHeight="1" x14ac:dyDescent="0.4">
      <c r="A617" s="1">
        <v>45786</v>
      </c>
      <c r="B617" t="s">
        <v>2240</v>
      </c>
      <c r="C617">
        <v>155.71</v>
      </c>
      <c r="D617" s="2" t="s">
        <v>3951</v>
      </c>
      <c r="E617" t="s">
        <v>2240</v>
      </c>
      <c r="F617" t="s">
        <v>2242</v>
      </c>
      <c r="G617" s="2" t="s">
        <v>41</v>
      </c>
      <c r="H617">
        <v>10003</v>
      </c>
      <c r="I617" t="s">
        <v>16</v>
      </c>
      <c r="J617" t="s">
        <v>3952</v>
      </c>
      <c r="K617" t="s">
        <v>1218</v>
      </c>
      <c r="L617" t="s">
        <v>4673</v>
      </c>
      <c r="M617">
        <f>VLOOKUP(SUBSTITUTE(J617,"'",""),Sheet1!L:M,2,FALSE)</f>
        <v>54820</v>
      </c>
    </row>
    <row r="618" spans="1:13" ht="13.5" customHeight="1" x14ac:dyDescent="0.4">
      <c r="A618" s="1">
        <v>45787</v>
      </c>
      <c r="B618" t="s">
        <v>977</v>
      </c>
      <c r="C618">
        <v>10</v>
      </c>
      <c r="D618" s="2" t="s">
        <v>3941</v>
      </c>
      <c r="E618" t="s">
        <v>977</v>
      </c>
      <c r="F618" s="2" t="s">
        <v>979</v>
      </c>
      <c r="G618" s="2" t="s">
        <v>980</v>
      </c>
      <c r="H618">
        <v>78259</v>
      </c>
      <c r="I618" t="s">
        <v>16</v>
      </c>
      <c r="J618" t="s">
        <v>3942</v>
      </c>
      <c r="K618" t="s">
        <v>164</v>
      </c>
      <c r="L618" t="s">
        <v>4673</v>
      </c>
      <c r="M618">
        <f>VLOOKUP(SUBSTITUTE(J618,"'",""),Sheet1!L:M,2,FALSE)</f>
        <v>54820</v>
      </c>
    </row>
    <row r="619" spans="1:13" ht="13.5" customHeight="1" x14ac:dyDescent="0.4">
      <c r="A619" s="1">
        <v>45787</v>
      </c>
      <c r="B619" t="s">
        <v>478</v>
      </c>
      <c r="C619">
        <v>38.32</v>
      </c>
      <c r="D619" s="2" t="s">
        <v>1247</v>
      </c>
      <c r="E619" t="s">
        <v>480</v>
      </c>
      <c r="F619" s="2" t="s">
        <v>481</v>
      </c>
      <c r="G619" s="2" t="s">
        <v>35</v>
      </c>
      <c r="H619">
        <v>94103</v>
      </c>
      <c r="I619" t="s">
        <v>16</v>
      </c>
      <c r="J619" t="s">
        <v>1248</v>
      </c>
      <c r="K619" t="s">
        <v>483</v>
      </c>
      <c r="L619" t="s">
        <v>2047</v>
      </c>
      <c r="M619">
        <f>VLOOKUP(SUBSTITUTE(J619,"'",""),Sheet1!L:M,2,FALSE)</f>
        <v>61130</v>
      </c>
    </row>
    <row r="620" spans="1:13" ht="13.5" customHeight="1" x14ac:dyDescent="0.4">
      <c r="A620" s="1">
        <v>45787</v>
      </c>
      <c r="B620" t="s">
        <v>1243</v>
      </c>
      <c r="C620">
        <v>5.6</v>
      </c>
      <c r="D620" s="2" t="s">
        <v>1244</v>
      </c>
      <c r="E620" t="s">
        <v>816</v>
      </c>
      <c r="F620" t="s">
        <v>1245</v>
      </c>
      <c r="G620" s="2" t="s">
        <v>819</v>
      </c>
      <c r="H620">
        <v>30344</v>
      </c>
      <c r="I620" t="s">
        <v>16</v>
      </c>
      <c r="J620" t="s">
        <v>1246</v>
      </c>
      <c r="K620" t="s">
        <v>682</v>
      </c>
      <c r="L620" t="s">
        <v>2047</v>
      </c>
      <c r="M620">
        <f>VLOOKUP(SUBSTITUTE(J620,"'",""),Sheet1!L:M,2,FALSE)</f>
        <v>61120</v>
      </c>
    </row>
    <row r="621" spans="1:13" ht="13.5" customHeight="1" x14ac:dyDescent="0.4">
      <c r="A621" s="1">
        <v>45787</v>
      </c>
      <c r="B621" t="s">
        <v>1240</v>
      </c>
      <c r="C621">
        <v>-9.9499999999999993</v>
      </c>
      <c r="D621" s="2" t="s">
        <v>1241</v>
      </c>
      <c r="E621" t="s">
        <v>1240</v>
      </c>
      <c r="F621" t="s">
        <v>908</v>
      </c>
      <c r="G621" s="2" t="s">
        <v>909</v>
      </c>
      <c r="H621">
        <v>85016</v>
      </c>
      <c r="I621" t="s">
        <v>910</v>
      </c>
      <c r="J621" t="s">
        <v>1242</v>
      </c>
      <c r="K621" t="s">
        <v>321</v>
      </c>
      <c r="L621" t="s">
        <v>2047</v>
      </c>
      <c r="M621">
        <f>VLOOKUP(SUBSTITUTE(J621,"'",""),Sheet1!L:M,2,FALSE)</f>
        <v>61120</v>
      </c>
    </row>
    <row r="622" spans="1:13" ht="13.5" customHeight="1" x14ac:dyDescent="0.4">
      <c r="A622" s="1">
        <v>45787</v>
      </c>
      <c r="B622" t="s">
        <v>1237</v>
      </c>
      <c r="C622">
        <v>-9.9499999999999993</v>
      </c>
      <c r="D622" s="2" t="s">
        <v>1238</v>
      </c>
      <c r="E622" t="s">
        <v>1237</v>
      </c>
      <c r="F622" s="2" t="s">
        <v>897</v>
      </c>
      <c r="G622" s="2" t="s">
        <v>898</v>
      </c>
      <c r="H622">
        <v>33337</v>
      </c>
      <c r="I622" t="s">
        <v>16</v>
      </c>
      <c r="J622" t="s">
        <v>1239</v>
      </c>
      <c r="K622" t="s">
        <v>321</v>
      </c>
      <c r="L622" t="s">
        <v>2047</v>
      </c>
      <c r="M622">
        <f>VLOOKUP(SUBSTITUTE(J622,"'",""),Sheet1!L:M,2,FALSE)</f>
        <v>61120</v>
      </c>
    </row>
    <row r="623" spans="1:13" ht="13.5" customHeight="1" x14ac:dyDescent="0.4">
      <c r="A623" s="1">
        <v>45787</v>
      </c>
      <c r="B623" t="s">
        <v>1234</v>
      </c>
      <c r="C623">
        <v>-14</v>
      </c>
      <c r="D623" s="2" t="s">
        <v>1235</v>
      </c>
      <c r="E623" t="s">
        <v>1234</v>
      </c>
      <c r="F623" t="s">
        <v>890</v>
      </c>
      <c r="G623" s="2" t="s">
        <v>891</v>
      </c>
      <c r="H623">
        <v>54307</v>
      </c>
      <c r="I623" t="s">
        <v>16</v>
      </c>
      <c r="J623" t="s">
        <v>1236</v>
      </c>
      <c r="K623" t="s">
        <v>321</v>
      </c>
      <c r="L623" t="s">
        <v>2047</v>
      </c>
      <c r="M623">
        <f>VLOOKUP(SUBSTITUTE(J623,"'",""),Sheet1!L:M,2,FALSE)</f>
        <v>61120</v>
      </c>
    </row>
    <row r="624" spans="1:13" ht="13.5" customHeight="1" x14ac:dyDescent="0.4">
      <c r="A624" s="1">
        <v>45787</v>
      </c>
      <c r="B624" t="s">
        <v>3943</v>
      </c>
      <c r="C624">
        <v>56.23</v>
      </c>
      <c r="D624" s="2" t="s">
        <v>3944</v>
      </c>
      <c r="E624" t="s">
        <v>3943</v>
      </c>
      <c r="F624" t="s">
        <v>3945</v>
      </c>
      <c r="G624" s="2" t="s">
        <v>443</v>
      </c>
      <c r="H624">
        <v>11211</v>
      </c>
      <c r="I624" t="s">
        <v>16</v>
      </c>
      <c r="J624" t="s">
        <v>3946</v>
      </c>
      <c r="K624" t="s">
        <v>305</v>
      </c>
      <c r="L624" t="s">
        <v>4673</v>
      </c>
      <c r="M624">
        <f>VLOOKUP(SUBSTITUTE(J624,"'",""),Sheet1!L:M,2,FALSE)</f>
        <v>54820</v>
      </c>
    </row>
    <row r="625" spans="1:13" ht="13.5" customHeight="1" x14ac:dyDescent="0.4">
      <c r="A625" s="1">
        <v>45788</v>
      </c>
      <c r="B625" t="s">
        <v>895</v>
      </c>
      <c r="C625">
        <v>9.9499999999999993</v>
      </c>
      <c r="D625" s="2" t="s">
        <v>1224</v>
      </c>
      <c r="E625" t="s">
        <v>895</v>
      </c>
      <c r="F625" s="2" t="s">
        <v>897</v>
      </c>
      <c r="G625" s="2" t="s">
        <v>898</v>
      </c>
      <c r="H625">
        <v>33337</v>
      </c>
      <c r="I625" t="s">
        <v>16</v>
      </c>
      <c r="J625" t="s">
        <v>1225</v>
      </c>
      <c r="K625" t="s">
        <v>321</v>
      </c>
      <c r="L625" t="s">
        <v>2047</v>
      </c>
      <c r="M625">
        <f>VLOOKUP(SUBSTITUTE(J625,"'",""),Sheet1!L:M,2,FALSE)</f>
        <v>61120</v>
      </c>
    </row>
    <row r="626" spans="1:13" ht="13.5" customHeight="1" x14ac:dyDescent="0.4">
      <c r="A626" s="1">
        <v>45788</v>
      </c>
      <c r="B626" t="s">
        <v>906</v>
      </c>
      <c r="C626">
        <v>9.9499999999999993</v>
      </c>
      <c r="D626" s="2" t="s">
        <v>1228</v>
      </c>
      <c r="E626" t="s">
        <v>906</v>
      </c>
      <c r="F626" t="s">
        <v>908</v>
      </c>
      <c r="G626" s="2" t="s">
        <v>909</v>
      </c>
      <c r="H626">
        <v>85016</v>
      </c>
      <c r="I626" t="s">
        <v>910</v>
      </c>
      <c r="J626" t="s">
        <v>1229</v>
      </c>
      <c r="K626" t="s">
        <v>321</v>
      </c>
      <c r="L626" t="s">
        <v>2047</v>
      </c>
      <c r="M626">
        <f>VLOOKUP(SUBSTITUTE(J626,"'",""),Sheet1!L:M,2,FALSE)</f>
        <v>61120</v>
      </c>
    </row>
    <row r="627" spans="1:13" ht="13.5" customHeight="1" x14ac:dyDescent="0.4">
      <c r="A627" s="1">
        <v>45788</v>
      </c>
      <c r="B627" t="s">
        <v>888</v>
      </c>
      <c r="C627">
        <v>14</v>
      </c>
      <c r="D627" s="2" t="s">
        <v>1222</v>
      </c>
      <c r="E627" t="s">
        <v>888</v>
      </c>
      <c r="F627" t="s">
        <v>890</v>
      </c>
      <c r="G627" s="2" t="s">
        <v>891</v>
      </c>
      <c r="H627">
        <v>54307</v>
      </c>
      <c r="I627" t="s">
        <v>16</v>
      </c>
      <c r="J627" t="s">
        <v>1223</v>
      </c>
      <c r="K627" t="s">
        <v>321</v>
      </c>
      <c r="L627" t="s">
        <v>2047</v>
      </c>
      <c r="M627">
        <f>VLOOKUP(SUBSTITUTE(J627,"'",""),Sheet1!L:M,2,FALSE)</f>
        <v>61120</v>
      </c>
    </row>
    <row r="628" spans="1:13" ht="13.5" customHeight="1" x14ac:dyDescent="0.4">
      <c r="A628" s="1">
        <v>45788</v>
      </c>
      <c r="B628" t="s">
        <v>478</v>
      </c>
      <c r="C628">
        <v>37.82</v>
      </c>
      <c r="D628" s="2" t="s">
        <v>1230</v>
      </c>
      <c r="E628" t="s">
        <v>480</v>
      </c>
      <c r="F628" s="2" t="s">
        <v>481</v>
      </c>
      <c r="G628" s="2" t="s">
        <v>35</v>
      </c>
      <c r="H628">
        <v>94103</v>
      </c>
      <c r="I628" t="s">
        <v>16</v>
      </c>
      <c r="J628" t="s">
        <v>1231</v>
      </c>
      <c r="K628" t="s">
        <v>483</v>
      </c>
      <c r="L628" t="s">
        <v>2047</v>
      </c>
      <c r="M628">
        <f>VLOOKUP(SUBSTITUTE(J628,"'",""),Sheet1!L:M,2,FALSE)</f>
        <v>61130</v>
      </c>
    </row>
    <row r="629" spans="1:13" ht="13.5" customHeight="1" x14ac:dyDescent="0.4">
      <c r="A629" s="1">
        <v>45788</v>
      </c>
      <c r="B629" t="s">
        <v>478</v>
      </c>
      <c r="C629">
        <v>39.99</v>
      </c>
      <c r="D629" s="2" t="s">
        <v>1232</v>
      </c>
      <c r="E629" t="s">
        <v>480</v>
      </c>
      <c r="F629" s="2" t="s">
        <v>481</v>
      </c>
      <c r="G629" s="2" t="s">
        <v>35</v>
      </c>
      <c r="H629">
        <v>94103</v>
      </c>
      <c r="I629" t="s">
        <v>16</v>
      </c>
      <c r="J629" t="s">
        <v>1233</v>
      </c>
      <c r="K629" t="s">
        <v>483</v>
      </c>
      <c r="L629" t="s">
        <v>2047</v>
      </c>
      <c r="M629">
        <f>VLOOKUP(SUBSTITUTE(J629,"'",""),Sheet1!L:M,2,FALSE)</f>
        <v>61130</v>
      </c>
    </row>
    <row r="630" spans="1:13" ht="13.5" customHeight="1" x14ac:dyDescent="0.4">
      <c r="A630" s="1">
        <v>45788</v>
      </c>
      <c r="B630" t="s">
        <v>2259</v>
      </c>
      <c r="C630">
        <v>21.39</v>
      </c>
      <c r="D630" s="2" t="s">
        <v>3935</v>
      </c>
      <c r="E630" t="s">
        <v>2259</v>
      </c>
      <c r="F630" t="s">
        <v>2261</v>
      </c>
      <c r="G630" s="2" t="s">
        <v>14</v>
      </c>
      <c r="H630">
        <v>98103</v>
      </c>
      <c r="I630" t="s">
        <v>16</v>
      </c>
      <c r="J630" t="s">
        <v>3936</v>
      </c>
      <c r="K630" t="s">
        <v>1904</v>
      </c>
      <c r="L630" t="s">
        <v>4673</v>
      </c>
      <c r="M630">
        <f>VLOOKUP(SUBSTITUTE(J630,"'",""),Sheet1!L:M,2,FALSE)</f>
        <v>64100</v>
      </c>
    </row>
    <row r="631" spans="1:13" ht="13.5" customHeight="1" x14ac:dyDescent="0.4">
      <c r="A631" s="1">
        <v>45788</v>
      </c>
      <c r="B631" t="s">
        <v>2265</v>
      </c>
      <c r="C631">
        <v>36.9</v>
      </c>
      <c r="D631" s="2" t="s">
        <v>3939</v>
      </c>
      <c r="E631" t="s">
        <v>2265</v>
      </c>
      <c r="F631" t="s">
        <v>2261</v>
      </c>
      <c r="G631" s="2" t="s">
        <v>14</v>
      </c>
      <c r="H631">
        <v>98103</v>
      </c>
      <c r="I631" t="s">
        <v>16</v>
      </c>
      <c r="J631" t="s">
        <v>3940</v>
      </c>
      <c r="K631" t="s">
        <v>1904</v>
      </c>
      <c r="L631" t="s">
        <v>4673</v>
      </c>
      <c r="M631">
        <f>VLOOKUP(SUBSTITUTE(J631,"'",""),Sheet1!L:M,2,FALSE)</f>
        <v>64100</v>
      </c>
    </row>
    <row r="632" spans="1:13" ht="13.5" customHeight="1" x14ac:dyDescent="0.4">
      <c r="A632" s="1">
        <v>45788</v>
      </c>
      <c r="B632" t="s">
        <v>977</v>
      </c>
      <c r="C632">
        <v>10</v>
      </c>
      <c r="D632" s="2" t="s">
        <v>3937</v>
      </c>
      <c r="E632" t="s">
        <v>977</v>
      </c>
      <c r="F632" s="2" t="s">
        <v>979</v>
      </c>
      <c r="G632" s="2" t="s">
        <v>980</v>
      </c>
      <c r="H632">
        <v>78259</v>
      </c>
      <c r="I632" t="s">
        <v>16</v>
      </c>
      <c r="J632" t="s">
        <v>3938</v>
      </c>
      <c r="K632" t="s">
        <v>164</v>
      </c>
      <c r="L632" t="s">
        <v>4673</v>
      </c>
      <c r="M632">
        <f>VLOOKUP(SUBSTITUTE(J632,"'",""),Sheet1!L:M,2,FALSE)</f>
        <v>54820</v>
      </c>
    </row>
    <row r="633" spans="1:13" ht="13.5" customHeight="1" x14ac:dyDescent="0.4">
      <c r="A633" s="1">
        <v>45788</v>
      </c>
      <c r="B633" t="s">
        <v>461</v>
      </c>
      <c r="C633">
        <v>15</v>
      </c>
      <c r="D633" s="2" t="s">
        <v>1226</v>
      </c>
      <c r="E633" t="s">
        <v>461</v>
      </c>
      <c r="F633" s="2" t="s">
        <v>463</v>
      </c>
      <c r="G633" s="2" t="s">
        <v>464</v>
      </c>
      <c r="H633" s="3" t="s">
        <v>465</v>
      </c>
      <c r="I633" t="s">
        <v>16</v>
      </c>
      <c r="J633" t="s">
        <v>1227</v>
      </c>
      <c r="K633" t="s">
        <v>164</v>
      </c>
      <c r="L633" t="s">
        <v>2047</v>
      </c>
      <c r="M633">
        <f>VLOOKUP(SUBSTITUTE(J633,"'",""),Sheet1!L:M,2,FALSE)</f>
        <v>64100</v>
      </c>
    </row>
    <row r="634" spans="1:13" ht="13.5" customHeight="1" x14ac:dyDescent="0.4">
      <c r="A634" s="1">
        <v>45789</v>
      </c>
      <c r="B634" t="s">
        <v>458</v>
      </c>
      <c r="C634">
        <v>16.04</v>
      </c>
      <c r="D634" s="2" t="s">
        <v>1211</v>
      </c>
      <c r="E634" t="s">
        <v>458</v>
      </c>
      <c r="F634" t="s">
        <v>129</v>
      </c>
      <c r="G634" s="2" t="s">
        <v>130</v>
      </c>
      <c r="H634" t="s">
        <v>131</v>
      </c>
      <c r="I634" t="s">
        <v>16</v>
      </c>
      <c r="J634" t="s">
        <v>1212</v>
      </c>
      <c r="K634" t="s">
        <v>133</v>
      </c>
      <c r="L634" t="s">
        <v>2047</v>
      </c>
      <c r="M634">
        <f>VLOOKUP(SUBSTITUTE(J634,"'",""),Sheet1!L:M,2,FALSE)</f>
        <v>64100</v>
      </c>
    </row>
    <row r="635" spans="1:13" ht="13.5" customHeight="1" x14ac:dyDescent="0.4">
      <c r="A635" s="1">
        <v>45789</v>
      </c>
      <c r="B635" t="s">
        <v>3928</v>
      </c>
      <c r="C635">
        <v>28</v>
      </c>
      <c r="D635" s="2" t="s">
        <v>3929</v>
      </c>
      <c r="E635" t="s">
        <v>3928</v>
      </c>
      <c r="F635" t="s">
        <v>2248</v>
      </c>
      <c r="G635" s="2" t="s">
        <v>2249</v>
      </c>
      <c r="H635">
        <v>94025</v>
      </c>
      <c r="I635" t="s">
        <v>16</v>
      </c>
      <c r="J635" t="s">
        <v>3930</v>
      </c>
      <c r="K635" t="s">
        <v>2335</v>
      </c>
      <c r="L635" t="s">
        <v>4673</v>
      </c>
      <c r="M635">
        <f>VLOOKUP(SUBSTITUTE(J635,"'",""),Sheet1!L:M,2,FALSE)</f>
        <v>54820</v>
      </c>
    </row>
    <row r="636" spans="1:13" ht="13.5" customHeight="1" x14ac:dyDescent="0.4">
      <c r="A636" s="1">
        <v>45789</v>
      </c>
      <c r="B636" t="s">
        <v>977</v>
      </c>
      <c r="C636">
        <v>250</v>
      </c>
      <c r="D636" s="2" t="s">
        <v>1209</v>
      </c>
      <c r="E636" t="s">
        <v>977</v>
      </c>
      <c r="F636" s="2" t="s">
        <v>979</v>
      </c>
      <c r="G636" s="2" t="s">
        <v>980</v>
      </c>
      <c r="H636">
        <v>78259</v>
      </c>
      <c r="I636" t="s">
        <v>16</v>
      </c>
      <c r="J636" t="s">
        <v>1210</v>
      </c>
      <c r="K636" t="s">
        <v>164</v>
      </c>
      <c r="L636" t="s">
        <v>2047</v>
      </c>
      <c r="M636">
        <f>VLOOKUP(SUBSTITUTE(J636,"'",""),Sheet1!L:M,2,FALSE)</f>
        <v>54820</v>
      </c>
    </row>
    <row r="637" spans="1:13" ht="13.5" customHeight="1" x14ac:dyDescent="0.4">
      <c r="A637" s="1">
        <v>45789</v>
      </c>
      <c r="B637" t="s">
        <v>1213</v>
      </c>
      <c r="C637">
        <v>2.25</v>
      </c>
      <c r="D637" s="2" t="s">
        <v>1214</v>
      </c>
      <c r="E637" t="s">
        <v>1213</v>
      </c>
      <c r="F637" t="s">
        <v>1215</v>
      </c>
      <c r="G637" s="2" t="s">
        <v>1216</v>
      </c>
      <c r="H637">
        <v>11371</v>
      </c>
      <c r="I637" t="s">
        <v>16</v>
      </c>
      <c r="J637" t="s">
        <v>1217</v>
      </c>
      <c r="K637" t="s">
        <v>1218</v>
      </c>
      <c r="L637" t="s">
        <v>2047</v>
      </c>
      <c r="M637">
        <f>VLOOKUP(SUBSTITUTE(J637,"'",""),Sheet1!L:M,2,FALSE)</f>
        <v>54820</v>
      </c>
    </row>
    <row r="638" spans="1:13" ht="13.5" customHeight="1" x14ac:dyDescent="0.4">
      <c r="A638" s="1">
        <v>45789</v>
      </c>
      <c r="B638" t="s">
        <v>2533</v>
      </c>
      <c r="C638">
        <v>39.18</v>
      </c>
      <c r="D638" s="2" t="s">
        <v>3933</v>
      </c>
      <c r="E638" t="s">
        <v>2533</v>
      </c>
      <c r="F638" t="s">
        <v>2535</v>
      </c>
      <c r="G638" s="2" t="s">
        <v>41</v>
      </c>
      <c r="H638" t="s">
        <v>2536</v>
      </c>
      <c r="I638" t="s">
        <v>16</v>
      </c>
      <c r="J638" t="s">
        <v>3934</v>
      </c>
      <c r="K638" t="s">
        <v>164</v>
      </c>
      <c r="L638" t="s">
        <v>4673</v>
      </c>
      <c r="M638">
        <f>VLOOKUP(SUBSTITUTE(J638,"'",""),Sheet1!L:M,2,FALSE)</f>
        <v>54820</v>
      </c>
    </row>
    <row r="639" spans="1:13" ht="13.5" customHeight="1" x14ac:dyDescent="0.4">
      <c r="A639" s="1">
        <v>45789</v>
      </c>
      <c r="B639" t="s">
        <v>977</v>
      </c>
      <c r="C639">
        <v>10</v>
      </c>
      <c r="D639" s="2" t="s">
        <v>3926</v>
      </c>
      <c r="E639" t="s">
        <v>977</v>
      </c>
      <c r="F639" s="2" t="s">
        <v>979</v>
      </c>
      <c r="G639" s="2" t="s">
        <v>980</v>
      </c>
      <c r="H639">
        <v>78259</v>
      </c>
      <c r="I639" t="s">
        <v>16</v>
      </c>
      <c r="J639" t="s">
        <v>3927</v>
      </c>
      <c r="K639" t="s">
        <v>164</v>
      </c>
      <c r="L639" t="s">
        <v>4673</v>
      </c>
      <c r="M639">
        <f>VLOOKUP(SUBSTITUTE(J639,"'",""),Sheet1!L:M,2,FALSE)</f>
        <v>54820</v>
      </c>
    </row>
    <row r="640" spans="1:13" ht="13.5" customHeight="1" x14ac:dyDescent="0.4">
      <c r="A640" s="1">
        <v>45789</v>
      </c>
      <c r="B640" t="s">
        <v>1219</v>
      </c>
      <c r="C640">
        <v>77.95</v>
      </c>
      <c r="D640" s="2" t="s">
        <v>1220</v>
      </c>
      <c r="E640" t="s">
        <v>1219</v>
      </c>
      <c r="F640" s="2" t="s">
        <v>1189</v>
      </c>
      <c r="G640" s="2" t="s">
        <v>41</v>
      </c>
      <c r="H640">
        <v>10011</v>
      </c>
      <c r="I640" t="s">
        <v>16</v>
      </c>
      <c r="J640" t="s">
        <v>1221</v>
      </c>
      <c r="K640" t="s">
        <v>682</v>
      </c>
      <c r="L640" t="s">
        <v>2047</v>
      </c>
      <c r="M640">
        <f>VLOOKUP(SUBSTITUTE(J640,"'",""),Sheet1!L:M,2,FALSE)</f>
        <v>61120</v>
      </c>
    </row>
    <row r="641" spans="1:13" ht="13.5" customHeight="1" x14ac:dyDescent="0.4">
      <c r="A641" s="1">
        <v>45789</v>
      </c>
      <c r="B641" t="s">
        <v>2246</v>
      </c>
      <c r="C641">
        <v>11.99</v>
      </c>
      <c r="D641" s="2" t="s">
        <v>3931</v>
      </c>
      <c r="E641" t="s">
        <v>2246</v>
      </c>
      <c r="F641" t="s">
        <v>2248</v>
      </c>
      <c r="G641" s="2" t="s">
        <v>2249</v>
      </c>
      <c r="H641">
        <v>94025</v>
      </c>
      <c r="I641" t="s">
        <v>16</v>
      </c>
      <c r="J641" t="s">
        <v>3932</v>
      </c>
      <c r="K641" t="s">
        <v>164</v>
      </c>
      <c r="L641" t="s">
        <v>4673</v>
      </c>
      <c r="M641">
        <f>VLOOKUP(SUBSTITUTE(J641,"'",""),Sheet1!L:M,2,FALSE)</f>
        <v>54820</v>
      </c>
    </row>
    <row r="642" spans="1:13" ht="13.5" customHeight="1" x14ac:dyDescent="0.4">
      <c r="A642" s="1">
        <v>45789</v>
      </c>
      <c r="B642" t="s">
        <v>1205</v>
      </c>
      <c r="C642">
        <v>56.7</v>
      </c>
      <c r="D642" s="2" t="s">
        <v>1206</v>
      </c>
      <c r="E642" t="s">
        <v>1205</v>
      </c>
      <c r="F642" t="s">
        <v>1207</v>
      </c>
      <c r="G642" s="2" t="s">
        <v>491</v>
      </c>
      <c r="H642">
        <v>60661</v>
      </c>
      <c r="I642" t="s">
        <v>16</v>
      </c>
      <c r="J642" t="s">
        <v>1208</v>
      </c>
      <c r="K642" t="s">
        <v>483</v>
      </c>
      <c r="L642" t="s">
        <v>2047</v>
      </c>
      <c r="M642">
        <f>VLOOKUP(SUBSTITUTE(J642,"'",""),Sheet1!L:M,2,FALSE)</f>
        <v>54820</v>
      </c>
    </row>
    <row r="643" spans="1:13" ht="13.5" customHeight="1" x14ac:dyDescent="0.4">
      <c r="A643" s="1">
        <v>45790</v>
      </c>
      <c r="B643" t="s">
        <v>478</v>
      </c>
      <c r="C643">
        <v>211.49</v>
      </c>
      <c r="D643" s="2" t="s">
        <v>1203</v>
      </c>
      <c r="E643" t="s">
        <v>480</v>
      </c>
      <c r="F643" s="2" t="s">
        <v>481</v>
      </c>
      <c r="G643" s="2" t="s">
        <v>35</v>
      </c>
      <c r="H643">
        <v>94103</v>
      </c>
      <c r="I643" t="s">
        <v>16</v>
      </c>
      <c r="J643" t="s">
        <v>1204</v>
      </c>
      <c r="K643" t="s">
        <v>483</v>
      </c>
      <c r="L643" t="s">
        <v>2047</v>
      </c>
      <c r="M643">
        <f>VLOOKUP(SUBSTITUTE(J643,"'",""),Sheet1!L:M,2,FALSE)</f>
        <v>61130</v>
      </c>
    </row>
    <row r="644" spans="1:13" ht="13.5" customHeight="1" x14ac:dyDescent="0.4">
      <c r="A644" s="1">
        <v>45790</v>
      </c>
      <c r="B644" t="s">
        <v>885</v>
      </c>
      <c r="C644">
        <v>28.21</v>
      </c>
      <c r="D644" s="2" t="s">
        <v>3922</v>
      </c>
      <c r="E644" t="s">
        <v>885</v>
      </c>
      <c r="F644" t="s">
        <v>108</v>
      </c>
      <c r="G644" s="2" t="s">
        <v>41</v>
      </c>
      <c r="H644">
        <v>10012</v>
      </c>
      <c r="I644" t="s">
        <v>16</v>
      </c>
      <c r="J644" t="s">
        <v>3923</v>
      </c>
      <c r="K644" t="s">
        <v>110</v>
      </c>
      <c r="L644" t="s">
        <v>4673</v>
      </c>
      <c r="M644">
        <f>VLOOKUP(SUBSTITUTE(J644,"'",""),Sheet1!L:M,2,FALSE)</f>
        <v>67500</v>
      </c>
    </row>
    <row r="645" spans="1:13" ht="13.5" customHeight="1" x14ac:dyDescent="0.4">
      <c r="A645" s="1">
        <v>45790</v>
      </c>
      <c r="B645" t="s">
        <v>3919</v>
      </c>
      <c r="C645">
        <v>106.99</v>
      </c>
      <c r="D645" s="2" t="s">
        <v>3920</v>
      </c>
      <c r="E645" t="s">
        <v>3919</v>
      </c>
      <c r="F645" s="2" t="s">
        <v>2233</v>
      </c>
      <c r="G645" s="2" t="s">
        <v>130</v>
      </c>
      <c r="H645" t="s">
        <v>2234</v>
      </c>
      <c r="I645" t="s">
        <v>16</v>
      </c>
      <c r="J645" t="s">
        <v>3921</v>
      </c>
      <c r="K645" t="s">
        <v>18</v>
      </c>
      <c r="L645" t="s">
        <v>4673</v>
      </c>
      <c r="M645">
        <f>VLOOKUP(SUBSTITUTE(J645,"'",""),Sheet1!L:M,2,FALSE)</f>
        <v>61100</v>
      </c>
    </row>
    <row r="646" spans="1:13" ht="13.5" customHeight="1" x14ac:dyDescent="0.4">
      <c r="A646" s="1">
        <v>45790</v>
      </c>
      <c r="B646" t="s">
        <v>1111</v>
      </c>
      <c r="C646">
        <v>90</v>
      </c>
      <c r="D646" s="2" t="s">
        <v>1199</v>
      </c>
      <c r="E646" t="s">
        <v>1111</v>
      </c>
      <c r="F646" t="s">
        <v>1113</v>
      </c>
      <c r="G646" s="2" t="s">
        <v>491</v>
      </c>
      <c r="H646" t="s">
        <v>1114</v>
      </c>
      <c r="I646" t="s">
        <v>16</v>
      </c>
      <c r="J646" t="s">
        <v>1200</v>
      </c>
      <c r="K646" t="s">
        <v>50</v>
      </c>
      <c r="L646" t="s">
        <v>2047</v>
      </c>
      <c r="M646">
        <f>VLOOKUP(SUBSTITUTE(J646,"'",""),Sheet1!L:M,2,FALSE)</f>
        <v>61110</v>
      </c>
    </row>
    <row r="647" spans="1:13" ht="13.5" customHeight="1" x14ac:dyDescent="0.4">
      <c r="A647" s="1">
        <v>45790</v>
      </c>
      <c r="B647" t="s">
        <v>2934</v>
      </c>
      <c r="C647">
        <v>14.1</v>
      </c>
      <c r="D647" s="2" t="s">
        <v>3917</v>
      </c>
      <c r="E647" t="s">
        <v>2934</v>
      </c>
      <c r="F647" t="s">
        <v>3794</v>
      </c>
      <c r="G647" s="2" t="s">
        <v>41</v>
      </c>
      <c r="H647">
        <v>10003</v>
      </c>
      <c r="I647" t="s">
        <v>16</v>
      </c>
      <c r="J647" t="s">
        <v>3918</v>
      </c>
      <c r="K647" t="s">
        <v>305</v>
      </c>
      <c r="L647" t="s">
        <v>4673</v>
      </c>
      <c r="M647">
        <f>VLOOKUP(SUBSTITUTE(J647,"'",""),Sheet1!L:M,2,FALSE)</f>
        <v>54820</v>
      </c>
    </row>
    <row r="648" spans="1:13" ht="13.5" customHeight="1" x14ac:dyDescent="0.4">
      <c r="A648" s="1">
        <v>45790</v>
      </c>
      <c r="B648" t="s">
        <v>1111</v>
      </c>
      <c r="C648">
        <v>90</v>
      </c>
      <c r="D648" s="2" t="s">
        <v>1201</v>
      </c>
      <c r="E648" t="s">
        <v>1111</v>
      </c>
      <c r="F648" t="s">
        <v>1113</v>
      </c>
      <c r="G648" s="2" t="s">
        <v>491</v>
      </c>
      <c r="H648" t="s">
        <v>1114</v>
      </c>
      <c r="I648" t="s">
        <v>16</v>
      </c>
      <c r="J648" t="s">
        <v>1202</v>
      </c>
      <c r="K648" t="s">
        <v>50</v>
      </c>
      <c r="L648" t="s">
        <v>2047</v>
      </c>
      <c r="M648">
        <f>VLOOKUP(SUBSTITUTE(J648,"'",""),Sheet1!L:M,2,FALSE)</f>
        <v>61110</v>
      </c>
    </row>
    <row r="649" spans="1:13" ht="13.5" customHeight="1" x14ac:dyDescent="0.4">
      <c r="A649" s="1">
        <v>45790</v>
      </c>
      <c r="B649" t="s">
        <v>2085</v>
      </c>
      <c r="C649">
        <v>23.61</v>
      </c>
      <c r="D649" s="2" t="s">
        <v>3924</v>
      </c>
      <c r="E649" t="s">
        <v>2085</v>
      </c>
      <c r="F649" t="s">
        <v>2087</v>
      </c>
      <c r="G649" s="2" t="s">
        <v>41</v>
      </c>
      <c r="H649">
        <v>10001</v>
      </c>
      <c r="I649" t="s">
        <v>16</v>
      </c>
      <c r="J649" t="s">
        <v>3925</v>
      </c>
      <c r="K649" t="s">
        <v>1218</v>
      </c>
      <c r="L649" t="s">
        <v>4673</v>
      </c>
      <c r="M649">
        <f>VLOOKUP(SUBSTITUTE(J649,"'",""),Sheet1!L:M,2,FALSE)</f>
        <v>54820</v>
      </c>
    </row>
    <row r="650" spans="1:13" ht="13.5" customHeight="1" x14ac:dyDescent="0.4">
      <c r="A650" s="1">
        <v>45791</v>
      </c>
      <c r="B650" t="s">
        <v>2344</v>
      </c>
      <c r="C650">
        <v>50.67</v>
      </c>
      <c r="D650" s="2" t="s">
        <v>3909</v>
      </c>
      <c r="E650" t="s">
        <v>2344</v>
      </c>
      <c r="F650" t="s">
        <v>2219</v>
      </c>
      <c r="G650" s="2" t="s">
        <v>41</v>
      </c>
      <c r="H650">
        <v>10013</v>
      </c>
      <c r="I650" t="s">
        <v>16</v>
      </c>
      <c r="J650" t="s">
        <v>3910</v>
      </c>
      <c r="K650" t="s">
        <v>321</v>
      </c>
      <c r="L650" t="s">
        <v>4673</v>
      </c>
      <c r="M650">
        <f>VLOOKUP(SUBSTITUTE(J650,"'",""),Sheet1!L:M,2,FALSE)</f>
        <v>54820</v>
      </c>
    </row>
    <row r="651" spans="1:13" ht="13.5" customHeight="1" x14ac:dyDescent="0.4">
      <c r="A651" s="1">
        <v>45791</v>
      </c>
      <c r="B651" t="s">
        <v>2222</v>
      </c>
      <c r="C651">
        <v>20.18</v>
      </c>
      <c r="D651" s="2" t="s">
        <v>3911</v>
      </c>
      <c r="E651" t="s">
        <v>2222</v>
      </c>
      <c r="F651" s="2" t="s">
        <v>2224</v>
      </c>
      <c r="G651" s="2" t="s">
        <v>35</v>
      </c>
      <c r="H651">
        <v>94103</v>
      </c>
      <c r="I651" t="s">
        <v>16</v>
      </c>
      <c r="J651" t="s">
        <v>3912</v>
      </c>
      <c r="K651" t="s">
        <v>164</v>
      </c>
      <c r="L651" t="s">
        <v>4673</v>
      </c>
      <c r="M651">
        <f>VLOOKUP(SUBSTITUTE(J651,"'",""),Sheet1!L:M,2,FALSE)</f>
        <v>54820</v>
      </c>
    </row>
    <row r="652" spans="1:13" ht="13.5" customHeight="1" x14ac:dyDescent="0.4">
      <c r="A652" s="1">
        <v>45791</v>
      </c>
      <c r="B652" t="s">
        <v>478</v>
      </c>
      <c r="C652">
        <v>70.540000000000006</v>
      </c>
      <c r="D652" s="2" t="s">
        <v>1195</v>
      </c>
      <c r="E652" t="s">
        <v>480</v>
      </c>
      <c r="F652" s="2" t="s">
        <v>481</v>
      </c>
      <c r="G652" s="2" t="s">
        <v>35</v>
      </c>
      <c r="H652">
        <v>94103</v>
      </c>
      <c r="I652" t="s">
        <v>16</v>
      </c>
      <c r="J652" t="s">
        <v>1196</v>
      </c>
      <c r="K652" t="s">
        <v>483</v>
      </c>
      <c r="L652" t="s">
        <v>2047</v>
      </c>
      <c r="M652">
        <f>VLOOKUP(SUBSTITUTE(J652,"'",""),Sheet1!L:M,2,FALSE)</f>
        <v>61130</v>
      </c>
    </row>
    <row r="653" spans="1:13" ht="13.5" customHeight="1" x14ac:dyDescent="0.4">
      <c r="A653" s="1">
        <v>45791</v>
      </c>
      <c r="B653" t="s">
        <v>478</v>
      </c>
      <c r="C653">
        <v>20.93</v>
      </c>
      <c r="D653" s="2" t="s">
        <v>1193</v>
      </c>
      <c r="E653" t="s">
        <v>480</v>
      </c>
      <c r="F653" s="2" t="s">
        <v>481</v>
      </c>
      <c r="G653" s="2" t="s">
        <v>35</v>
      </c>
      <c r="H653">
        <v>94103</v>
      </c>
      <c r="I653" t="s">
        <v>16</v>
      </c>
      <c r="J653" t="s">
        <v>1194</v>
      </c>
      <c r="K653" t="s">
        <v>483</v>
      </c>
      <c r="L653" t="s">
        <v>2047</v>
      </c>
      <c r="M653">
        <f>VLOOKUP(SUBSTITUTE(J653,"'",""),Sheet1!L:M,2,FALSE)</f>
        <v>61130</v>
      </c>
    </row>
    <row r="654" spans="1:13" ht="13.5" customHeight="1" x14ac:dyDescent="0.4">
      <c r="A654" s="1">
        <v>45791</v>
      </c>
      <c r="B654" t="s">
        <v>478</v>
      </c>
      <c r="C654">
        <v>100.64</v>
      </c>
      <c r="D654" s="2" t="s">
        <v>1197</v>
      </c>
      <c r="E654" t="s">
        <v>480</v>
      </c>
      <c r="F654" s="2" t="s">
        <v>481</v>
      </c>
      <c r="G654" s="2" t="s">
        <v>35</v>
      </c>
      <c r="H654">
        <v>94103</v>
      </c>
      <c r="I654" t="s">
        <v>16</v>
      </c>
      <c r="J654" t="s">
        <v>1198</v>
      </c>
      <c r="K654" t="s">
        <v>483</v>
      </c>
      <c r="L654" t="s">
        <v>2047</v>
      </c>
      <c r="M654">
        <f>VLOOKUP(SUBSTITUTE(J654,"'",""),Sheet1!L:M,2,FALSE)</f>
        <v>61130</v>
      </c>
    </row>
    <row r="655" spans="1:13" ht="13.5" customHeight="1" x14ac:dyDescent="0.4">
      <c r="A655" s="1">
        <v>45791</v>
      </c>
      <c r="B655" t="s">
        <v>478</v>
      </c>
      <c r="C655">
        <v>16.52</v>
      </c>
      <c r="D655" s="2" t="s">
        <v>1191</v>
      </c>
      <c r="E655" t="s">
        <v>480</v>
      </c>
      <c r="F655" s="2" t="s">
        <v>481</v>
      </c>
      <c r="G655" s="2" t="s">
        <v>35</v>
      </c>
      <c r="H655">
        <v>94103</v>
      </c>
      <c r="I655" t="s">
        <v>16</v>
      </c>
      <c r="J655" t="s">
        <v>1192</v>
      </c>
      <c r="K655" t="s">
        <v>483</v>
      </c>
      <c r="L655" t="s">
        <v>2047</v>
      </c>
      <c r="M655">
        <f>VLOOKUP(SUBSTITUTE(J655,"'",""),Sheet1!L:M,2,FALSE)</f>
        <v>61130</v>
      </c>
    </row>
    <row r="656" spans="1:13" ht="13.5" customHeight="1" x14ac:dyDescent="0.4">
      <c r="A656" s="1">
        <v>45791</v>
      </c>
      <c r="B656" t="s">
        <v>1111</v>
      </c>
      <c r="C656">
        <v>140</v>
      </c>
      <c r="D656" s="2" t="s">
        <v>1182</v>
      </c>
      <c r="E656" t="s">
        <v>1111</v>
      </c>
      <c r="F656" t="s">
        <v>1113</v>
      </c>
      <c r="G656" s="2" t="s">
        <v>491</v>
      </c>
      <c r="H656" t="s">
        <v>1114</v>
      </c>
      <c r="I656" t="s">
        <v>16</v>
      </c>
      <c r="J656" t="s">
        <v>1183</v>
      </c>
      <c r="K656" t="s">
        <v>50</v>
      </c>
      <c r="L656" t="s">
        <v>2047</v>
      </c>
      <c r="M656">
        <f>VLOOKUP(SUBSTITUTE(J656,"'",""),Sheet1!L:M,2,FALSE)</f>
        <v>61110</v>
      </c>
    </row>
    <row r="657" spans="1:13" ht="13.5" customHeight="1" x14ac:dyDescent="0.4">
      <c r="A657" s="1">
        <v>45791</v>
      </c>
      <c r="B657" t="s">
        <v>1184</v>
      </c>
      <c r="C657">
        <v>500</v>
      </c>
      <c r="D657" s="2" t="s">
        <v>1185</v>
      </c>
      <c r="E657" t="s">
        <v>1184</v>
      </c>
      <c r="F657" s="2" t="s">
        <v>1186</v>
      </c>
      <c r="G657" s="2" t="s">
        <v>491</v>
      </c>
      <c r="H657">
        <v>60654</v>
      </c>
      <c r="I657" t="s">
        <v>16</v>
      </c>
      <c r="J657" t="s">
        <v>1187</v>
      </c>
      <c r="K657" t="s">
        <v>126</v>
      </c>
      <c r="L657" t="s">
        <v>2047</v>
      </c>
      <c r="M657">
        <f>VLOOKUP(SUBSTITUTE(J657,"'",""),Sheet1!L:M,2,FALSE)</f>
        <v>61215</v>
      </c>
    </row>
    <row r="658" spans="1:13" ht="13.5" customHeight="1" x14ac:dyDescent="0.4">
      <c r="A658" s="1">
        <v>45791</v>
      </c>
      <c r="B658" t="s">
        <v>977</v>
      </c>
      <c r="C658">
        <v>50</v>
      </c>
      <c r="D658" s="2" t="s">
        <v>3907</v>
      </c>
      <c r="E658" t="s">
        <v>977</v>
      </c>
      <c r="F658" s="2" t="s">
        <v>979</v>
      </c>
      <c r="G658" s="2" t="s">
        <v>980</v>
      </c>
      <c r="H658">
        <v>78259</v>
      </c>
      <c r="I658" t="s">
        <v>16</v>
      </c>
      <c r="J658" t="s">
        <v>3908</v>
      </c>
      <c r="K658" t="s">
        <v>164</v>
      </c>
      <c r="L658" t="s">
        <v>4673</v>
      </c>
      <c r="M658">
        <f>VLOOKUP(SUBSTITUTE(J658,"'",""),Sheet1!L:M,2,FALSE)</f>
        <v>54820</v>
      </c>
    </row>
    <row r="659" spans="1:13" ht="13.5" customHeight="1" x14ac:dyDescent="0.4">
      <c r="A659" s="1">
        <v>45791</v>
      </c>
      <c r="B659" t="s">
        <v>1188</v>
      </c>
      <c r="C659">
        <v>-77.95</v>
      </c>
      <c r="D659" t="s">
        <v>1188</v>
      </c>
      <c r="E659" t="s">
        <v>1188</v>
      </c>
      <c r="F659" s="2" t="s">
        <v>1189</v>
      </c>
      <c r="G659" s="2" t="s">
        <v>41</v>
      </c>
      <c r="H659">
        <v>10011</v>
      </c>
      <c r="I659" t="s">
        <v>16</v>
      </c>
      <c r="J659" t="s">
        <v>1190</v>
      </c>
      <c r="K659" t="s">
        <v>682</v>
      </c>
      <c r="L659" t="s">
        <v>2047</v>
      </c>
      <c r="M659">
        <f>VLOOKUP(SUBSTITUTE(J659,"'",""),Sheet1!L:M,2,FALSE)</f>
        <v>61120</v>
      </c>
    </row>
    <row r="660" spans="1:13" ht="13.5" customHeight="1" x14ac:dyDescent="0.4">
      <c r="A660" s="1">
        <v>45791</v>
      </c>
      <c r="B660" t="s">
        <v>977</v>
      </c>
      <c r="C660">
        <v>500</v>
      </c>
      <c r="D660" s="2" t="s">
        <v>1176</v>
      </c>
      <c r="E660" t="s">
        <v>977</v>
      </c>
      <c r="F660" s="2" t="s">
        <v>979</v>
      </c>
      <c r="G660" s="2" t="s">
        <v>980</v>
      </c>
      <c r="H660">
        <v>78259</v>
      </c>
      <c r="I660" t="s">
        <v>16</v>
      </c>
      <c r="J660" t="s">
        <v>1177</v>
      </c>
      <c r="K660" t="s">
        <v>164</v>
      </c>
      <c r="L660" t="s">
        <v>2047</v>
      </c>
      <c r="M660">
        <f>VLOOKUP(SUBSTITUTE(J660,"'",""),Sheet1!L:M,2,FALSE)</f>
        <v>54820</v>
      </c>
    </row>
    <row r="661" spans="1:13" ht="13.5" customHeight="1" x14ac:dyDescent="0.4">
      <c r="A661" s="1">
        <v>45791</v>
      </c>
      <c r="B661" t="s">
        <v>977</v>
      </c>
      <c r="C661">
        <v>250</v>
      </c>
      <c r="D661" s="2" t="s">
        <v>1172</v>
      </c>
      <c r="E661" t="s">
        <v>977</v>
      </c>
      <c r="F661" s="2" t="s">
        <v>979</v>
      </c>
      <c r="G661" s="2" t="s">
        <v>980</v>
      </c>
      <c r="H661">
        <v>78259</v>
      </c>
      <c r="I661" t="s">
        <v>16</v>
      </c>
      <c r="J661" t="s">
        <v>1173</v>
      </c>
      <c r="K661" t="s">
        <v>164</v>
      </c>
      <c r="L661" t="s">
        <v>2047</v>
      </c>
      <c r="M661">
        <f>VLOOKUP(SUBSTITUTE(J661,"'",""),Sheet1!L:M,2,FALSE)</f>
        <v>54820</v>
      </c>
    </row>
    <row r="662" spans="1:13" ht="13.5" customHeight="1" x14ac:dyDescent="0.4">
      <c r="A662" s="1">
        <v>45791</v>
      </c>
      <c r="B662" t="s">
        <v>1111</v>
      </c>
      <c r="C662">
        <v>7.26</v>
      </c>
      <c r="D662" s="2" t="s">
        <v>1180</v>
      </c>
      <c r="E662" t="s">
        <v>1111</v>
      </c>
      <c r="F662" t="s">
        <v>1113</v>
      </c>
      <c r="G662" s="2" t="s">
        <v>491</v>
      </c>
      <c r="H662" t="s">
        <v>1114</v>
      </c>
      <c r="I662" t="s">
        <v>16</v>
      </c>
      <c r="J662" t="s">
        <v>1181</v>
      </c>
      <c r="K662" t="s">
        <v>50</v>
      </c>
      <c r="L662" t="s">
        <v>2047</v>
      </c>
      <c r="M662">
        <f>VLOOKUP(SUBSTITUTE(J662,"'",""),Sheet1!L:M,2,FALSE)</f>
        <v>61110</v>
      </c>
    </row>
    <row r="663" spans="1:13" ht="13.5" customHeight="1" x14ac:dyDescent="0.4">
      <c r="A663" s="1">
        <v>45791</v>
      </c>
      <c r="B663" t="s">
        <v>327</v>
      </c>
      <c r="C663">
        <v>4.3499999999999996</v>
      </c>
      <c r="D663" s="2" t="s">
        <v>1178</v>
      </c>
      <c r="E663" t="s">
        <v>327</v>
      </c>
      <c r="F663" t="s">
        <v>29</v>
      </c>
      <c r="G663" t="e">
        <f>-
NY</f>
        <v>#NAME?</v>
      </c>
      <c r="H663">
        <v>11577</v>
      </c>
      <c r="I663" t="s">
        <v>16</v>
      </c>
      <c r="J663" t="s">
        <v>1179</v>
      </c>
      <c r="K663" t="s">
        <v>31</v>
      </c>
      <c r="L663" t="s">
        <v>2047</v>
      </c>
      <c r="M663">
        <f>VLOOKUP(SUBSTITUTE(J663,"'",""),Sheet1!L:M,2,FALSE)</f>
        <v>61131</v>
      </c>
    </row>
    <row r="664" spans="1:13" ht="13.5" customHeight="1" x14ac:dyDescent="0.4">
      <c r="A664" s="1">
        <v>45791</v>
      </c>
      <c r="B664" t="s">
        <v>83</v>
      </c>
      <c r="C664">
        <v>109.42</v>
      </c>
      <c r="D664" s="2" t="s">
        <v>1158</v>
      </c>
      <c r="E664" t="s">
        <v>315</v>
      </c>
      <c r="F664" s="2" t="s">
        <v>86</v>
      </c>
      <c r="G664" s="2" t="s">
        <v>87</v>
      </c>
      <c r="H664" t="s">
        <v>88</v>
      </c>
      <c r="I664" t="s">
        <v>16</v>
      </c>
      <c r="J664" t="s">
        <v>1159</v>
      </c>
      <c r="K664" t="s">
        <v>90</v>
      </c>
      <c r="L664" t="s">
        <v>2047</v>
      </c>
      <c r="M664">
        <f>VLOOKUP(SUBSTITUTE(J664,"'",""),Sheet1!L:M,2,FALSE)</f>
        <v>65700</v>
      </c>
    </row>
    <row r="665" spans="1:13" ht="13.5" customHeight="1" x14ac:dyDescent="0.4">
      <c r="A665" s="1">
        <v>45791</v>
      </c>
      <c r="B665" t="s">
        <v>3913</v>
      </c>
      <c r="C665">
        <v>1750</v>
      </c>
      <c r="D665" s="2" t="s">
        <v>3914</v>
      </c>
      <c r="E665" t="s">
        <v>3913</v>
      </c>
      <c r="F665" t="s">
        <v>3915</v>
      </c>
      <c r="G665" s="2" t="s">
        <v>41</v>
      </c>
      <c r="H665">
        <v>10003</v>
      </c>
      <c r="I665" t="s">
        <v>16</v>
      </c>
      <c r="J665" t="s">
        <v>3916</v>
      </c>
      <c r="K665" t="s">
        <v>116</v>
      </c>
      <c r="L665" t="s">
        <v>4673</v>
      </c>
      <c r="M665">
        <f>VLOOKUP(SUBSTITUTE(J665,"'",""),Sheet1!L:M,2,FALSE)</f>
        <v>54820</v>
      </c>
    </row>
    <row r="666" spans="1:13" ht="13.5" customHeight="1" x14ac:dyDescent="0.4">
      <c r="A666" s="1">
        <v>45791</v>
      </c>
      <c r="B666" t="s">
        <v>977</v>
      </c>
      <c r="C666">
        <v>250</v>
      </c>
      <c r="D666" s="2" t="s">
        <v>1174</v>
      </c>
      <c r="E666" t="s">
        <v>977</v>
      </c>
      <c r="F666" s="2" t="s">
        <v>979</v>
      </c>
      <c r="G666" s="2" t="s">
        <v>980</v>
      </c>
      <c r="H666">
        <v>78259</v>
      </c>
      <c r="I666" t="s">
        <v>16</v>
      </c>
      <c r="J666" t="s">
        <v>1175</v>
      </c>
      <c r="K666" t="s">
        <v>164</v>
      </c>
      <c r="L666" t="s">
        <v>2047</v>
      </c>
      <c r="M666">
        <f>VLOOKUP(SUBSTITUTE(J666,"'",""),Sheet1!L:M,2,FALSE)</f>
        <v>54820</v>
      </c>
    </row>
    <row r="667" spans="1:13" ht="13.5" customHeight="1" x14ac:dyDescent="0.4">
      <c r="A667" s="1">
        <v>45791</v>
      </c>
      <c r="B667" t="s">
        <v>977</v>
      </c>
      <c r="C667">
        <v>50</v>
      </c>
      <c r="D667" s="2" t="s">
        <v>1160</v>
      </c>
      <c r="E667" t="s">
        <v>977</v>
      </c>
      <c r="F667" s="2" t="s">
        <v>979</v>
      </c>
      <c r="G667" s="2" t="s">
        <v>980</v>
      </c>
      <c r="H667">
        <v>78259</v>
      </c>
      <c r="I667" t="s">
        <v>16</v>
      </c>
      <c r="J667" t="s">
        <v>1161</v>
      </c>
      <c r="K667" t="s">
        <v>164</v>
      </c>
      <c r="L667" t="s">
        <v>2047</v>
      </c>
      <c r="M667">
        <f>VLOOKUP(SUBSTITUTE(J667,"'",""),Sheet1!L:M,2,FALSE)</f>
        <v>54820</v>
      </c>
    </row>
    <row r="668" spans="1:13" ht="13.5" customHeight="1" x14ac:dyDescent="0.4">
      <c r="A668" s="1">
        <v>45791</v>
      </c>
      <c r="B668" t="s">
        <v>977</v>
      </c>
      <c r="C668">
        <v>50</v>
      </c>
      <c r="D668" s="2" t="s">
        <v>1162</v>
      </c>
      <c r="E668" t="s">
        <v>977</v>
      </c>
      <c r="F668" s="2" t="s">
        <v>979</v>
      </c>
      <c r="G668" s="2" t="s">
        <v>980</v>
      </c>
      <c r="H668">
        <v>78259</v>
      </c>
      <c r="I668" t="s">
        <v>16</v>
      </c>
      <c r="J668" t="s">
        <v>1163</v>
      </c>
      <c r="K668" t="s">
        <v>164</v>
      </c>
      <c r="L668" t="s">
        <v>2047</v>
      </c>
      <c r="M668">
        <f>VLOOKUP(SUBSTITUTE(J668,"'",""),Sheet1!L:M,2,FALSE)</f>
        <v>54820</v>
      </c>
    </row>
    <row r="669" spans="1:13" ht="13.5" customHeight="1" x14ac:dyDescent="0.4">
      <c r="A669" s="1">
        <v>45791</v>
      </c>
      <c r="B669" t="s">
        <v>977</v>
      </c>
      <c r="C669">
        <v>50</v>
      </c>
      <c r="D669" s="2" t="s">
        <v>1164</v>
      </c>
      <c r="E669" t="s">
        <v>977</v>
      </c>
      <c r="F669" s="2" t="s">
        <v>979</v>
      </c>
      <c r="G669" s="2" t="s">
        <v>980</v>
      </c>
      <c r="H669">
        <v>78259</v>
      </c>
      <c r="I669" t="s">
        <v>16</v>
      </c>
      <c r="J669" t="s">
        <v>1165</v>
      </c>
      <c r="K669" t="s">
        <v>164</v>
      </c>
      <c r="L669" t="s">
        <v>2047</v>
      </c>
      <c r="M669">
        <f>VLOOKUP(SUBSTITUTE(J669,"'",""),Sheet1!L:M,2,FALSE)</f>
        <v>54820</v>
      </c>
    </row>
    <row r="670" spans="1:13" ht="13.5" customHeight="1" x14ac:dyDescent="0.4">
      <c r="A670" s="1">
        <v>45791</v>
      </c>
      <c r="B670" t="s">
        <v>977</v>
      </c>
      <c r="C670">
        <v>50</v>
      </c>
      <c r="D670" s="2" t="s">
        <v>1166</v>
      </c>
      <c r="E670" t="s">
        <v>977</v>
      </c>
      <c r="F670" s="2" t="s">
        <v>979</v>
      </c>
      <c r="G670" s="2" t="s">
        <v>980</v>
      </c>
      <c r="H670">
        <v>78259</v>
      </c>
      <c r="I670" t="s">
        <v>16</v>
      </c>
      <c r="J670" t="s">
        <v>1167</v>
      </c>
      <c r="K670" t="s">
        <v>164</v>
      </c>
      <c r="L670" t="s">
        <v>2047</v>
      </c>
      <c r="M670">
        <f>VLOOKUP(SUBSTITUTE(J670,"'",""),Sheet1!L:M,2,FALSE)</f>
        <v>54820</v>
      </c>
    </row>
    <row r="671" spans="1:13" ht="13.5" customHeight="1" x14ac:dyDescent="0.4">
      <c r="A671" s="1">
        <v>45791</v>
      </c>
      <c r="B671" t="s">
        <v>977</v>
      </c>
      <c r="C671">
        <v>50</v>
      </c>
      <c r="D671" s="2" t="s">
        <v>1168</v>
      </c>
      <c r="E671" t="s">
        <v>977</v>
      </c>
      <c r="F671" s="2" t="s">
        <v>979</v>
      </c>
      <c r="G671" s="2" t="s">
        <v>980</v>
      </c>
      <c r="H671">
        <v>78259</v>
      </c>
      <c r="I671" t="s">
        <v>16</v>
      </c>
      <c r="J671" t="s">
        <v>1169</v>
      </c>
      <c r="K671" t="s">
        <v>164</v>
      </c>
      <c r="L671" t="s">
        <v>2047</v>
      </c>
      <c r="M671">
        <f>VLOOKUP(SUBSTITUTE(J671,"'",""),Sheet1!L:M,2,FALSE)</f>
        <v>54820</v>
      </c>
    </row>
    <row r="672" spans="1:13" ht="13.5" customHeight="1" x14ac:dyDescent="0.4">
      <c r="A672" s="1">
        <v>45791</v>
      </c>
      <c r="B672" t="s">
        <v>977</v>
      </c>
      <c r="C672">
        <v>50</v>
      </c>
      <c r="D672" s="2" t="s">
        <v>1170</v>
      </c>
      <c r="E672" t="s">
        <v>977</v>
      </c>
      <c r="F672" s="2" t="s">
        <v>979</v>
      </c>
      <c r="G672" s="2" t="s">
        <v>980</v>
      </c>
      <c r="H672">
        <v>78259</v>
      </c>
      <c r="I672" t="s">
        <v>16</v>
      </c>
      <c r="J672" t="s">
        <v>1171</v>
      </c>
      <c r="K672" t="s">
        <v>164</v>
      </c>
      <c r="L672" t="s">
        <v>2047</v>
      </c>
      <c r="M672">
        <f>VLOOKUP(SUBSTITUTE(J672,"'",""),Sheet1!L:M,2,FALSE)</f>
        <v>54820</v>
      </c>
    </row>
    <row r="673" spans="1:13" ht="13.5" customHeight="1" x14ac:dyDescent="0.4">
      <c r="A673" s="1">
        <v>45792</v>
      </c>
      <c r="B673" t="s">
        <v>134</v>
      </c>
      <c r="C673">
        <v>-5000</v>
      </c>
      <c r="D673" t="s">
        <v>134</v>
      </c>
      <c r="E673" t="s">
        <v>134</v>
      </c>
      <c r="J673" t="s">
        <v>1149</v>
      </c>
      <c r="L673" t="s">
        <v>2047</v>
      </c>
      <c r="M673" t="e">
        <f>VLOOKUP(SUBSTITUTE(J673,"'",""),Sheet1!L:M,2,FALSE)</f>
        <v>#N/A</v>
      </c>
    </row>
    <row r="674" spans="1:13" ht="13.5" customHeight="1" x14ac:dyDescent="0.4">
      <c r="A674" s="1">
        <v>45792</v>
      </c>
      <c r="B674" t="s">
        <v>1140</v>
      </c>
      <c r="C674">
        <v>870</v>
      </c>
      <c r="D674" s="2" t="s">
        <v>1141</v>
      </c>
      <c r="E674" t="s">
        <v>1140</v>
      </c>
      <c r="F674" s="2" t="s">
        <v>1142</v>
      </c>
      <c r="G674" s="2" t="s">
        <v>1143</v>
      </c>
      <c r="H674">
        <v>10016</v>
      </c>
      <c r="I674" t="s">
        <v>16</v>
      </c>
      <c r="J674" t="s">
        <v>1144</v>
      </c>
      <c r="K674" t="s">
        <v>18</v>
      </c>
      <c r="L674" t="s">
        <v>2047</v>
      </c>
      <c r="M674">
        <f>VLOOKUP(SUBSTITUTE(J674,"'",""),Sheet1!L:M,2,FALSE)</f>
        <v>54820</v>
      </c>
    </row>
    <row r="675" spans="1:13" ht="13.5" customHeight="1" x14ac:dyDescent="0.4">
      <c r="A675" s="1">
        <v>45792</v>
      </c>
      <c r="B675" t="s">
        <v>478</v>
      </c>
      <c r="C675">
        <v>21.5</v>
      </c>
      <c r="D675" s="2" t="s">
        <v>1156</v>
      </c>
      <c r="E675" t="s">
        <v>480</v>
      </c>
      <c r="F675" s="2" t="s">
        <v>481</v>
      </c>
      <c r="G675" s="2" t="s">
        <v>35</v>
      </c>
      <c r="H675">
        <v>94103</v>
      </c>
      <c r="I675" t="s">
        <v>16</v>
      </c>
      <c r="J675" t="s">
        <v>1157</v>
      </c>
      <c r="K675" t="s">
        <v>483</v>
      </c>
      <c r="L675" t="s">
        <v>2047</v>
      </c>
      <c r="M675">
        <f>VLOOKUP(SUBSTITUTE(J675,"'",""),Sheet1!L:M,2,FALSE)</f>
        <v>61130</v>
      </c>
    </row>
    <row r="676" spans="1:13" ht="13.5" customHeight="1" x14ac:dyDescent="0.4">
      <c r="A676" s="1">
        <v>45792</v>
      </c>
      <c r="B676" t="s">
        <v>1152</v>
      </c>
      <c r="C676">
        <v>1100</v>
      </c>
      <c r="D676" s="2" t="s">
        <v>1153</v>
      </c>
      <c r="E676" t="s">
        <v>1152</v>
      </c>
      <c r="F676" t="s">
        <v>1154</v>
      </c>
      <c r="G676" s="2" t="s">
        <v>491</v>
      </c>
      <c r="H676">
        <v>60606</v>
      </c>
      <c r="I676" t="s">
        <v>16</v>
      </c>
      <c r="J676" t="s">
        <v>1155</v>
      </c>
      <c r="K676" t="s">
        <v>126</v>
      </c>
      <c r="L676" t="s">
        <v>2047</v>
      </c>
      <c r="M676">
        <f>VLOOKUP(SUBSTITUTE(J676,"'",""),Sheet1!L:M,2,FALSE)</f>
        <v>61215</v>
      </c>
    </row>
    <row r="677" spans="1:13" ht="13.5" customHeight="1" x14ac:dyDescent="0.4">
      <c r="A677" s="1">
        <v>45792</v>
      </c>
      <c r="B677" t="s">
        <v>2934</v>
      </c>
      <c r="C677">
        <v>12.79</v>
      </c>
      <c r="D677" s="2" t="s">
        <v>3901</v>
      </c>
      <c r="E677" t="s">
        <v>2934</v>
      </c>
      <c r="F677" t="s">
        <v>3794</v>
      </c>
      <c r="G677" s="2" t="s">
        <v>41</v>
      </c>
      <c r="H677">
        <v>10003</v>
      </c>
      <c r="I677" t="s">
        <v>16</v>
      </c>
      <c r="J677" t="s">
        <v>3902</v>
      </c>
      <c r="K677" t="s">
        <v>305</v>
      </c>
      <c r="L677" t="s">
        <v>4673</v>
      </c>
      <c r="M677">
        <f>VLOOKUP(SUBSTITUTE(J677,"'",""),Sheet1!L:M,2,FALSE)</f>
        <v>54820</v>
      </c>
    </row>
    <row r="678" spans="1:13" ht="13.5" customHeight="1" x14ac:dyDescent="0.4">
      <c r="A678" s="1">
        <v>45792</v>
      </c>
      <c r="B678" t="s">
        <v>1111</v>
      </c>
      <c r="C678">
        <v>32.35</v>
      </c>
      <c r="D678" s="2" t="s">
        <v>1147</v>
      </c>
      <c r="E678" t="s">
        <v>1111</v>
      </c>
      <c r="F678" t="s">
        <v>1113</v>
      </c>
      <c r="G678" s="2" t="s">
        <v>491</v>
      </c>
      <c r="H678" t="s">
        <v>1114</v>
      </c>
      <c r="I678" t="s">
        <v>16</v>
      </c>
      <c r="J678" t="s">
        <v>1148</v>
      </c>
      <c r="K678" t="s">
        <v>50</v>
      </c>
      <c r="L678" t="s">
        <v>2047</v>
      </c>
      <c r="M678">
        <f>VLOOKUP(SUBSTITUTE(J678,"'",""),Sheet1!L:M,2,FALSE)</f>
        <v>61110</v>
      </c>
    </row>
    <row r="679" spans="1:13" ht="13.5" customHeight="1" x14ac:dyDescent="0.4">
      <c r="A679" s="1">
        <v>45792</v>
      </c>
      <c r="B679" t="s">
        <v>1111</v>
      </c>
      <c r="C679">
        <v>22.74</v>
      </c>
      <c r="D679" s="2" t="s">
        <v>1145</v>
      </c>
      <c r="E679" t="s">
        <v>1111</v>
      </c>
      <c r="F679" t="s">
        <v>1113</v>
      </c>
      <c r="G679" s="2" t="s">
        <v>491</v>
      </c>
      <c r="H679" t="s">
        <v>1114</v>
      </c>
      <c r="I679" t="s">
        <v>16</v>
      </c>
      <c r="J679" t="s">
        <v>1146</v>
      </c>
      <c r="K679" t="s">
        <v>50</v>
      </c>
      <c r="L679" t="s">
        <v>2047</v>
      </c>
      <c r="M679">
        <f>VLOOKUP(SUBSTITUTE(J679,"'",""),Sheet1!L:M,2,FALSE)</f>
        <v>61110</v>
      </c>
    </row>
    <row r="680" spans="1:13" ht="13.5" customHeight="1" x14ac:dyDescent="0.4">
      <c r="A680" s="1">
        <v>45792</v>
      </c>
      <c r="B680" t="s">
        <v>2533</v>
      </c>
      <c r="C680">
        <v>59.88</v>
      </c>
      <c r="D680" s="2" t="s">
        <v>3903</v>
      </c>
      <c r="E680" t="s">
        <v>2533</v>
      </c>
      <c r="F680" t="s">
        <v>2535</v>
      </c>
      <c r="G680" s="2" t="s">
        <v>41</v>
      </c>
      <c r="H680" t="s">
        <v>2536</v>
      </c>
      <c r="I680" t="s">
        <v>16</v>
      </c>
      <c r="J680" t="s">
        <v>3904</v>
      </c>
      <c r="K680" t="s">
        <v>164</v>
      </c>
      <c r="L680" t="s">
        <v>4673</v>
      </c>
      <c r="M680">
        <f>VLOOKUP(SUBSTITUTE(J680,"'",""),Sheet1!L:M,2,FALSE)</f>
        <v>54820</v>
      </c>
    </row>
    <row r="681" spans="1:13" ht="13.5" customHeight="1" x14ac:dyDescent="0.4">
      <c r="A681" s="1">
        <v>45792</v>
      </c>
      <c r="B681" t="s">
        <v>1300</v>
      </c>
      <c r="C681">
        <v>3.31</v>
      </c>
      <c r="D681" s="2" t="s">
        <v>3897</v>
      </c>
      <c r="E681" t="s">
        <v>1300</v>
      </c>
      <c r="F681" t="s">
        <v>1302</v>
      </c>
      <c r="G681" s="2" t="s">
        <v>41</v>
      </c>
      <c r="H681">
        <v>10003</v>
      </c>
      <c r="I681" t="s">
        <v>16</v>
      </c>
      <c r="J681" t="s">
        <v>3898</v>
      </c>
      <c r="K681" t="s">
        <v>1304</v>
      </c>
      <c r="L681" t="s">
        <v>4673</v>
      </c>
      <c r="M681">
        <f>VLOOKUP(SUBSTITUTE(J681,"'",""),Sheet1!L:M,2,FALSE)</f>
        <v>54820</v>
      </c>
    </row>
    <row r="682" spans="1:13" ht="13.5" customHeight="1" x14ac:dyDescent="0.4">
      <c r="A682" s="1">
        <v>45792</v>
      </c>
      <c r="B682" t="s">
        <v>1300</v>
      </c>
      <c r="C682">
        <v>6.24</v>
      </c>
      <c r="D682" s="2" t="s">
        <v>3899</v>
      </c>
      <c r="E682" t="s">
        <v>1300</v>
      </c>
      <c r="F682" t="s">
        <v>1302</v>
      </c>
      <c r="G682" s="2" t="s">
        <v>41</v>
      </c>
      <c r="H682">
        <v>10003</v>
      </c>
      <c r="I682" t="s">
        <v>16</v>
      </c>
      <c r="J682" t="s">
        <v>3900</v>
      </c>
      <c r="K682" t="s">
        <v>1304</v>
      </c>
      <c r="L682" t="s">
        <v>4673</v>
      </c>
      <c r="M682">
        <f>VLOOKUP(SUBSTITUTE(J682,"'",""),Sheet1!L:M,2,FALSE)</f>
        <v>54820</v>
      </c>
    </row>
    <row r="683" spans="1:13" ht="13.5" customHeight="1" x14ac:dyDescent="0.4">
      <c r="A683" s="1">
        <v>45792</v>
      </c>
      <c r="B683" t="s">
        <v>2240</v>
      </c>
      <c r="C683">
        <v>119.15</v>
      </c>
      <c r="D683" s="2" t="s">
        <v>3905</v>
      </c>
      <c r="E683" t="s">
        <v>2240</v>
      </c>
      <c r="F683" t="s">
        <v>2242</v>
      </c>
      <c r="G683" s="2" t="s">
        <v>41</v>
      </c>
      <c r="H683">
        <v>10003</v>
      </c>
      <c r="I683" t="s">
        <v>16</v>
      </c>
      <c r="J683" t="s">
        <v>3906</v>
      </c>
      <c r="K683" t="s">
        <v>1218</v>
      </c>
      <c r="L683" t="s">
        <v>4673</v>
      </c>
      <c r="M683">
        <f>VLOOKUP(SUBSTITUTE(J683,"'",""),Sheet1!L:M,2,FALSE)</f>
        <v>54820</v>
      </c>
    </row>
    <row r="684" spans="1:13" ht="13.5" customHeight="1" x14ac:dyDescent="0.4">
      <c r="A684" s="1">
        <v>45792</v>
      </c>
      <c r="B684" t="s">
        <v>437</v>
      </c>
      <c r="C684">
        <v>10</v>
      </c>
      <c r="D684" s="2" t="s">
        <v>1150</v>
      </c>
      <c r="E684" t="s">
        <v>437</v>
      </c>
      <c r="F684" s="2" t="s">
        <v>80</v>
      </c>
      <c r="H684">
        <v>2150</v>
      </c>
      <c r="I684" t="s">
        <v>81</v>
      </c>
      <c r="J684" t="s">
        <v>1151</v>
      </c>
      <c r="K684" t="s">
        <v>37</v>
      </c>
      <c r="L684" t="s">
        <v>2047</v>
      </c>
      <c r="M684">
        <f>VLOOKUP(SUBSTITUTE(J684,"'",""),Sheet1!L:M,2,FALSE)</f>
        <v>64100</v>
      </c>
    </row>
    <row r="685" spans="1:13" ht="13.5" customHeight="1" x14ac:dyDescent="0.4">
      <c r="A685" s="1">
        <v>45793</v>
      </c>
      <c r="B685" t="s">
        <v>3894</v>
      </c>
      <c r="C685">
        <v>27.99</v>
      </c>
      <c r="D685" s="2" t="s">
        <v>3895</v>
      </c>
      <c r="E685" t="s">
        <v>3894</v>
      </c>
      <c r="F685" t="s">
        <v>2127</v>
      </c>
      <c r="G685" s="2" t="s">
        <v>41</v>
      </c>
      <c r="H685">
        <v>10003</v>
      </c>
      <c r="I685" t="s">
        <v>16</v>
      </c>
      <c r="J685" t="s">
        <v>3896</v>
      </c>
      <c r="K685" t="s">
        <v>37</v>
      </c>
      <c r="L685" t="s">
        <v>4673</v>
      </c>
      <c r="M685">
        <f>VLOOKUP(SUBSTITUTE(J685,"'",""),Sheet1!L:M,2,FALSE)</f>
        <v>54820</v>
      </c>
    </row>
    <row r="686" spans="1:13" ht="13.5" customHeight="1" x14ac:dyDescent="0.4">
      <c r="A686" s="1">
        <v>45793</v>
      </c>
      <c r="B686" t="s">
        <v>977</v>
      </c>
      <c r="C686">
        <v>50</v>
      </c>
      <c r="D686" s="2" t="s">
        <v>3888</v>
      </c>
      <c r="E686" t="s">
        <v>977</v>
      </c>
      <c r="F686" s="2" t="s">
        <v>979</v>
      </c>
      <c r="G686" s="2" t="s">
        <v>980</v>
      </c>
      <c r="H686">
        <v>78259</v>
      </c>
      <c r="I686" t="s">
        <v>16</v>
      </c>
      <c r="J686" t="s">
        <v>3889</v>
      </c>
      <c r="K686" t="s">
        <v>164</v>
      </c>
      <c r="L686" t="s">
        <v>4673</v>
      </c>
      <c r="M686">
        <f>VLOOKUP(SUBSTITUTE(J686,"'",""),Sheet1!L:M,2,FALSE)</f>
        <v>54820</v>
      </c>
    </row>
    <row r="687" spans="1:13" ht="13.5" customHeight="1" x14ac:dyDescent="0.4">
      <c r="A687" s="1">
        <v>45793</v>
      </c>
      <c r="B687" t="s">
        <v>134</v>
      </c>
      <c r="C687">
        <v>-2000</v>
      </c>
      <c r="D687" t="s">
        <v>134</v>
      </c>
      <c r="E687" t="s">
        <v>134</v>
      </c>
      <c r="J687" t="s">
        <v>1128</v>
      </c>
      <c r="L687" t="s">
        <v>2047</v>
      </c>
      <c r="M687" t="e">
        <f>VLOOKUP(SUBSTITUTE(J687,"'",""),Sheet1!L:M,2,FALSE)</f>
        <v>#N/A</v>
      </c>
    </row>
    <row r="688" spans="1:13" ht="13.5" customHeight="1" x14ac:dyDescent="0.4">
      <c r="A688" s="1">
        <v>45793</v>
      </c>
      <c r="B688" t="s">
        <v>1106</v>
      </c>
      <c r="C688">
        <v>847.95</v>
      </c>
      <c r="D688" s="2" t="s">
        <v>1126</v>
      </c>
      <c r="E688" t="s">
        <v>1106</v>
      </c>
      <c r="F688" t="s">
        <v>1108</v>
      </c>
      <c r="G688" s="2" t="s">
        <v>1109</v>
      </c>
      <c r="H688">
        <v>73132</v>
      </c>
      <c r="I688" t="s">
        <v>16</v>
      </c>
      <c r="J688" t="s">
        <v>1127</v>
      </c>
      <c r="K688" t="s">
        <v>43</v>
      </c>
      <c r="L688" t="s">
        <v>2047</v>
      </c>
      <c r="M688">
        <f>VLOOKUP(SUBSTITUTE(J688,"'",""),Sheet1!L:M,2,FALSE)</f>
        <v>61131</v>
      </c>
    </row>
    <row r="689" spans="1:13" ht="13.5" customHeight="1" x14ac:dyDescent="0.4">
      <c r="A689" s="1">
        <v>45793</v>
      </c>
      <c r="B689" t="s">
        <v>1135</v>
      </c>
      <c r="C689">
        <v>493.48</v>
      </c>
      <c r="D689" s="2" t="s">
        <v>1136</v>
      </c>
      <c r="E689" t="s">
        <v>1135</v>
      </c>
      <c r="F689" s="2" t="s">
        <v>1137</v>
      </c>
      <c r="G689" s="2" t="s">
        <v>1138</v>
      </c>
      <c r="H689">
        <v>77002</v>
      </c>
      <c r="I689" t="s">
        <v>16</v>
      </c>
      <c r="J689" t="s">
        <v>1139</v>
      </c>
      <c r="K689" t="s">
        <v>682</v>
      </c>
      <c r="L689" t="s">
        <v>2047</v>
      </c>
      <c r="M689">
        <f>VLOOKUP(SUBSTITUTE(J689,"'",""),Sheet1!L:M,2,FALSE)</f>
        <v>61120</v>
      </c>
    </row>
    <row r="690" spans="1:13" ht="13.5" customHeight="1" x14ac:dyDescent="0.4">
      <c r="A690" s="1">
        <v>45793</v>
      </c>
      <c r="B690" t="s">
        <v>1129</v>
      </c>
      <c r="C690">
        <v>72</v>
      </c>
      <c r="D690" s="2" t="s">
        <v>1130</v>
      </c>
      <c r="E690" t="s">
        <v>1129</v>
      </c>
      <c r="F690" t="s">
        <v>1131</v>
      </c>
      <c r="G690" s="2" t="s">
        <v>491</v>
      </c>
      <c r="H690">
        <v>60616</v>
      </c>
      <c r="I690" t="s">
        <v>16</v>
      </c>
      <c r="J690" t="s">
        <v>1132</v>
      </c>
      <c r="K690" t="s">
        <v>126</v>
      </c>
      <c r="L690" t="s">
        <v>2047</v>
      </c>
      <c r="M690">
        <f>VLOOKUP(SUBSTITUTE(J690,"'",""),Sheet1!L:M,2,FALSE)</f>
        <v>61215</v>
      </c>
    </row>
    <row r="691" spans="1:13" ht="13.5" customHeight="1" x14ac:dyDescent="0.4">
      <c r="A691" s="1">
        <v>45793</v>
      </c>
      <c r="B691" t="s">
        <v>1129</v>
      </c>
      <c r="C691">
        <v>139.38999999999999</v>
      </c>
      <c r="D691" s="2" t="s">
        <v>1130</v>
      </c>
      <c r="E691" t="s">
        <v>1129</v>
      </c>
      <c r="F691" t="s">
        <v>1131</v>
      </c>
      <c r="G691" s="2" t="s">
        <v>491</v>
      </c>
      <c r="H691">
        <v>60616</v>
      </c>
      <c r="I691" t="s">
        <v>16</v>
      </c>
      <c r="J691" t="s">
        <v>1133</v>
      </c>
      <c r="K691" t="s">
        <v>126</v>
      </c>
      <c r="L691" t="s">
        <v>2047</v>
      </c>
      <c r="M691">
        <f>VLOOKUP(SUBSTITUTE(J691,"'",""),Sheet1!L:M,2,FALSE)</f>
        <v>61215</v>
      </c>
    </row>
    <row r="692" spans="1:13" ht="13.5" customHeight="1" x14ac:dyDescent="0.4">
      <c r="A692" s="1">
        <v>45793</v>
      </c>
      <c r="B692" t="s">
        <v>1129</v>
      </c>
      <c r="C692">
        <v>160</v>
      </c>
      <c r="D692" s="2" t="s">
        <v>1130</v>
      </c>
      <c r="E692" t="s">
        <v>1129</v>
      </c>
      <c r="F692" t="s">
        <v>1131</v>
      </c>
      <c r="G692" s="2" t="s">
        <v>491</v>
      </c>
      <c r="H692">
        <v>60616</v>
      </c>
      <c r="I692" t="s">
        <v>16</v>
      </c>
      <c r="J692" t="s">
        <v>1134</v>
      </c>
      <c r="K692" t="s">
        <v>126</v>
      </c>
      <c r="L692" t="s">
        <v>2047</v>
      </c>
      <c r="M692">
        <f>VLOOKUP(SUBSTITUTE(J692,"'",""),Sheet1!L:M,2,FALSE)</f>
        <v>61215</v>
      </c>
    </row>
    <row r="693" spans="1:13" ht="13.5" customHeight="1" x14ac:dyDescent="0.4">
      <c r="A693" s="1">
        <v>45793</v>
      </c>
      <c r="B693" t="s">
        <v>977</v>
      </c>
      <c r="C693">
        <v>50</v>
      </c>
      <c r="D693" s="2" t="s">
        <v>3890</v>
      </c>
      <c r="E693" t="s">
        <v>977</v>
      </c>
      <c r="F693" s="2" t="s">
        <v>979</v>
      </c>
      <c r="G693" s="2" t="s">
        <v>980</v>
      </c>
      <c r="H693">
        <v>78259</v>
      </c>
      <c r="I693" t="s">
        <v>16</v>
      </c>
      <c r="J693" t="s">
        <v>3891</v>
      </c>
      <c r="K693" t="s">
        <v>164</v>
      </c>
      <c r="L693" t="s">
        <v>4673</v>
      </c>
      <c r="M693">
        <f>VLOOKUP(SUBSTITUTE(J693,"'",""),Sheet1!L:M,2,FALSE)</f>
        <v>54820</v>
      </c>
    </row>
    <row r="694" spans="1:13" ht="13.5" customHeight="1" x14ac:dyDescent="0.4">
      <c r="A694" s="1">
        <v>45793</v>
      </c>
      <c r="B694" t="s">
        <v>977</v>
      </c>
      <c r="C694">
        <v>100</v>
      </c>
      <c r="D694" s="2" t="s">
        <v>3892</v>
      </c>
      <c r="E694" t="s">
        <v>977</v>
      </c>
      <c r="F694" s="2" t="s">
        <v>979</v>
      </c>
      <c r="G694" s="2" t="s">
        <v>980</v>
      </c>
      <c r="H694">
        <v>78259</v>
      </c>
      <c r="I694" t="s">
        <v>16</v>
      </c>
      <c r="J694" t="s">
        <v>3893</v>
      </c>
      <c r="K694" t="s">
        <v>164</v>
      </c>
      <c r="L694" t="s">
        <v>4673</v>
      </c>
      <c r="M694">
        <f>VLOOKUP(SUBSTITUTE(J694,"'",""),Sheet1!L:M,2,FALSE)</f>
        <v>54820</v>
      </c>
    </row>
    <row r="695" spans="1:13" ht="13.5" customHeight="1" x14ac:dyDescent="0.4">
      <c r="A695" s="1">
        <v>45794</v>
      </c>
      <c r="B695" t="s">
        <v>478</v>
      </c>
      <c r="C695">
        <v>43.5</v>
      </c>
      <c r="D695" s="2" t="s">
        <v>1122</v>
      </c>
      <c r="E695" t="s">
        <v>480</v>
      </c>
      <c r="F695" s="2" t="s">
        <v>481</v>
      </c>
      <c r="G695" s="2" t="s">
        <v>35</v>
      </c>
      <c r="H695">
        <v>94103</v>
      </c>
      <c r="I695" t="s">
        <v>16</v>
      </c>
      <c r="J695" t="s">
        <v>1123</v>
      </c>
      <c r="K695" t="s">
        <v>483</v>
      </c>
      <c r="L695" t="s">
        <v>2047</v>
      </c>
      <c r="M695">
        <f>VLOOKUP(SUBSTITUTE(J695,"'",""),Sheet1!L:M,2,FALSE)</f>
        <v>61130</v>
      </c>
    </row>
    <row r="696" spans="1:13" ht="13.5" customHeight="1" x14ac:dyDescent="0.4">
      <c r="A696" s="1">
        <v>45794</v>
      </c>
      <c r="B696" t="s">
        <v>478</v>
      </c>
      <c r="C696">
        <v>49.67</v>
      </c>
      <c r="D696" s="2" t="s">
        <v>1124</v>
      </c>
      <c r="E696" t="s">
        <v>480</v>
      </c>
      <c r="F696" s="2" t="s">
        <v>481</v>
      </c>
      <c r="G696" s="2" t="s">
        <v>35</v>
      </c>
      <c r="H696">
        <v>94103</v>
      </c>
      <c r="I696" t="s">
        <v>16</v>
      </c>
      <c r="J696" t="s">
        <v>1125</v>
      </c>
      <c r="K696" t="s">
        <v>483</v>
      </c>
      <c r="L696" t="s">
        <v>2047</v>
      </c>
      <c r="M696">
        <f>VLOOKUP(SUBSTITUTE(J696,"'",""),Sheet1!L:M,2,FALSE)</f>
        <v>61130</v>
      </c>
    </row>
    <row r="697" spans="1:13" ht="13.5" customHeight="1" x14ac:dyDescent="0.4">
      <c r="A697" s="1">
        <v>45794</v>
      </c>
      <c r="B697" t="s">
        <v>478</v>
      </c>
      <c r="C697">
        <v>29.02</v>
      </c>
      <c r="D697" s="2" t="s">
        <v>1120</v>
      </c>
      <c r="E697" t="s">
        <v>480</v>
      </c>
      <c r="F697" s="2" t="s">
        <v>481</v>
      </c>
      <c r="G697" s="2" t="s">
        <v>35</v>
      </c>
      <c r="H697">
        <v>94103</v>
      </c>
      <c r="I697" t="s">
        <v>16</v>
      </c>
      <c r="J697" t="s">
        <v>1121</v>
      </c>
      <c r="K697" t="s">
        <v>483</v>
      </c>
      <c r="L697" t="s">
        <v>2047</v>
      </c>
      <c r="M697">
        <f>VLOOKUP(SUBSTITUTE(J697,"'",""),Sheet1!L:M,2,FALSE)</f>
        <v>61130</v>
      </c>
    </row>
    <row r="698" spans="1:13" ht="13.5" customHeight="1" x14ac:dyDescent="0.4">
      <c r="A698" s="1">
        <v>45794</v>
      </c>
      <c r="B698" t="s">
        <v>1116</v>
      </c>
      <c r="C698">
        <v>1500</v>
      </c>
      <c r="D698" s="2" t="s">
        <v>1117</v>
      </c>
      <c r="E698" t="s">
        <v>1116</v>
      </c>
      <c r="F698" t="s">
        <v>1118</v>
      </c>
      <c r="G698" s="2" t="s">
        <v>491</v>
      </c>
      <c r="H698">
        <v>60654</v>
      </c>
      <c r="I698" t="s">
        <v>16</v>
      </c>
      <c r="J698" t="s">
        <v>1119</v>
      </c>
      <c r="K698" t="s">
        <v>126</v>
      </c>
      <c r="L698" t="s">
        <v>2047</v>
      </c>
      <c r="M698">
        <f>VLOOKUP(SUBSTITUTE(J698,"'",""),Sheet1!L:M,2,FALSE)</f>
        <v>61215</v>
      </c>
    </row>
    <row r="699" spans="1:13" ht="13.5" customHeight="1" x14ac:dyDescent="0.4">
      <c r="A699" s="1">
        <v>45794</v>
      </c>
      <c r="B699" t="s">
        <v>1111</v>
      </c>
      <c r="C699">
        <v>1637.6</v>
      </c>
      <c r="D699" s="2" t="s">
        <v>1112</v>
      </c>
      <c r="E699" t="s">
        <v>1111</v>
      </c>
      <c r="F699" t="s">
        <v>1113</v>
      </c>
      <c r="G699" s="2" t="s">
        <v>491</v>
      </c>
      <c r="H699" t="s">
        <v>1114</v>
      </c>
      <c r="I699" t="s">
        <v>16</v>
      </c>
      <c r="J699" t="s">
        <v>1115</v>
      </c>
      <c r="K699" t="s">
        <v>50</v>
      </c>
      <c r="L699" t="s">
        <v>2047</v>
      </c>
      <c r="M699">
        <f>VLOOKUP(SUBSTITUTE(J699,"'",""),Sheet1!L:M,2,FALSE)</f>
        <v>61110</v>
      </c>
    </row>
    <row r="700" spans="1:13" ht="13.5" customHeight="1" x14ac:dyDescent="0.4">
      <c r="A700" s="1">
        <v>45794</v>
      </c>
      <c r="B700" t="s">
        <v>2764</v>
      </c>
      <c r="C700">
        <v>9.8000000000000007</v>
      </c>
      <c r="D700" s="2" t="s">
        <v>3880</v>
      </c>
      <c r="E700" t="s">
        <v>2764</v>
      </c>
      <c r="F700" t="s">
        <v>2766</v>
      </c>
      <c r="G700" s="2" t="s">
        <v>41</v>
      </c>
      <c r="H700">
        <v>10011</v>
      </c>
      <c r="I700" t="s">
        <v>16</v>
      </c>
      <c r="J700" t="s">
        <v>3881</v>
      </c>
      <c r="K700" t="s">
        <v>305</v>
      </c>
      <c r="L700" t="s">
        <v>4673</v>
      </c>
      <c r="M700">
        <f>VLOOKUP(SUBSTITUTE(J700,"'",""),Sheet1!L:M,2,FALSE)</f>
        <v>54820</v>
      </c>
    </row>
    <row r="701" spans="1:13" ht="13.5" customHeight="1" x14ac:dyDescent="0.4">
      <c r="A701" s="1">
        <v>45794</v>
      </c>
      <c r="B701" t="s">
        <v>2142</v>
      </c>
      <c r="C701">
        <v>18.489999999999998</v>
      </c>
      <c r="D701" s="2" t="s">
        <v>3882</v>
      </c>
      <c r="E701" t="s">
        <v>2142</v>
      </c>
      <c r="F701" t="s">
        <v>2144</v>
      </c>
      <c r="G701" s="2" t="s">
        <v>41</v>
      </c>
      <c r="H701">
        <v>10012</v>
      </c>
      <c r="I701" t="s">
        <v>16</v>
      </c>
      <c r="J701" t="s">
        <v>3883</v>
      </c>
      <c r="K701" t="s">
        <v>1304</v>
      </c>
      <c r="L701" t="s">
        <v>4673</v>
      </c>
      <c r="M701">
        <f>VLOOKUP(SUBSTITUTE(J701,"'",""),Sheet1!L:M,2,FALSE)</f>
        <v>54820</v>
      </c>
    </row>
    <row r="702" spans="1:13" ht="13.5" customHeight="1" x14ac:dyDescent="0.4">
      <c r="A702" s="1">
        <v>45794</v>
      </c>
      <c r="B702" t="s">
        <v>3884</v>
      </c>
      <c r="C702">
        <v>12.01</v>
      </c>
      <c r="D702" s="2" t="s">
        <v>3885</v>
      </c>
      <c r="E702" t="s">
        <v>3884</v>
      </c>
      <c r="F702" t="s">
        <v>3886</v>
      </c>
      <c r="G702" s="2" t="s">
        <v>41</v>
      </c>
      <c r="H702">
        <v>10012</v>
      </c>
      <c r="I702" t="s">
        <v>16</v>
      </c>
      <c r="J702" t="s">
        <v>3887</v>
      </c>
      <c r="K702" t="s">
        <v>126</v>
      </c>
      <c r="L702" t="s">
        <v>4673</v>
      </c>
      <c r="M702">
        <f>VLOOKUP(SUBSTITUTE(J702,"'",""),Sheet1!L:M,2,FALSE)</f>
        <v>54820</v>
      </c>
    </row>
    <row r="703" spans="1:13" ht="13.5" customHeight="1" x14ac:dyDescent="0.4">
      <c r="A703" s="1">
        <v>45794</v>
      </c>
      <c r="B703" t="s">
        <v>1106</v>
      </c>
      <c r="C703">
        <v>266.95</v>
      </c>
      <c r="D703" s="2" t="s">
        <v>1107</v>
      </c>
      <c r="E703" t="s">
        <v>1106</v>
      </c>
      <c r="F703" t="s">
        <v>1108</v>
      </c>
      <c r="G703" s="2" t="s">
        <v>1109</v>
      </c>
      <c r="H703">
        <v>73132</v>
      </c>
      <c r="I703" t="s">
        <v>16</v>
      </c>
      <c r="J703" t="s">
        <v>1110</v>
      </c>
      <c r="K703" t="s">
        <v>43</v>
      </c>
      <c r="L703" t="s">
        <v>2047</v>
      </c>
      <c r="M703">
        <f>VLOOKUP(SUBSTITUTE(J703,"'",""),Sheet1!L:M,2,FALSE)</f>
        <v>61131</v>
      </c>
    </row>
    <row r="704" spans="1:13" ht="13.5" customHeight="1" x14ac:dyDescent="0.4">
      <c r="A704" s="1">
        <v>45795</v>
      </c>
      <c r="B704" t="s">
        <v>977</v>
      </c>
      <c r="C704">
        <v>500</v>
      </c>
      <c r="D704" s="2" t="s">
        <v>1098</v>
      </c>
      <c r="E704" t="s">
        <v>977</v>
      </c>
      <c r="F704" s="2" t="s">
        <v>979</v>
      </c>
      <c r="G704" s="2" t="s">
        <v>980</v>
      </c>
      <c r="H704">
        <v>78259</v>
      </c>
      <c r="I704" t="s">
        <v>16</v>
      </c>
      <c r="J704" t="s">
        <v>1099</v>
      </c>
      <c r="K704" t="s">
        <v>164</v>
      </c>
      <c r="L704" t="s">
        <v>2047</v>
      </c>
      <c r="M704">
        <f>VLOOKUP(SUBSTITUTE(J704,"'",""),Sheet1!L:M,2,FALSE)</f>
        <v>54820</v>
      </c>
    </row>
    <row r="705" spans="1:13" ht="13.5" customHeight="1" x14ac:dyDescent="0.4">
      <c r="A705" s="1">
        <v>45795</v>
      </c>
      <c r="B705" t="s">
        <v>478</v>
      </c>
      <c r="C705">
        <v>212.95</v>
      </c>
      <c r="D705" s="2" t="s">
        <v>1104</v>
      </c>
      <c r="E705" t="s">
        <v>480</v>
      </c>
      <c r="F705" s="2" t="s">
        <v>481</v>
      </c>
      <c r="G705" s="2" t="s">
        <v>35</v>
      </c>
      <c r="H705">
        <v>94103</v>
      </c>
      <c r="I705" t="s">
        <v>16</v>
      </c>
      <c r="J705" t="s">
        <v>1105</v>
      </c>
      <c r="K705" t="s">
        <v>483</v>
      </c>
      <c r="L705" t="s">
        <v>2047</v>
      </c>
      <c r="M705">
        <f>VLOOKUP(SUBSTITUTE(J705,"'",""),Sheet1!L:M,2,FALSE)</f>
        <v>61130</v>
      </c>
    </row>
    <row r="706" spans="1:13" ht="13.5" customHeight="1" x14ac:dyDescent="0.4">
      <c r="A706" s="1">
        <v>45795</v>
      </c>
      <c r="B706" t="s">
        <v>906</v>
      </c>
      <c r="C706">
        <v>9.9499999999999993</v>
      </c>
      <c r="D706" s="2" t="s">
        <v>1102</v>
      </c>
      <c r="E706" t="s">
        <v>906</v>
      </c>
      <c r="F706" t="s">
        <v>908</v>
      </c>
      <c r="G706" s="2" t="s">
        <v>909</v>
      </c>
      <c r="H706">
        <v>85016</v>
      </c>
      <c r="I706" t="s">
        <v>910</v>
      </c>
      <c r="J706" t="s">
        <v>1103</v>
      </c>
      <c r="K706" t="s">
        <v>321</v>
      </c>
      <c r="L706" t="s">
        <v>2047</v>
      </c>
      <c r="M706">
        <f>VLOOKUP(SUBSTITUTE(J706,"'",""),Sheet1!L:M,2,FALSE)</f>
        <v>61120</v>
      </c>
    </row>
    <row r="707" spans="1:13" ht="13.5" customHeight="1" x14ac:dyDescent="0.4">
      <c r="A707" s="1">
        <v>45795</v>
      </c>
      <c r="B707" t="s">
        <v>895</v>
      </c>
      <c r="C707">
        <v>9.9499999999999993</v>
      </c>
      <c r="D707" s="2" t="s">
        <v>1094</v>
      </c>
      <c r="E707" t="s">
        <v>895</v>
      </c>
      <c r="F707" s="2" t="s">
        <v>897</v>
      </c>
      <c r="G707" s="2" t="s">
        <v>898</v>
      </c>
      <c r="H707">
        <v>33337</v>
      </c>
      <c r="I707" t="s">
        <v>16</v>
      </c>
      <c r="J707" t="s">
        <v>1095</v>
      </c>
      <c r="K707" t="s">
        <v>321</v>
      </c>
      <c r="L707" t="s">
        <v>2047</v>
      </c>
      <c r="M707">
        <f>VLOOKUP(SUBSTITUTE(J707,"'",""),Sheet1!L:M,2,FALSE)</f>
        <v>61120</v>
      </c>
    </row>
    <row r="708" spans="1:13" ht="13.5" customHeight="1" x14ac:dyDescent="0.4">
      <c r="A708" s="1">
        <v>45795</v>
      </c>
      <c r="B708" t="s">
        <v>888</v>
      </c>
      <c r="C708">
        <v>14</v>
      </c>
      <c r="D708" s="2" t="s">
        <v>1092</v>
      </c>
      <c r="E708" t="s">
        <v>888</v>
      </c>
      <c r="F708" t="s">
        <v>890</v>
      </c>
      <c r="G708" s="2" t="s">
        <v>891</v>
      </c>
      <c r="H708">
        <v>54307</v>
      </c>
      <c r="I708" t="s">
        <v>16</v>
      </c>
      <c r="J708" t="s">
        <v>1093</v>
      </c>
      <c r="K708" t="s">
        <v>321</v>
      </c>
      <c r="L708" t="s">
        <v>2047</v>
      </c>
      <c r="M708">
        <f>VLOOKUP(SUBSTITUTE(J708,"'",""),Sheet1!L:M,2,FALSE)</f>
        <v>61120</v>
      </c>
    </row>
    <row r="709" spans="1:13" ht="13.5" customHeight="1" x14ac:dyDescent="0.4">
      <c r="A709" s="1">
        <v>45795</v>
      </c>
      <c r="B709" t="s">
        <v>317</v>
      </c>
      <c r="C709">
        <v>24.95</v>
      </c>
      <c r="D709" s="2" t="s">
        <v>1100</v>
      </c>
      <c r="E709" t="s">
        <v>317</v>
      </c>
      <c r="F709" s="2" t="s">
        <v>319</v>
      </c>
      <c r="G709" s="2" t="s">
        <v>41</v>
      </c>
      <c r="H709">
        <v>10285</v>
      </c>
      <c r="I709" t="s">
        <v>16</v>
      </c>
      <c r="J709" t="s">
        <v>1101</v>
      </c>
      <c r="K709" t="s">
        <v>321</v>
      </c>
      <c r="L709" t="s">
        <v>2047</v>
      </c>
      <c r="M709">
        <f>VLOOKUP(SUBSTITUTE(J709,"'",""),Sheet1!L:M,2,FALSE)</f>
        <v>61131</v>
      </c>
    </row>
    <row r="710" spans="1:13" ht="13.5" customHeight="1" x14ac:dyDescent="0.4">
      <c r="A710" s="1">
        <v>45795</v>
      </c>
      <c r="B710" t="s">
        <v>2934</v>
      </c>
      <c r="C710">
        <v>13.01</v>
      </c>
      <c r="D710" s="2" t="s">
        <v>3878</v>
      </c>
      <c r="E710" t="s">
        <v>2934</v>
      </c>
      <c r="F710" t="s">
        <v>3794</v>
      </c>
      <c r="G710" s="2" t="s">
        <v>41</v>
      </c>
      <c r="H710">
        <v>10003</v>
      </c>
      <c r="I710" t="s">
        <v>16</v>
      </c>
      <c r="J710" t="s">
        <v>3879</v>
      </c>
      <c r="K710" t="s">
        <v>305</v>
      </c>
      <c r="L710" t="s">
        <v>4673</v>
      </c>
      <c r="M710">
        <f>VLOOKUP(SUBSTITUTE(J710,"'",""),Sheet1!L:M,2,FALSE)</f>
        <v>54820</v>
      </c>
    </row>
    <row r="711" spans="1:13" ht="13.5" customHeight="1" x14ac:dyDescent="0.4">
      <c r="A711" s="1">
        <v>45795</v>
      </c>
      <c r="B711" t="s">
        <v>977</v>
      </c>
      <c r="C711">
        <v>50</v>
      </c>
      <c r="D711" s="2" t="s">
        <v>1096</v>
      </c>
      <c r="E711" t="s">
        <v>977</v>
      </c>
      <c r="F711" s="2" t="s">
        <v>979</v>
      </c>
      <c r="G711" s="2" t="s">
        <v>980</v>
      </c>
      <c r="H711">
        <v>78259</v>
      </c>
      <c r="I711" t="s">
        <v>16</v>
      </c>
      <c r="J711" t="s">
        <v>1097</v>
      </c>
      <c r="K711" t="s">
        <v>164</v>
      </c>
      <c r="L711" t="s">
        <v>2047</v>
      </c>
      <c r="M711">
        <f>VLOOKUP(SUBSTITUTE(J711,"'",""),Sheet1!L:M,2,FALSE)</f>
        <v>54820</v>
      </c>
    </row>
    <row r="712" spans="1:13" ht="13.5" customHeight="1" x14ac:dyDescent="0.4">
      <c r="A712" s="1">
        <v>45796</v>
      </c>
      <c r="B712" t="s">
        <v>977</v>
      </c>
      <c r="C712">
        <v>500</v>
      </c>
      <c r="D712" s="2" t="s">
        <v>1086</v>
      </c>
      <c r="E712" t="s">
        <v>977</v>
      </c>
      <c r="F712" s="2" t="s">
        <v>979</v>
      </c>
      <c r="G712" s="2" t="s">
        <v>980</v>
      </c>
      <c r="H712">
        <v>78259</v>
      </c>
      <c r="I712" t="s">
        <v>16</v>
      </c>
      <c r="J712" t="s">
        <v>1087</v>
      </c>
      <c r="K712" t="s">
        <v>164</v>
      </c>
      <c r="L712" t="s">
        <v>2047</v>
      </c>
      <c r="M712">
        <f>VLOOKUP(SUBSTITUTE(J712,"'",""),Sheet1!L:M,2,FALSE)</f>
        <v>54820</v>
      </c>
    </row>
    <row r="713" spans="1:13" ht="13.5" customHeight="1" x14ac:dyDescent="0.4">
      <c r="A713" s="1">
        <v>45796</v>
      </c>
      <c r="B713" t="s">
        <v>3866</v>
      </c>
      <c r="C713">
        <v>8.35</v>
      </c>
      <c r="D713" s="2" t="s">
        <v>3867</v>
      </c>
      <c r="E713" t="s">
        <v>3866</v>
      </c>
      <c r="F713" t="s">
        <v>3868</v>
      </c>
      <c r="G713" s="2" t="s">
        <v>41</v>
      </c>
      <c r="H713">
        <v>10003</v>
      </c>
      <c r="I713" t="s">
        <v>16</v>
      </c>
      <c r="J713" t="s">
        <v>3869</v>
      </c>
      <c r="K713" t="s">
        <v>126</v>
      </c>
      <c r="L713" t="s">
        <v>4673</v>
      </c>
      <c r="M713">
        <f>VLOOKUP(SUBSTITUTE(J713,"'",""),Sheet1!L:M,2,FALSE)</f>
        <v>54820</v>
      </c>
    </row>
    <row r="714" spans="1:13" ht="13.5" customHeight="1" x14ac:dyDescent="0.4">
      <c r="A714" s="1">
        <v>45796</v>
      </c>
      <c r="B714" t="s">
        <v>3858</v>
      </c>
      <c r="C714">
        <v>31</v>
      </c>
      <c r="D714" s="2" t="s">
        <v>3859</v>
      </c>
      <c r="E714" t="s">
        <v>3858</v>
      </c>
      <c r="F714" t="s">
        <v>2248</v>
      </c>
      <c r="G714" s="2" t="s">
        <v>2249</v>
      </c>
      <c r="H714">
        <v>94025</v>
      </c>
      <c r="I714" t="s">
        <v>16</v>
      </c>
      <c r="J714" t="s">
        <v>3860</v>
      </c>
      <c r="K714" t="s">
        <v>2335</v>
      </c>
      <c r="L714" t="s">
        <v>4673</v>
      </c>
      <c r="M714">
        <f>VLOOKUP(SUBSTITUTE(J714,"'",""),Sheet1!L:M,2,FALSE)</f>
        <v>54820</v>
      </c>
    </row>
    <row r="715" spans="1:13" ht="13.5" customHeight="1" x14ac:dyDescent="0.4">
      <c r="A715" s="1">
        <v>45796</v>
      </c>
      <c r="B715" t="s">
        <v>3870</v>
      </c>
      <c r="C715">
        <v>26</v>
      </c>
      <c r="D715" s="2" t="s">
        <v>3871</v>
      </c>
      <c r="E715" t="s">
        <v>3870</v>
      </c>
      <c r="F715" t="s">
        <v>3872</v>
      </c>
      <c r="G715" s="2" t="s">
        <v>41</v>
      </c>
      <c r="H715">
        <v>10003</v>
      </c>
      <c r="I715" t="s">
        <v>16</v>
      </c>
      <c r="J715" t="s">
        <v>3873</v>
      </c>
      <c r="K715" t="s">
        <v>433</v>
      </c>
      <c r="L715" t="s">
        <v>4673</v>
      </c>
      <c r="M715">
        <f>VLOOKUP(SUBSTITUTE(J715,"'",""),Sheet1!L:M,2,FALSE)</f>
        <v>54820</v>
      </c>
    </row>
    <row r="716" spans="1:13" ht="13.5" customHeight="1" x14ac:dyDescent="0.4">
      <c r="A716" s="1">
        <v>45796</v>
      </c>
      <c r="B716" t="s">
        <v>3874</v>
      </c>
      <c r="C716">
        <v>60.92</v>
      </c>
      <c r="D716" s="2" t="s">
        <v>3875</v>
      </c>
      <c r="E716" t="s">
        <v>3874</v>
      </c>
      <c r="F716" t="s">
        <v>3876</v>
      </c>
      <c r="G716" s="2" t="s">
        <v>41</v>
      </c>
      <c r="H716">
        <v>10003</v>
      </c>
      <c r="I716" t="s">
        <v>16</v>
      </c>
      <c r="J716" t="s">
        <v>3877</v>
      </c>
      <c r="K716" t="s">
        <v>1390</v>
      </c>
      <c r="L716" t="s">
        <v>4673</v>
      </c>
      <c r="M716">
        <f>VLOOKUP(SUBSTITUTE(J716,"'",""),Sheet1!L:M,2,FALSE)</f>
        <v>54820</v>
      </c>
    </row>
    <row r="717" spans="1:13" ht="13.5" customHeight="1" x14ac:dyDescent="0.4">
      <c r="A717" s="1">
        <v>45796</v>
      </c>
      <c r="B717" t="s">
        <v>327</v>
      </c>
      <c r="C717">
        <v>29.5</v>
      </c>
      <c r="D717" s="2" t="s">
        <v>1088</v>
      </c>
      <c r="E717" t="s">
        <v>327</v>
      </c>
      <c r="F717" t="s">
        <v>29</v>
      </c>
      <c r="G717" t="e">
        <f>-
NY</f>
        <v>#NAME?</v>
      </c>
      <c r="H717">
        <v>11577</v>
      </c>
      <c r="I717" t="s">
        <v>16</v>
      </c>
      <c r="J717" t="s">
        <v>1089</v>
      </c>
      <c r="K717" t="s">
        <v>31</v>
      </c>
      <c r="L717" t="s">
        <v>2047</v>
      </c>
      <c r="M717">
        <f>VLOOKUP(SUBSTITUTE(J717,"'",""),Sheet1!L:M,2,FALSE)</f>
        <v>61131</v>
      </c>
    </row>
    <row r="718" spans="1:13" ht="13.5" customHeight="1" x14ac:dyDescent="0.4">
      <c r="A718" s="1">
        <v>45796</v>
      </c>
      <c r="B718" t="s">
        <v>3861</v>
      </c>
      <c r="C718">
        <v>9.91</v>
      </c>
      <c r="D718" s="2" t="s">
        <v>3862</v>
      </c>
      <c r="E718" t="s">
        <v>3861</v>
      </c>
      <c r="F718" t="s">
        <v>3863</v>
      </c>
      <c r="G718" s="2" t="s">
        <v>41</v>
      </c>
      <c r="H718">
        <v>10012</v>
      </c>
      <c r="I718" t="s">
        <v>16</v>
      </c>
      <c r="J718" t="s">
        <v>3864</v>
      </c>
      <c r="K718" t="s">
        <v>3865</v>
      </c>
      <c r="L718" t="s">
        <v>4673</v>
      </c>
      <c r="M718">
        <f>VLOOKUP(SUBSTITUTE(J718,"'",""),Sheet1!L:M,2,FALSE)</f>
        <v>54820</v>
      </c>
    </row>
    <row r="719" spans="1:13" ht="13.5" customHeight="1" x14ac:dyDescent="0.4">
      <c r="A719" s="1">
        <v>45796</v>
      </c>
      <c r="B719" t="s">
        <v>977</v>
      </c>
      <c r="C719">
        <v>250</v>
      </c>
      <c r="D719" s="2" t="s">
        <v>1082</v>
      </c>
      <c r="E719" t="s">
        <v>977</v>
      </c>
      <c r="F719" s="2" t="s">
        <v>979</v>
      </c>
      <c r="G719" s="2" t="s">
        <v>980</v>
      </c>
      <c r="H719">
        <v>78259</v>
      </c>
      <c r="I719" t="s">
        <v>16</v>
      </c>
      <c r="J719" t="s">
        <v>1083</v>
      </c>
      <c r="K719" t="s">
        <v>164</v>
      </c>
      <c r="L719" t="s">
        <v>2047</v>
      </c>
      <c r="M719">
        <f>VLOOKUP(SUBSTITUTE(J719,"'",""),Sheet1!L:M,2,FALSE)</f>
        <v>54820</v>
      </c>
    </row>
    <row r="720" spans="1:13" ht="13.5" customHeight="1" x14ac:dyDescent="0.4">
      <c r="A720" s="1">
        <v>45796</v>
      </c>
      <c r="B720" t="s">
        <v>977</v>
      </c>
      <c r="C720">
        <v>250</v>
      </c>
      <c r="D720" s="2" t="s">
        <v>1084</v>
      </c>
      <c r="E720" t="s">
        <v>977</v>
      </c>
      <c r="F720" s="2" t="s">
        <v>979</v>
      </c>
      <c r="G720" s="2" t="s">
        <v>980</v>
      </c>
      <c r="H720">
        <v>78259</v>
      </c>
      <c r="I720" t="s">
        <v>16</v>
      </c>
      <c r="J720" t="s">
        <v>1085</v>
      </c>
      <c r="K720" t="s">
        <v>164</v>
      </c>
      <c r="L720" t="s">
        <v>2047</v>
      </c>
      <c r="M720">
        <f>VLOOKUP(SUBSTITUTE(J720,"'",""),Sheet1!L:M,2,FALSE)</f>
        <v>54820</v>
      </c>
    </row>
    <row r="721" spans="1:13" ht="13.5" customHeight="1" x14ac:dyDescent="0.4">
      <c r="A721" s="1">
        <v>45796</v>
      </c>
      <c r="B721" t="s">
        <v>57</v>
      </c>
      <c r="C721">
        <v>50.07</v>
      </c>
      <c r="D721" s="2" t="s">
        <v>1090</v>
      </c>
      <c r="E721" t="s">
        <v>57</v>
      </c>
      <c r="F721" t="s">
        <v>59</v>
      </c>
      <c r="G721" s="2" t="s">
        <v>47</v>
      </c>
      <c r="H721">
        <v>12866</v>
      </c>
      <c r="I721" t="s">
        <v>16</v>
      </c>
      <c r="J721" t="s">
        <v>1091</v>
      </c>
      <c r="K721" t="s">
        <v>61</v>
      </c>
      <c r="L721" t="s">
        <v>2047</v>
      </c>
      <c r="M721">
        <f>VLOOKUP(SUBSTITUTE(J721,"'",""),Sheet1!L:M,2,FALSE)</f>
        <v>63100</v>
      </c>
    </row>
    <row r="722" spans="1:13" ht="13.5" customHeight="1" x14ac:dyDescent="0.4">
      <c r="A722" s="1">
        <v>45797</v>
      </c>
      <c r="B722" t="s">
        <v>2125</v>
      </c>
      <c r="C722">
        <v>13.9</v>
      </c>
      <c r="D722" s="2" t="s">
        <v>3856</v>
      </c>
      <c r="E722" t="s">
        <v>2125</v>
      </c>
      <c r="F722" t="s">
        <v>2127</v>
      </c>
      <c r="G722" s="2" t="s">
        <v>41</v>
      </c>
      <c r="H722">
        <v>10003</v>
      </c>
      <c r="I722" t="s">
        <v>16</v>
      </c>
      <c r="J722" t="s">
        <v>3857</v>
      </c>
      <c r="K722" t="s">
        <v>37</v>
      </c>
      <c r="L722" t="s">
        <v>4673</v>
      </c>
      <c r="M722">
        <f>VLOOKUP(SUBSTITUTE(J722,"'",""),Sheet1!L:M,2,FALSE)</f>
        <v>54820</v>
      </c>
    </row>
    <row r="723" spans="1:13" ht="13.5" customHeight="1" x14ac:dyDescent="0.4">
      <c r="A723" s="1">
        <v>45797</v>
      </c>
      <c r="B723" t="s">
        <v>22</v>
      </c>
      <c r="C723">
        <v>-5000</v>
      </c>
      <c r="D723" t="s">
        <v>22</v>
      </c>
      <c r="E723" t="s">
        <v>22</v>
      </c>
      <c r="J723" t="s">
        <v>1081</v>
      </c>
      <c r="L723" t="s">
        <v>2047</v>
      </c>
      <c r="M723" t="e">
        <f>VLOOKUP(SUBSTITUTE(J723,"'",""),Sheet1!L:M,2,FALSE)</f>
        <v>#N/A</v>
      </c>
    </row>
    <row r="724" spans="1:13" ht="13.5" customHeight="1" x14ac:dyDescent="0.4">
      <c r="A724" s="1">
        <v>45797</v>
      </c>
      <c r="B724" t="s">
        <v>2934</v>
      </c>
      <c r="C724">
        <v>13.01</v>
      </c>
      <c r="D724" s="2" t="s">
        <v>3854</v>
      </c>
      <c r="E724" t="s">
        <v>2934</v>
      </c>
      <c r="F724" t="s">
        <v>3794</v>
      </c>
      <c r="G724" s="2" t="s">
        <v>41</v>
      </c>
      <c r="H724">
        <v>10003</v>
      </c>
      <c r="I724" t="s">
        <v>16</v>
      </c>
      <c r="J724" t="s">
        <v>3855</v>
      </c>
      <c r="K724" t="s">
        <v>305</v>
      </c>
      <c r="L724" t="s">
        <v>4673</v>
      </c>
      <c r="M724">
        <f>VLOOKUP(SUBSTITUTE(J724,"'",""),Sheet1!L:M,2,FALSE)</f>
        <v>54820</v>
      </c>
    </row>
    <row r="725" spans="1:13" ht="13.5" customHeight="1" x14ac:dyDescent="0.4">
      <c r="A725" s="1">
        <v>45797</v>
      </c>
      <c r="B725" t="s">
        <v>1078</v>
      </c>
      <c r="C725">
        <v>46.81</v>
      </c>
      <c r="D725" s="2" t="s">
        <v>1079</v>
      </c>
      <c r="E725" t="s">
        <v>1078</v>
      </c>
      <c r="F725" t="s">
        <v>29</v>
      </c>
      <c r="G725" s="2" t="s">
        <v>414</v>
      </c>
      <c r="H725">
        <v>77389</v>
      </c>
      <c r="I725" t="s">
        <v>16</v>
      </c>
      <c r="J725" t="s">
        <v>1080</v>
      </c>
      <c r="K725" t="s">
        <v>61</v>
      </c>
      <c r="L725" t="s">
        <v>2047</v>
      </c>
      <c r="M725">
        <f>VLOOKUP(SUBSTITUTE(J725,"'",""),Sheet1!L:M,2,FALSE)</f>
        <v>63100</v>
      </c>
    </row>
    <row r="726" spans="1:13" ht="13.5" customHeight="1" x14ac:dyDescent="0.4">
      <c r="A726" s="1">
        <v>45797</v>
      </c>
      <c r="B726" t="s">
        <v>977</v>
      </c>
      <c r="C726">
        <v>500</v>
      </c>
      <c r="D726" s="2" t="s">
        <v>1070</v>
      </c>
      <c r="E726" t="s">
        <v>977</v>
      </c>
      <c r="F726" s="2" t="s">
        <v>979</v>
      </c>
      <c r="G726" s="2" t="s">
        <v>980</v>
      </c>
      <c r="H726">
        <v>78259</v>
      </c>
      <c r="I726" t="s">
        <v>16</v>
      </c>
      <c r="J726" t="s">
        <v>1071</v>
      </c>
      <c r="K726" t="s">
        <v>164</v>
      </c>
      <c r="L726" t="s">
        <v>2047</v>
      </c>
      <c r="M726">
        <f>VLOOKUP(SUBSTITUTE(J726,"'",""),Sheet1!L:M,2,FALSE)</f>
        <v>54820</v>
      </c>
    </row>
    <row r="727" spans="1:13" ht="13.5" customHeight="1" x14ac:dyDescent="0.4">
      <c r="A727" s="1">
        <v>45797</v>
      </c>
      <c r="B727" t="s">
        <v>977</v>
      </c>
      <c r="C727">
        <v>500</v>
      </c>
      <c r="D727" s="2" t="s">
        <v>1072</v>
      </c>
      <c r="E727" t="s">
        <v>977</v>
      </c>
      <c r="F727" s="2" t="s">
        <v>979</v>
      </c>
      <c r="G727" s="2" t="s">
        <v>980</v>
      </c>
      <c r="H727">
        <v>78259</v>
      </c>
      <c r="I727" t="s">
        <v>16</v>
      </c>
      <c r="J727" t="s">
        <v>1073</v>
      </c>
      <c r="K727" t="s">
        <v>164</v>
      </c>
      <c r="L727" t="s">
        <v>2047</v>
      </c>
      <c r="M727">
        <f>VLOOKUP(SUBSTITUTE(J727,"'",""),Sheet1!L:M,2,FALSE)</f>
        <v>54820</v>
      </c>
    </row>
    <row r="728" spans="1:13" ht="13.5" customHeight="1" x14ac:dyDescent="0.4">
      <c r="A728" s="1">
        <v>45797</v>
      </c>
      <c r="B728" t="s">
        <v>977</v>
      </c>
      <c r="C728">
        <v>250</v>
      </c>
      <c r="D728" s="2" t="s">
        <v>1064</v>
      </c>
      <c r="E728" t="s">
        <v>977</v>
      </c>
      <c r="F728" s="2" t="s">
        <v>979</v>
      </c>
      <c r="G728" s="2" t="s">
        <v>980</v>
      </c>
      <c r="H728">
        <v>78259</v>
      </c>
      <c r="I728" t="s">
        <v>16</v>
      </c>
      <c r="J728" t="s">
        <v>1065</v>
      </c>
      <c r="K728" t="s">
        <v>164</v>
      </c>
      <c r="L728" t="s">
        <v>2047</v>
      </c>
      <c r="M728">
        <f>VLOOKUP(SUBSTITUTE(J728,"'",""),Sheet1!L:M,2,FALSE)</f>
        <v>54820</v>
      </c>
    </row>
    <row r="729" spans="1:13" ht="13.5" customHeight="1" x14ac:dyDescent="0.4">
      <c r="A729" s="1">
        <v>45797</v>
      </c>
      <c r="B729" t="s">
        <v>977</v>
      </c>
      <c r="C729">
        <v>500</v>
      </c>
      <c r="D729" s="2" t="s">
        <v>1074</v>
      </c>
      <c r="E729" t="s">
        <v>977</v>
      </c>
      <c r="F729" s="2" t="s">
        <v>979</v>
      </c>
      <c r="G729" s="2" t="s">
        <v>980</v>
      </c>
      <c r="H729">
        <v>78259</v>
      </c>
      <c r="I729" t="s">
        <v>16</v>
      </c>
      <c r="J729" t="s">
        <v>1075</v>
      </c>
      <c r="K729" t="s">
        <v>164</v>
      </c>
      <c r="L729" t="s">
        <v>2047</v>
      </c>
      <c r="M729">
        <f>VLOOKUP(SUBSTITUTE(J729,"'",""),Sheet1!L:M,2,FALSE)</f>
        <v>54820</v>
      </c>
    </row>
    <row r="730" spans="1:13" ht="13.5" customHeight="1" x14ac:dyDescent="0.4">
      <c r="A730" s="1">
        <v>45797</v>
      </c>
      <c r="B730" t="s">
        <v>977</v>
      </c>
      <c r="C730">
        <v>250</v>
      </c>
      <c r="D730" s="2" t="s">
        <v>1066</v>
      </c>
      <c r="E730" t="s">
        <v>977</v>
      </c>
      <c r="F730" s="2" t="s">
        <v>979</v>
      </c>
      <c r="G730" s="2" t="s">
        <v>980</v>
      </c>
      <c r="H730">
        <v>78259</v>
      </c>
      <c r="I730" t="s">
        <v>16</v>
      </c>
      <c r="J730" t="s">
        <v>1067</v>
      </c>
      <c r="K730" t="s">
        <v>164</v>
      </c>
      <c r="L730" t="s">
        <v>2047</v>
      </c>
      <c r="M730">
        <f>VLOOKUP(SUBSTITUTE(J730,"'",""),Sheet1!L:M,2,FALSE)</f>
        <v>54820</v>
      </c>
    </row>
    <row r="731" spans="1:13" ht="13.5" customHeight="1" x14ac:dyDescent="0.4">
      <c r="A731" s="1">
        <v>45797</v>
      </c>
      <c r="B731" t="s">
        <v>977</v>
      </c>
      <c r="C731">
        <v>250</v>
      </c>
      <c r="D731" s="2" t="s">
        <v>1068</v>
      </c>
      <c r="E731" t="s">
        <v>977</v>
      </c>
      <c r="F731" s="2" t="s">
        <v>979</v>
      </c>
      <c r="G731" s="2" t="s">
        <v>980</v>
      </c>
      <c r="H731">
        <v>78259</v>
      </c>
      <c r="I731" t="s">
        <v>16</v>
      </c>
      <c r="J731" t="s">
        <v>1069</v>
      </c>
      <c r="K731" t="s">
        <v>164</v>
      </c>
      <c r="L731" t="s">
        <v>2047</v>
      </c>
      <c r="M731">
        <f>VLOOKUP(SUBSTITUTE(J731,"'",""),Sheet1!L:M,2,FALSE)</f>
        <v>54820</v>
      </c>
    </row>
    <row r="732" spans="1:13" ht="13.5" customHeight="1" x14ac:dyDescent="0.4">
      <c r="A732" s="1">
        <v>45797</v>
      </c>
      <c r="B732" t="s">
        <v>977</v>
      </c>
      <c r="C732">
        <v>500</v>
      </c>
      <c r="D732" s="2" t="s">
        <v>1076</v>
      </c>
      <c r="E732" t="s">
        <v>977</v>
      </c>
      <c r="F732" s="2" t="s">
        <v>979</v>
      </c>
      <c r="G732" s="2" t="s">
        <v>980</v>
      </c>
      <c r="H732">
        <v>78259</v>
      </c>
      <c r="I732" t="s">
        <v>16</v>
      </c>
      <c r="J732" t="s">
        <v>1077</v>
      </c>
      <c r="K732" t="s">
        <v>164</v>
      </c>
      <c r="L732" t="s">
        <v>2047</v>
      </c>
      <c r="M732">
        <f>VLOOKUP(SUBSTITUTE(J732,"'",""),Sheet1!L:M,2,FALSE)</f>
        <v>54820</v>
      </c>
    </row>
    <row r="733" spans="1:13" ht="13.5" customHeight="1" x14ac:dyDescent="0.4">
      <c r="A733" s="1">
        <v>45798</v>
      </c>
      <c r="B733" t="s">
        <v>22</v>
      </c>
      <c r="C733">
        <v>-5000</v>
      </c>
      <c r="D733" t="s">
        <v>22</v>
      </c>
      <c r="E733" t="s">
        <v>22</v>
      </c>
      <c r="J733" t="s">
        <v>1058</v>
      </c>
      <c r="L733" t="s">
        <v>2047</v>
      </c>
      <c r="M733" t="e">
        <f>VLOOKUP(SUBSTITUTE(J733,"'",""),Sheet1!L:M,2,FALSE)</f>
        <v>#N/A</v>
      </c>
    </row>
    <row r="734" spans="1:13" ht="13.5" customHeight="1" x14ac:dyDescent="0.4">
      <c r="A734" s="1">
        <v>45798</v>
      </c>
      <c r="B734" t="s">
        <v>977</v>
      </c>
      <c r="C734">
        <v>2000</v>
      </c>
      <c r="D734" s="2" t="s">
        <v>1056</v>
      </c>
      <c r="E734" t="s">
        <v>977</v>
      </c>
      <c r="F734" s="2" t="s">
        <v>979</v>
      </c>
      <c r="G734" s="2" t="s">
        <v>980</v>
      </c>
      <c r="H734">
        <v>78259</v>
      </c>
      <c r="I734" t="s">
        <v>16</v>
      </c>
      <c r="J734" t="s">
        <v>1057</v>
      </c>
      <c r="K734" t="s">
        <v>164</v>
      </c>
      <c r="L734" t="s">
        <v>2047</v>
      </c>
      <c r="M734">
        <f>VLOOKUP(SUBSTITUTE(J734,"'",""),Sheet1!L:M,2,FALSE)</f>
        <v>54820</v>
      </c>
    </row>
    <row r="735" spans="1:13" ht="13.5" customHeight="1" x14ac:dyDescent="0.4">
      <c r="A735" s="1">
        <v>45798</v>
      </c>
      <c r="B735" t="s">
        <v>977</v>
      </c>
      <c r="C735">
        <v>50</v>
      </c>
      <c r="D735" s="2" t="s">
        <v>1034</v>
      </c>
      <c r="E735" t="s">
        <v>977</v>
      </c>
      <c r="F735" s="2" t="s">
        <v>979</v>
      </c>
      <c r="G735" s="2" t="s">
        <v>980</v>
      </c>
      <c r="H735">
        <v>78259</v>
      </c>
      <c r="I735" t="s">
        <v>16</v>
      </c>
      <c r="J735" t="s">
        <v>1035</v>
      </c>
      <c r="K735" t="s">
        <v>164</v>
      </c>
      <c r="L735" t="s">
        <v>2047</v>
      </c>
      <c r="M735">
        <f>VLOOKUP(SUBSTITUTE(J735,"'",""),Sheet1!L:M,2,FALSE)</f>
        <v>54820</v>
      </c>
    </row>
    <row r="736" spans="1:13" ht="13.5" customHeight="1" x14ac:dyDescent="0.4">
      <c r="A736" s="1">
        <v>45798</v>
      </c>
      <c r="B736" t="s">
        <v>977</v>
      </c>
      <c r="C736">
        <v>250</v>
      </c>
      <c r="D736" s="2" t="s">
        <v>1036</v>
      </c>
      <c r="E736" t="s">
        <v>977</v>
      </c>
      <c r="F736" s="2" t="s">
        <v>979</v>
      </c>
      <c r="G736" s="2" t="s">
        <v>980</v>
      </c>
      <c r="H736">
        <v>78259</v>
      </c>
      <c r="I736" t="s">
        <v>16</v>
      </c>
      <c r="J736" t="s">
        <v>1037</v>
      </c>
      <c r="K736" t="s">
        <v>164</v>
      </c>
      <c r="L736" t="s">
        <v>2047</v>
      </c>
      <c r="M736">
        <f>VLOOKUP(SUBSTITUTE(J736,"'",""),Sheet1!L:M,2,FALSE)</f>
        <v>54820</v>
      </c>
    </row>
    <row r="737" spans="1:13" ht="13.5" customHeight="1" x14ac:dyDescent="0.4">
      <c r="A737" s="1">
        <v>45798</v>
      </c>
      <c r="B737" t="s">
        <v>977</v>
      </c>
      <c r="C737">
        <v>250</v>
      </c>
      <c r="D737" s="2" t="s">
        <v>1038</v>
      </c>
      <c r="E737" t="s">
        <v>977</v>
      </c>
      <c r="F737" s="2" t="s">
        <v>979</v>
      </c>
      <c r="G737" s="2" t="s">
        <v>980</v>
      </c>
      <c r="H737">
        <v>78259</v>
      </c>
      <c r="I737" t="s">
        <v>16</v>
      </c>
      <c r="J737" t="s">
        <v>1039</v>
      </c>
      <c r="K737" t="s">
        <v>164</v>
      </c>
      <c r="L737" t="s">
        <v>2047</v>
      </c>
      <c r="M737">
        <f>VLOOKUP(SUBSTITUTE(J737,"'",""),Sheet1!L:M,2,FALSE)</f>
        <v>54820</v>
      </c>
    </row>
    <row r="738" spans="1:13" ht="13.5" customHeight="1" x14ac:dyDescent="0.4">
      <c r="A738" s="1">
        <v>45798</v>
      </c>
      <c r="B738" t="s">
        <v>977</v>
      </c>
      <c r="C738">
        <v>250</v>
      </c>
      <c r="D738" s="2" t="s">
        <v>1040</v>
      </c>
      <c r="E738" t="s">
        <v>977</v>
      </c>
      <c r="F738" s="2" t="s">
        <v>979</v>
      </c>
      <c r="G738" s="2" t="s">
        <v>980</v>
      </c>
      <c r="H738">
        <v>78259</v>
      </c>
      <c r="I738" t="s">
        <v>16</v>
      </c>
      <c r="J738" t="s">
        <v>1041</v>
      </c>
      <c r="K738" t="s">
        <v>164</v>
      </c>
      <c r="L738" t="s">
        <v>2047</v>
      </c>
      <c r="M738">
        <f>VLOOKUP(SUBSTITUTE(J738,"'",""),Sheet1!L:M,2,FALSE)</f>
        <v>54820</v>
      </c>
    </row>
    <row r="739" spans="1:13" ht="13.5" customHeight="1" x14ac:dyDescent="0.4">
      <c r="A739" s="1">
        <v>45798</v>
      </c>
      <c r="B739" t="s">
        <v>885</v>
      </c>
      <c r="C739">
        <v>49.13</v>
      </c>
      <c r="D739" s="2" t="s">
        <v>1060</v>
      </c>
      <c r="E739" t="s">
        <v>885</v>
      </c>
      <c r="F739" t="s">
        <v>108</v>
      </c>
      <c r="G739" s="2" t="s">
        <v>41</v>
      </c>
      <c r="H739">
        <v>10012</v>
      </c>
      <c r="I739" t="s">
        <v>16</v>
      </c>
      <c r="J739" t="s">
        <v>1061</v>
      </c>
      <c r="K739" t="s">
        <v>110</v>
      </c>
      <c r="L739" t="s">
        <v>2047</v>
      </c>
      <c r="M739">
        <f>VLOOKUP(SUBSTITUTE(J739,"'",""),Sheet1!L:M,2,FALSE)</f>
        <v>67500</v>
      </c>
    </row>
    <row r="740" spans="1:13" ht="13.5" customHeight="1" x14ac:dyDescent="0.4">
      <c r="A740" s="1">
        <v>45798</v>
      </c>
      <c r="B740" t="s">
        <v>478</v>
      </c>
      <c r="C740">
        <v>9.57</v>
      </c>
      <c r="D740" s="2" t="s">
        <v>1062</v>
      </c>
      <c r="E740" t="s">
        <v>480</v>
      </c>
      <c r="F740" s="2" t="s">
        <v>481</v>
      </c>
      <c r="G740" s="2" t="s">
        <v>35</v>
      </c>
      <c r="H740">
        <v>94103</v>
      </c>
      <c r="I740" t="s">
        <v>16</v>
      </c>
      <c r="J740" t="s">
        <v>1063</v>
      </c>
      <c r="K740" t="s">
        <v>483</v>
      </c>
      <c r="L740" t="s">
        <v>2047</v>
      </c>
      <c r="M740">
        <f>VLOOKUP(SUBSTITUTE(J740,"'",""),Sheet1!L:M,2,FALSE)</f>
        <v>61130</v>
      </c>
    </row>
    <row r="741" spans="1:13" ht="13.5" customHeight="1" x14ac:dyDescent="0.4">
      <c r="A741" s="1">
        <v>45798</v>
      </c>
      <c r="B741" t="s">
        <v>22</v>
      </c>
      <c r="C741">
        <v>-2500</v>
      </c>
      <c r="D741" t="s">
        <v>22</v>
      </c>
      <c r="E741" t="s">
        <v>22</v>
      </c>
      <c r="J741" t="s">
        <v>3853</v>
      </c>
      <c r="L741" t="s">
        <v>4673</v>
      </c>
      <c r="M741" t="e">
        <f>VLOOKUP(SUBSTITUTE(J741,"'",""),Sheet1!L:M,2,FALSE)</f>
        <v>#N/A</v>
      </c>
    </row>
    <row r="742" spans="1:13" ht="13.5" customHeight="1" x14ac:dyDescent="0.4">
      <c r="A742" s="1">
        <v>45798</v>
      </c>
      <c r="B742" t="s">
        <v>22</v>
      </c>
      <c r="C742">
        <v>-2500</v>
      </c>
      <c r="D742" t="s">
        <v>22</v>
      </c>
      <c r="E742" t="s">
        <v>22</v>
      </c>
      <c r="J742" t="s">
        <v>1059</v>
      </c>
      <c r="L742" t="s">
        <v>2047</v>
      </c>
      <c r="M742" t="e">
        <f>VLOOKUP(SUBSTITUTE(J742,"'",""),Sheet1!L:M,2,FALSE)</f>
        <v>#N/A</v>
      </c>
    </row>
    <row r="743" spans="1:13" ht="13.5" customHeight="1" x14ac:dyDescent="0.4">
      <c r="A743" s="1">
        <v>45798</v>
      </c>
      <c r="B743" t="s">
        <v>977</v>
      </c>
      <c r="C743">
        <v>1000</v>
      </c>
      <c r="D743" s="2" t="s">
        <v>1054</v>
      </c>
      <c r="E743" t="s">
        <v>977</v>
      </c>
      <c r="F743" s="2" t="s">
        <v>979</v>
      </c>
      <c r="G743" s="2" t="s">
        <v>980</v>
      </c>
      <c r="H743">
        <v>78259</v>
      </c>
      <c r="I743" t="s">
        <v>16</v>
      </c>
      <c r="J743" t="s">
        <v>1055</v>
      </c>
      <c r="K743" t="s">
        <v>164</v>
      </c>
      <c r="L743" t="s">
        <v>2047</v>
      </c>
      <c r="M743">
        <f>VLOOKUP(SUBSTITUTE(J743,"'",""),Sheet1!L:M,2,FALSE)</f>
        <v>54820</v>
      </c>
    </row>
    <row r="744" spans="1:13" ht="13.5" customHeight="1" x14ac:dyDescent="0.4">
      <c r="A744" s="1">
        <v>45798</v>
      </c>
      <c r="B744" t="s">
        <v>3850</v>
      </c>
      <c r="C744">
        <v>15</v>
      </c>
      <c r="D744" s="2" t="s">
        <v>3851</v>
      </c>
      <c r="E744" t="s">
        <v>3850</v>
      </c>
      <c r="F744" t="s">
        <v>2091</v>
      </c>
      <c r="G744" s="2" t="s">
        <v>2092</v>
      </c>
      <c r="H744">
        <v>19934</v>
      </c>
      <c r="I744" t="s">
        <v>16</v>
      </c>
      <c r="J744" t="s">
        <v>3852</v>
      </c>
      <c r="K744" t="s">
        <v>56</v>
      </c>
      <c r="L744" t="s">
        <v>4673</v>
      </c>
      <c r="M744">
        <f>VLOOKUP(SUBSTITUTE(J744,"'",""),Sheet1!L:M,2,FALSE)</f>
        <v>64100</v>
      </c>
    </row>
    <row r="745" spans="1:13" ht="13.5" customHeight="1" x14ac:dyDescent="0.4">
      <c r="A745" s="1">
        <v>45798</v>
      </c>
      <c r="B745" t="s">
        <v>977</v>
      </c>
      <c r="C745">
        <v>500</v>
      </c>
      <c r="D745" s="2" t="s">
        <v>1046</v>
      </c>
      <c r="E745" t="s">
        <v>977</v>
      </c>
      <c r="F745" s="2" t="s">
        <v>979</v>
      </c>
      <c r="G745" s="2" t="s">
        <v>980</v>
      </c>
      <c r="H745">
        <v>78259</v>
      </c>
      <c r="I745" t="s">
        <v>16</v>
      </c>
      <c r="J745" t="s">
        <v>1047</v>
      </c>
      <c r="K745" t="s">
        <v>164</v>
      </c>
      <c r="L745" t="s">
        <v>2047</v>
      </c>
      <c r="M745">
        <f>VLOOKUP(SUBSTITUTE(J745,"'",""),Sheet1!L:M,2,FALSE)</f>
        <v>54820</v>
      </c>
    </row>
    <row r="746" spans="1:13" ht="13.5" customHeight="1" x14ac:dyDescent="0.4">
      <c r="A746" s="1">
        <v>45798</v>
      </c>
      <c r="B746" t="s">
        <v>977</v>
      </c>
      <c r="C746">
        <v>500</v>
      </c>
      <c r="D746" s="2" t="s">
        <v>1048</v>
      </c>
      <c r="E746" t="s">
        <v>977</v>
      </c>
      <c r="F746" s="2" t="s">
        <v>979</v>
      </c>
      <c r="G746" s="2" t="s">
        <v>980</v>
      </c>
      <c r="H746">
        <v>78259</v>
      </c>
      <c r="I746" t="s">
        <v>16</v>
      </c>
      <c r="J746" t="s">
        <v>1049</v>
      </c>
      <c r="K746" t="s">
        <v>164</v>
      </c>
      <c r="L746" t="s">
        <v>2047</v>
      </c>
      <c r="M746">
        <f>VLOOKUP(SUBSTITUTE(J746,"'",""),Sheet1!L:M,2,FALSE)</f>
        <v>54820</v>
      </c>
    </row>
    <row r="747" spans="1:13" ht="13.5" customHeight="1" x14ac:dyDescent="0.4">
      <c r="A747" s="1">
        <v>45798</v>
      </c>
      <c r="B747" t="s">
        <v>977</v>
      </c>
      <c r="C747">
        <v>250</v>
      </c>
      <c r="D747" s="2" t="s">
        <v>1042</v>
      </c>
      <c r="E747" t="s">
        <v>977</v>
      </c>
      <c r="F747" s="2" t="s">
        <v>979</v>
      </c>
      <c r="G747" s="2" t="s">
        <v>980</v>
      </c>
      <c r="H747">
        <v>78259</v>
      </c>
      <c r="I747" t="s">
        <v>16</v>
      </c>
      <c r="J747" t="s">
        <v>1043</v>
      </c>
      <c r="K747" t="s">
        <v>164</v>
      </c>
      <c r="L747" t="s">
        <v>2047</v>
      </c>
      <c r="M747">
        <f>VLOOKUP(SUBSTITUTE(J747,"'",""),Sheet1!L:M,2,FALSE)</f>
        <v>54820</v>
      </c>
    </row>
    <row r="748" spans="1:13" ht="13.5" customHeight="1" x14ac:dyDescent="0.4">
      <c r="A748" s="1">
        <v>45798</v>
      </c>
      <c r="B748" t="s">
        <v>977</v>
      </c>
      <c r="C748">
        <v>250</v>
      </c>
      <c r="D748" s="2" t="s">
        <v>1044</v>
      </c>
      <c r="E748" t="s">
        <v>977</v>
      </c>
      <c r="F748" s="2" t="s">
        <v>979</v>
      </c>
      <c r="G748" s="2" t="s">
        <v>980</v>
      </c>
      <c r="H748">
        <v>78259</v>
      </c>
      <c r="I748" t="s">
        <v>16</v>
      </c>
      <c r="J748" t="s">
        <v>1045</v>
      </c>
      <c r="K748" t="s">
        <v>164</v>
      </c>
      <c r="L748" t="s">
        <v>2047</v>
      </c>
      <c r="M748">
        <f>VLOOKUP(SUBSTITUTE(J748,"'",""),Sheet1!L:M,2,FALSE)</f>
        <v>54820</v>
      </c>
    </row>
    <row r="749" spans="1:13" ht="13.5" customHeight="1" x14ac:dyDescent="0.4">
      <c r="A749" s="1">
        <v>45798</v>
      </c>
      <c r="B749" t="s">
        <v>977</v>
      </c>
      <c r="C749">
        <v>500</v>
      </c>
      <c r="D749" s="2" t="s">
        <v>1050</v>
      </c>
      <c r="E749" t="s">
        <v>977</v>
      </c>
      <c r="F749" s="2" t="s">
        <v>979</v>
      </c>
      <c r="G749" s="2" t="s">
        <v>980</v>
      </c>
      <c r="H749">
        <v>78259</v>
      </c>
      <c r="I749" t="s">
        <v>16</v>
      </c>
      <c r="J749" t="s">
        <v>1051</v>
      </c>
      <c r="K749" t="s">
        <v>164</v>
      </c>
      <c r="L749" t="s">
        <v>2047</v>
      </c>
      <c r="M749">
        <f>VLOOKUP(SUBSTITUTE(J749,"'",""),Sheet1!L:M,2,FALSE)</f>
        <v>54820</v>
      </c>
    </row>
    <row r="750" spans="1:13" ht="13.5" customHeight="1" x14ac:dyDescent="0.4">
      <c r="A750" s="1">
        <v>45798</v>
      </c>
      <c r="B750" t="s">
        <v>977</v>
      </c>
      <c r="C750">
        <v>500</v>
      </c>
      <c r="D750" s="2" t="s">
        <v>1052</v>
      </c>
      <c r="E750" t="s">
        <v>977</v>
      </c>
      <c r="F750" s="2" t="s">
        <v>979</v>
      </c>
      <c r="G750" s="2" t="s">
        <v>980</v>
      </c>
      <c r="H750">
        <v>78259</v>
      </c>
      <c r="I750" t="s">
        <v>16</v>
      </c>
      <c r="J750" t="s">
        <v>1053</v>
      </c>
      <c r="K750" t="s">
        <v>164</v>
      </c>
      <c r="L750" t="s">
        <v>2047</v>
      </c>
      <c r="M750">
        <f>VLOOKUP(SUBSTITUTE(J750,"'",""),Sheet1!L:M,2,FALSE)</f>
        <v>54820</v>
      </c>
    </row>
    <row r="751" spans="1:13" ht="13.5" customHeight="1" x14ac:dyDescent="0.4">
      <c r="A751" s="1">
        <v>45799</v>
      </c>
      <c r="B751" t="s">
        <v>32</v>
      </c>
      <c r="C751">
        <v>21.4</v>
      </c>
      <c r="D751" s="2" t="s">
        <v>1032</v>
      </c>
      <c r="E751" t="s">
        <v>32</v>
      </c>
      <c r="F751" s="2" t="s">
        <v>34</v>
      </c>
      <c r="G751" s="2" t="s">
        <v>35</v>
      </c>
      <c r="H751">
        <v>94110</v>
      </c>
      <c r="I751" t="s">
        <v>16</v>
      </c>
      <c r="J751" t="s">
        <v>1033</v>
      </c>
      <c r="K751" t="s">
        <v>37</v>
      </c>
      <c r="L751" t="s">
        <v>2047</v>
      </c>
      <c r="M751">
        <f>VLOOKUP(SUBSTITUTE(J751,"'",""),Sheet1!L:M,2,FALSE)</f>
        <v>64100</v>
      </c>
    </row>
    <row r="752" spans="1:13" ht="13.5" customHeight="1" x14ac:dyDescent="0.4">
      <c r="A752" s="1">
        <v>45799</v>
      </c>
      <c r="B752" t="s">
        <v>1029</v>
      </c>
      <c r="C752">
        <v>957.87</v>
      </c>
      <c r="D752" s="2" t="s">
        <v>1030</v>
      </c>
      <c r="E752" t="s">
        <v>1029</v>
      </c>
      <c r="F752" t="s">
        <v>155</v>
      </c>
      <c r="G752" s="2" t="s">
        <v>156</v>
      </c>
      <c r="H752">
        <v>98052</v>
      </c>
      <c r="I752" t="s">
        <v>16</v>
      </c>
      <c r="J752" t="s">
        <v>1031</v>
      </c>
      <c r="K752" t="s">
        <v>96</v>
      </c>
      <c r="L752" t="s">
        <v>2047</v>
      </c>
      <c r="M752">
        <f>VLOOKUP(SUBSTITUTE(J752,"'",""),Sheet1!L:M,2,FALSE)</f>
        <v>64100</v>
      </c>
    </row>
    <row r="753" spans="1:13" ht="13.5" customHeight="1" x14ac:dyDescent="0.4">
      <c r="A753" s="1">
        <v>45799</v>
      </c>
      <c r="B753" t="s">
        <v>3558</v>
      </c>
      <c r="C753">
        <v>2.98</v>
      </c>
      <c r="D753" s="2" t="s">
        <v>3848</v>
      </c>
      <c r="E753" t="s">
        <v>3558</v>
      </c>
      <c r="F753" s="2" t="s">
        <v>2785</v>
      </c>
      <c r="G753" s="2" t="s">
        <v>2786</v>
      </c>
      <c r="H753">
        <v>10011</v>
      </c>
      <c r="I753" t="s">
        <v>16</v>
      </c>
      <c r="J753" t="s">
        <v>3849</v>
      </c>
      <c r="K753" t="s">
        <v>1304</v>
      </c>
      <c r="L753" t="s">
        <v>4673</v>
      </c>
      <c r="M753">
        <f>VLOOKUP(SUBSTITUTE(J753,"'",""),Sheet1!L:M,2,FALSE)</f>
        <v>54820</v>
      </c>
    </row>
    <row r="754" spans="1:13" ht="13.5" customHeight="1" x14ac:dyDescent="0.4">
      <c r="A754" s="1">
        <v>45799</v>
      </c>
      <c r="B754" t="s">
        <v>2142</v>
      </c>
      <c r="C754">
        <v>106.3</v>
      </c>
      <c r="D754" s="2" t="s">
        <v>3846</v>
      </c>
      <c r="E754" t="s">
        <v>2142</v>
      </c>
      <c r="F754" t="s">
        <v>2144</v>
      </c>
      <c r="G754" s="2" t="s">
        <v>41</v>
      </c>
      <c r="H754">
        <v>10012</v>
      </c>
      <c r="I754" t="s">
        <v>16</v>
      </c>
      <c r="J754" t="s">
        <v>3847</v>
      </c>
      <c r="K754" t="s">
        <v>1304</v>
      </c>
      <c r="L754" t="s">
        <v>4673</v>
      </c>
      <c r="M754">
        <f>VLOOKUP(SUBSTITUTE(J754,"'",""),Sheet1!L:M,2,FALSE)</f>
        <v>54820</v>
      </c>
    </row>
    <row r="755" spans="1:13" ht="13.5" customHeight="1" x14ac:dyDescent="0.4">
      <c r="A755" s="1">
        <v>45799</v>
      </c>
      <c r="B755" t="s">
        <v>2764</v>
      </c>
      <c r="C755">
        <v>23.41</v>
      </c>
      <c r="D755" s="2" t="s">
        <v>3844</v>
      </c>
      <c r="E755" t="s">
        <v>2764</v>
      </c>
      <c r="F755" t="s">
        <v>2766</v>
      </c>
      <c r="G755" s="2" t="s">
        <v>41</v>
      </c>
      <c r="H755">
        <v>10011</v>
      </c>
      <c r="I755" t="s">
        <v>16</v>
      </c>
      <c r="J755" t="s">
        <v>3845</v>
      </c>
      <c r="K755" t="s">
        <v>305</v>
      </c>
      <c r="L755" t="s">
        <v>4673</v>
      </c>
      <c r="M755">
        <f>VLOOKUP(SUBSTITUTE(J755,"'",""),Sheet1!L:M,2,FALSE)</f>
        <v>54820</v>
      </c>
    </row>
    <row r="756" spans="1:13" ht="13.5" customHeight="1" x14ac:dyDescent="0.4">
      <c r="A756" s="1">
        <v>45800</v>
      </c>
      <c r="B756" t="s">
        <v>3838</v>
      </c>
      <c r="C756">
        <v>163.30000000000001</v>
      </c>
      <c r="D756" s="2" t="s">
        <v>3839</v>
      </c>
      <c r="E756" t="s">
        <v>3838</v>
      </c>
      <c r="F756" t="s">
        <v>3840</v>
      </c>
      <c r="G756" s="2" t="s">
        <v>14</v>
      </c>
      <c r="H756">
        <v>98108</v>
      </c>
      <c r="I756" t="s">
        <v>16</v>
      </c>
      <c r="J756" t="s">
        <v>3841</v>
      </c>
      <c r="K756" t="s">
        <v>18</v>
      </c>
      <c r="L756" t="s">
        <v>4673</v>
      </c>
      <c r="M756">
        <f>VLOOKUP(SUBSTITUTE(J756,"'",""),Sheet1!L:M,2,FALSE)</f>
        <v>54820</v>
      </c>
    </row>
    <row r="757" spans="1:13" ht="13.5" customHeight="1" x14ac:dyDescent="0.4">
      <c r="A757" s="1">
        <v>45800</v>
      </c>
      <c r="B757" t="s">
        <v>2240</v>
      </c>
      <c r="C757">
        <v>55.53</v>
      </c>
      <c r="D757" s="2" t="s">
        <v>3842</v>
      </c>
      <c r="E757" t="s">
        <v>2240</v>
      </c>
      <c r="F757" t="s">
        <v>2242</v>
      </c>
      <c r="G757" s="2" t="s">
        <v>41</v>
      </c>
      <c r="H757">
        <v>10003</v>
      </c>
      <c r="I757" t="s">
        <v>16</v>
      </c>
      <c r="J757" t="s">
        <v>3843</v>
      </c>
      <c r="K757" t="s">
        <v>1218</v>
      </c>
      <c r="L757" t="s">
        <v>4673</v>
      </c>
      <c r="M757">
        <f>VLOOKUP(SUBSTITUTE(J757,"'",""),Sheet1!L:M,2,FALSE)</f>
        <v>54820</v>
      </c>
    </row>
    <row r="758" spans="1:13" ht="13.5" customHeight="1" x14ac:dyDescent="0.4">
      <c r="A758" s="1">
        <v>45800</v>
      </c>
      <c r="B758" t="s">
        <v>1025</v>
      </c>
      <c r="C758">
        <v>208.29</v>
      </c>
      <c r="D758" s="2" t="s">
        <v>1026</v>
      </c>
      <c r="E758" t="s">
        <v>1025</v>
      </c>
      <c r="F758" t="s">
        <v>1027</v>
      </c>
      <c r="G758" s="2" t="s">
        <v>41</v>
      </c>
      <c r="H758">
        <v>10003</v>
      </c>
      <c r="I758" t="s">
        <v>16</v>
      </c>
      <c r="J758" t="s">
        <v>1028</v>
      </c>
      <c r="K758" t="s">
        <v>532</v>
      </c>
      <c r="L758" t="s">
        <v>2047</v>
      </c>
      <c r="M758">
        <f>VLOOKUP(SUBSTITUTE(J758,"'",""),Sheet1!L:M,2,FALSE)</f>
        <v>54820</v>
      </c>
    </row>
    <row r="759" spans="1:13" ht="13.5" customHeight="1" x14ac:dyDescent="0.4">
      <c r="A759" s="1">
        <v>45801</v>
      </c>
      <c r="B759" t="s">
        <v>478</v>
      </c>
      <c r="C759">
        <v>33.770000000000003</v>
      </c>
      <c r="D759" s="2" t="s">
        <v>1019</v>
      </c>
      <c r="E759" t="s">
        <v>480</v>
      </c>
      <c r="F759" s="2" t="s">
        <v>481</v>
      </c>
      <c r="G759" s="2" t="s">
        <v>35</v>
      </c>
      <c r="H759">
        <v>94103</v>
      </c>
      <c r="I759" t="s">
        <v>16</v>
      </c>
      <c r="J759" t="s">
        <v>1020</v>
      </c>
      <c r="K759" t="s">
        <v>483</v>
      </c>
      <c r="L759" t="s">
        <v>2047</v>
      </c>
      <c r="M759">
        <f>VLOOKUP(SUBSTITUTE(J759,"'",""),Sheet1!L:M,2,FALSE)</f>
        <v>61130</v>
      </c>
    </row>
    <row r="760" spans="1:13" ht="13.5" customHeight="1" x14ac:dyDescent="0.4">
      <c r="A760" s="1">
        <v>45801</v>
      </c>
      <c r="B760" t="s">
        <v>478</v>
      </c>
      <c r="C760">
        <v>29.71</v>
      </c>
      <c r="D760" s="2" t="s">
        <v>1017</v>
      </c>
      <c r="E760" t="s">
        <v>480</v>
      </c>
      <c r="F760" s="2" t="s">
        <v>481</v>
      </c>
      <c r="G760" s="2" t="s">
        <v>35</v>
      </c>
      <c r="H760">
        <v>94103</v>
      </c>
      <c r="I760" t="s">
        <v>16</v>
      </c>
      <c r="J760" t="s">
        <v>1018</v>
      </c>
      <c r="K760" t="s">
        <v>483</v>
      </c>
      <c r="L760" t="s">
        <v>2047</v>
      </c>
      <c r="M760">
        <f>VLOOKUP(SUBSTITUTE(J760,"'",""),Sheet1!L:M,2,FALSE)</f>
        <v>61130</v>
      </c>
    </row>
    <row r="761" spans="1:13" ht="13.5" customHeight="1" x14ac:dyDescent="0.4">
      <c r="A761" s="1">
        <v>45801</v>
      </c>
      <c r="B761" t="s">
        <v>478</v>
      </c>
      <c r="C761">
        <v>61</v>
      </c>
      <c r="D761" s="2" t="s">
        <v>1023</v>
      </c>
      <c r="E761" t="s">
        <v>480</v>
      </c>
      <c r="F761" s="2" t="s">
        <v>481</v>
      </c>
      <c r="G761" s="2" t="s">
        <v>35</v>
      </c>
      <c r="H761">
        <v>94103</v>
      </c>
      <c r="I761" t="s">
        <v>16</v>
      </c>
      <c r="J761" t="s">
        <v>1024</v>
      </c>
      <c r="K761" t="s">
        <v>483</v>
      </c>
      <c r="L761" t="s">
        <v>2047</v>
      </c>
      <c r="M761">
        <f>VLOOKUP(SUBSTITUTE(J761,"'",""),Sheet1!L:M,2,FALSE)</f>
        <v>61130</v>
      </c>
    </row>
    <row r="762" spans="1:13" ht="13.5" customHeight="1" x14ac:dyDescent="0.4">
      <c r="A762" s="1">
        <v>45801</v>
      </c>
      <c r="B762" t="s">
        <v>3830</v>
      </c>
      <c r="C762">
        <v>9.17</v>
      </c>
      <c r="D762" s="2" t="s">
        <v>3831</v>
      </c>
      <c r="E762" t="s">
        <v>3830</v>
      </c>
      <c r="F762" t="s">
        <v>3832</v>
      </c>
      <c r="G762" s="2" t="s">
        <v>41</v>
      </c>
      <c r="H762">
        <v>10022</v>
      </c>
      <c r="I762" t="s">
        <v>16</v>
      </c>
      <c r="J762" t="s">
        <v>3833</v>
      </c>
      <c r="K762" t="s">
        <v>305</v>
      </c>
      <c r="L762" t="s">
        <v>4673</v>
      </c>
      <c r="M762">
        <f>VLOOKUP(SUBSTITUTE(J762,"'",""),Sheet1!L:M,2,FALSE)</f>
        <v>54820</v>
      </c>
    </row>
    <row r="763" spans="1:13" ht="13.5" customHeight="1" x14ac:dyDescent="0.4">
      <c r="A763" s="1">
        <v>45801</v>
      </c>
      <c r="B763" t="s">
        <v>478</v>
      </c>
      <c r="C763">
        <v>47.46</v>
      </c>
      <c r="D763" s="2" t="s">
        <v>1021</v>
      </c>
      <c r="E763" t="s">
        <v>480</v>
      </c>
      <c r="F763" s="2" t="s">
        <v>481</v>
      </c>
      <c r="G763" s="2" t="s">
        <v>35</v>
      </c>
      <c r="H763">
        <v>94103</v>
      </c>
      <c r="I763" t="s">
        <v>16</v>
      </c>
      <c r="J763" t="s">
        <v>1022</v>
      </c>
      <c r="K763" t="s">
        <v>483</v>
      </c>
      <c r="L763" t="s">
        <v>2047</v>
      </c>
      <c r="M763">
        <f>VLOOKUP(SUBSTITUTE(J763,"'",""),Sheet1!L:M,2,FALSE)</f>
        <v>61130</v>
      </c>
    </row>
    <row r="764" spans="1:13" ht="13.5" customHeight="1" x14ac:dyDescent="0.4">
      <c r="A764" s="1">
        <v>45801</v>
      </c>
      <c r="B764" t="s">
        <v>2458</v>
      </c>
      <c r="C764">
        <v>2.9</v>
      </c>
      <c r="D764" s="2" t="s">
        <v>3834</v>
      </c>
      <c r="E764" t="s">
        <v>2458</v>
      </c>
      <c r="F764" s="2" t="s">
        <v>2460</v>
      </c>
      <c r="G764" s="2" t="s">
        <v>41</v>
      </c>
      <c r="H764">
        <v>10004</v>
      </c>
      <c r="I764" t="s">
        <v>16</v>
      </c>
      <c r="J764" t="s">
        <v>3835</v>
      </c>
      <c r="K764" t="s">
        <v>2462</v>
      </c>
      <c r="L764" t="s">
        <v>4673</v>
      </c>
      <c r="M764">
        <f>VLOOKUP(SUBSTITUTE(J764,"'",""),Sheet1!L:M,2,FALSE)</f>
        <v>61133</v>
      </c>
    </row>
    <row r="765" spans="1:13" ht="13.5" customHeight="1" x14ac:dyDescent="0.4">
      <c r="A765" s="1">
        <v>45801</v>
      </c>
      <c r="B765" t="s">
        <v>327</v>
      </c>
      <c r="C765">
        <v>0.49</v>
      </c>
      <c r="D765" s="2" t="s">
        <v>1015</v>
      </c>
      <c r="E765" t="s">
        <v>327</v>
      </c>
      <c r="F765" t="s">
        <v>29</v>
      </c>
      <c r="G765" t="e">
        <f>-
NY</f>
        <v>#NAME?</v>
      </c>
      <c r="H765">
        <v>11577</v>
      </c>
      <c r="I765" t="s">
        <v>16</v>
      </c>
      <c r="J765" t="s">
        <v>1016</v>
      </c>
      <c r="K765" t="s">
        <v>31</v>
      </c>
      <c r="L765" t="s">
        <v>2047</v>
      </c>
      <c r="M765">
        <f>VLOOKUP(SUBSTITUTE(J765,"'",""),Sheet1!L:M,2,FALSE)</f>
        <v>61131</v>
      </c>
    </row>
    <row r="766" spans="1:13" ht="13.5" customHeight="1" x14ac:dyDescent="0.4">
      <c r="A766" s="1">
        <v>45801</v>
      </c>
      <c r="B766" t="s">
        <v>2458</v>
      </c>
      <c r="C766">
        <v>2.9</v>
      </c>
      <c r="D766" s="2" t="s">
        <v>3836</v>
      </c>
      <c r="E766" t="s">
        <v>2458</v>
      </c>
      <c r="F766" s="2" t="s">
        <v>2460</v>
      </c>
      <c r="G766" s="2" t="s">
        <v>41</v>
      </c>
      <c r="H766">
        <v>10004</v>
      </c>
      <c r="I766" t="s">
        <v>16</v>
      </c>
      <c r="J766" t="s">
        <v>3837</v>
      </c>
      <c r="K766" t="s">
        <v>2462</v>
      </c>
      <c r="L766" t="s">
        <v>4673</v>
      </c>
      <c r="M766">
        <f>VLOOKUP(SUBSTITUTE(J766,"'",""),Sheet1!L:M,2,FALSE)</f>
        <v>61133</v>
      </c>
    </row>
    <row r="767" spans="1:13" ht="13.5" customHeight="1" x14ac:dyDescent="0.4">
      <c r="A767" s="1">
        <v>45801</v>
      </c>
      <c r="B767" t="s">
        <v>977</v>
      </c>
      <c r="C767">
        <v>10</v>
      </c>
      <c r="D767" s="2" t="s">
        <v>3828</v>
      </c>
      <c r="E767" t="s">
        <v>977</v>
      </c>
      <c r="F767" s="2" t="s">
        <v>979</v>
      </c>
      <c r="G767" s="2" t="s">
        <v>980</v>
      </c>
      <c r="H767">
        <v>78259</v>
      </c>
      <c r="I767" t="s">
        <v>16</v>
      </c>
      <c r="J767" t="s">
        <v>3829</v>
      </c>
      <c r="K767" t="s">
        <v>164</v>
      </c>
      <c r="L767" t="s">
        <v>4673</v>
      </c>
      <c r="M767">
        <f>VLOOKUP(SUBSTITUTE(J767,"'",""),Sheet1!L:M,2,FALSE)</f>
        <v>54820</v>
      </c>
    </row>
    <row r="768" spans="1:13" ht="13.5" customHeight="1" x14ac:dyDescent="0.4">
      <c r="A768" s="1">
        <v>45802</v>
      </c>
      <c r="B768" t="s">
        <v>3822</v>
      </c>
      <c r="C768">
        <v>7.89</v>
      </c>
      <c r="D768" s="2" t="s">
        <v>3823</v>
      </c>
      <c r="E768" t="s">
        <v>3822</v>
      </c>
      <c r="F768" s="2" t="s">
        <v>3824</v>
      </c>
      <c r="G768" s="2" t="s">
        <v>41</v>
      </c>
      <c r="H768">
        <v>10004</v>
      </c>
      <c r="I768" t="s">
        <v>16</v>
      </c>
      <c r="J768" t="s">
        <v>3825</v>
      </c>
      <c r="K768" t="s">
        <v>126</v>
      </c>
      <c r="L768" t="s">
        <v>4673</v>
      </c>
      <c r="M768">
        <f>VLOOKUP(SUBSTITUTE(J768,"'",""),Sheet1!L:M,2,FALSE)</f>
        <v>54820</v>
      </c>
    </row>
    <row r="769" spans="1:13" ht="13.5" customHeight="1" x14ac:dyDescent="0.4">
      <c r="A769" s="1">
        <v>45802</v>
      </c>
      <c r="B769" t="s">
        <v>3815</v>
      </c>
      <c r="C769">
        <v>35</v>
      </c>
      <c r="D769" s="2" t="s">
        <v>3816</v>
      </c>
      <c r="E769" t="s">
        <v>3815</v>
      </c>
      <c r="F769" t="s">
        <v>2248</v>
      </c>
      <c r="G769" s="2" t="s">
        <v>2249</v>
      </c>
      <c r="H769">
        <v>94025</v>
      </c>
      <c r="I769" t="s">
        <v>16</v>
      </c>
      <c r="J769" t="s">
        <v>3817</v>
      </c>
      <c r="K769" t="s">
        <v>2335</v>
      </c>
      <c r="L769" t="s">
        <v>4673</v>
      </c>
      <c r="M769">
        <f>VLOOKUP(SUBSTITUTE(J769,"'",""),Sheet1!L:M,2,FALSE)</f>
        <v>54820</v>
      </c>
    </row>
    <row r="770" spans="1:13" ht="13.5" customHeight="1" x14ac:dyDescent="0.4">
      <c r="A770" s="1">
        <v>45802</v>
      </c>
      <c r="B770" t="s">
        <v>2934</v>
      </c>
      <c r="C770">
        <v>12.79</v>
      </c>
      <c r="D770" s="2" t="s">
        <v>3818</v>
      </c>
      <c r="E770" t="s">
        <v>2934</v>
      </c>
      <c r="F770" t="s">
        <v>3794</v>
      </c>
      <c r="G770" s="2" t="s">
        <v>41</v>
      </c>
      <c r="H770">
        <v>10003</v>
      </c>
      <c r="I770" t="s">
        <v>16</v>
      </c>
      <c r="J770" t="s">
        <v>3819</v>
      </c>
      <c r="K770" t="s">
        <v>305</v>
      </c>
      <c r="L770" t="s">
        <v>4673</v>
      </c>
      <c r="M770">
        <f>VLOOKUP(SUBSTITUTE(J770,"'",""),Sheet1!L:M,2,FALSE)</f>
        <v>54820</v>
      </c>
    </row>
    <row r="771" spans="1:13" ht="13.5" customHeight="1" x14ac:dyDescent="0.4">
      <c r="A771" s="1">
        <v>45802</v>
      </c>
      <c r="B771" t="s">
        <v>2458</v>
      </c>
      <c r="C771">
        <v>2.9</v>
      </c>
      <c r="D771" s="2" t="s">
        <v>3820</v>
      </c>
      <c r="E771" t="s">
        <v>2458</v>
      </c>
      <c r="F771" s="2" t="s">
        <v>2460</v>
      </c>
      <c r="G771" s="2" t="s">
        <v>41</v>
      </c>
      <c r="H771">
        <v>10004</v>
      </c>
      <c r="I771" t="s">
        <v>16</v>
      </c>
      <c r="J771" t="s">
        <v>3821</v>
      </c>
      <c r="K771" t="s">
        <v>2462</v>
      </c>
      <c r="L771" t="s">
        <v>4673</v>
      </c>
      <c r="M771">
        <f>VLOOKUP(SUBSTITUTE(J771,"'",""),Sheet1!L:M,2,FALSE)</f>
        <v>61133</v>
      </c>
    </row>
    <row r="772" spans="1:13" ht="13.5" customHeight="1" x14ac:dyDescent="0.4">
      <c r="A772" s="1">
        <v>45802</v>
      </c>
      <c r="B772" t="s">
        <v>2240</v>
      </c>
      <c r="C772">
        <v>64.64</v>
      </c>
      <c r="D772" s="2" t="s">
        <v>3826</v>
      </c>
      <c r="E772" t="s">
        <v>2240</v>
      </c>
      <c r="F772" t="s">
        <v>2242</v>
      </c>
      <c r="G772" s="2" t="s">
        <v>41</v>
      </c>
      <c r="H772">
        <v>10003</v>
      </c>
      <c r="I772" t="s">
        <v>16</v>
      </c>
      <c r="J772" t="s">
        <v>3827</v>
      </c>
      <c r="K772" t="s">
        <v>1218</v>
      </c>
      <c r="L772" t="s">
        <v>4673</v>
      </c>
      <c r="M772">
        <f>VLOOKUP(SUBSTITUTE(J772,"'",""),Sheet1!L:M,2,FALSE)</f>
        <v>54820</v>
      </c>
    </row>
    <row r="773" spans="1:13" ht="13.5" customHeight="1" x14ac:dyDescent="0.4">
      <c r="A773" s="1">
        <v>45802</v>
      </c>
      <c r="B773" t="s">
        <v>1011</v>
      </c>
      <c r="C773">
        <v>137.18</v>
      </c>
      <c r="D773" s="2" t="s">
        <v>1012</v>
      </c>
      <c r="E773" t="s">
        <v>1011</v>
      </c>
      <c r="F773" s="2" t="s">
        <v>1013</v>
      </c>
      <c r="G773" s="2" t="s">
        <v>41</v>
      </c>
      <c r="H773">
        <v>10018</v>
      </c>
      <c r="I773" t="s">
        <v>16</v>
      </c>
      <c r="J773" t="s">
        <v>1014</v>
      </c>
      <c r="K773" t="s">
        <v>763</v>
      </c>
      <c r="L773" t="s">
        <v>2047</v>
      </c>
      <c r="M773">
        <f>VLOOKUP(SUBSTITUTE(J773,"'",""),Sheet1!L:M,2,FALSE)</f>
        <v>54820</v>
      </c>
    </row>
    <row r="774" spans="1:13" ht="13.5" customHeight="1" x14ac:dyDescent="0.4">
      <c r="A774" s="1">
        <v>45803</v>
      </c>
      <c r="B774" t="s">
        <v>478</v>
      </c>
      <c r="C774">
        <v>45.79</v>
      </c>
      <c r="D774" s="2" t="s">
        <v>1004</v>
      </c>
      <c r="E774" t="s">
        <v>480</v>
      </c>
      <c r="F774" s="2" t="s">
        <v>481</v>
      </c>
      <c r="G774" s="2" t="s">
        <v>35</v>
      </c>
      <c r="H774">
        <v>94103</v>
      </c>
      <c r="I774" t="s">
        <v>16</v>
      </c>
      <c r="J774" t="s">
        <v>1005</v>
      </c>
      <c r="K774" t="s">
        <v>483</v>
      </c>
      <c r="L774" t="s">
        <v>2047</v>
      </c>
      <c r="M774">
        <f>VLOOKUP(SUBSTITUTE(J774,"'",""),Sheet1!L:M,2,FALSE)</f>
        <v>61130</v>
      </c>
    </row>
    <row r="775" spans="1:13" ht="13.5" customHeight="1" x14ac:dyDescent="0.4">
      <c r="A775" s="1">
        <v>45803</v>
      </c>
      <c r="B775" t="s">
        <v>992</v>
      </c>
      <c r="C775">
        <v>10.99</v>
      </c>
      <c r="D775" s="2" t="s">
        <v>993</v>
      </c>
      <c r="E775" t="s">
        <v>992</v>
      </c>
      <c r="F775" t="s">
        <v>13</v>
      </c>
      <c r="G775" s="2" t="s">
        <v>14</v>
      </c>
      <c r="H775" t="s">
        <v>15</v>
      </c>
      <c r="I775" t="s">
        <v>16</v>
      </c>
      <c r="J775" t="s">
        <v>994</v>
      </c>
      <c r="K775" t="s">
        <v>18</v>
      </c>
      <c r="L775" t="s">
        <v>2047</v>
      </c>
      <c r="M775">
        <f>VLOOKUP(SUBSTITUTE(J775,"'",""),Sheet1!L:M,2,FALSE)</f>
        <v>54820</v>
      </c>
    </row>
    <row r="776" spans="1:13" ht="13.5" customHeight="1" x14ac:dyDescent="0.4">
      <c r="A776" s="1">
        <v>45803</v>
      </c>
      <c r="B776" t="s">
        <v>478</v>
      </c>
      <c r="C776">
        <v>43.85</v>
      </c>
      <c r="D776" s="2" t="s">
        <v>1002</v>
      </c>
      <c r="E776" t="s">
        <v>480</v>
      </c>
      <c r="F776" s="2" t="s">
        <v>481</v>
      </c>
      <c r="G776" s="2" t="s">
        <v>35</v>
      </c>
      <c r="H776">
        <v>94103</v>
      </c>
      <c r="I776" t="s">
        <v>16</v>
      </c>
      <c r="J776" t="s">
        <v>1003</v>
      </c>
      <c r="K776" t="s">
        <v>483</v>
      </c>
      <c r="L776" t="s">
        <v>2047</v>
      </c>
      <c r="M776">
        <f>VLOOKUP(SUBSTITUTE(J776,"'",""),Sheet1!L:M,2,FALSE)</f>
        <v>61130</v>
      </c>
    </row>
    <row r="777" spans="1:13" ht="13.5" customHeight="1" x14ac:dyDescent="0.4">
      <c r="A777" s="1">
        <v>45803</v>
      </c>
      <c r="B777" t="s">
        <v>478</v>
      </c>
      <c r="C777">
        <v>56.14</v>
      </c>
      <c r="D777" s="2" t="s">
        <v>1006</v>
      </c>
      <c r="E777" t="s">
        <v>480</v>
      </c>
      <c r="F777" s="2" t="s">
        <v>481</v>
      </c>
      <c r="G777" s="2" t="s">
        <v>35</v>
      </c>
      <c r="H777">
        <v>94103</v>
      </c>
      <c r="I777" t="s">
        <v>16</v>
      </c>
      <c r="J777" t="s">
        <v>1007</v>
      </c>
      <c r="K777" t="s">
        <v>483</v>
      </c>
      <c r="L777" t="s">
        <v>2047</v>
      </c>
      <c r="M777">
        <f>VLOOKUP(SUBSTITUTE(J777,"'",""),Sheet1!L:M,2,FALSE)</f>
        <v>61130</v>
      </c>
    </row>
    <row r="778" spans="1:13" ht="13.5" customHeight="1" x14ac:dyDescent="0.4">
      <c r="A778" s="1">
        <v>45803</v>
      </c>
      <c r="B778" t="s">
        <v>3812</v>
      </c>
      <c r="C778">
        <v>114.94</v>
      </c>
      <c r="D778" s="2" t="s">
        <v>3813</v>
      </c>
      <c r="E778" t="s">
        <v>3812</v>
      </c>
      <c r="F778" t="s">
        <v>2287</v>
      </c>
      <c r="G778" s="2" t="s">
        <v>41</v>
      </c>
      <c r="H778">
        <v>10003</v>
      </c>
      <c r="I778" t="s">
        <v>16</v>
      </c>
      <c r="J778" t="s">
        <v>3814</v>
      </c>
      <c r="K778" t="s">
        <v>370</v>
      </c>
      <c r="L778" t="s">
        <v>4673</v>
      </c>
      <c r="M778">
        <f>VLOOKUP(SUBSTITUTE(J778,"'",""),Sheet1!L:M,2,FALSE)</f>
        <v>54820</v>
      </c>
    </row>
    <row r="779" spans="1:13" ht="13.5" customHeight="1" x14ac:dyDescent="0.4">
      <c r="A779" s="1">
        <v>45803</v>
      </c>
      <c r="B779" t="s">
        <v>977</v>
      </c>
      <c r="C779">
        <v>20</v>
      </c>
      <c r="D779" s="2" t="s">
        <v>3808</v>
      </c>
      <c r="E779" t="s">
        <v>977</v>
      </c>
      <c r="F779" s="2" t="s">
        <v>979</v>
      </c>
      <c r="G779" s="2" t="s">
        <v>980</v>
      </c>
      <c r="H779">
        <v>78259</v>
      </c>
      <c r="I779" t="s">
        <v>16</v>
      </c>
      <c r="J779" t="s">
        <v>3809</v>
      </c>
      <c r="K779" t="s">
        <v>164</v>
      </c>
      <c r="L779" t="s">
        <v>4673</v>
      </c>
      <c r="M779">
        <f>VLOOKUP(SUBSTITUTE(J779,"'",""),Sheet1!L:M,2,FALSE)</f>
        <v>54820</v>
      </c>
    </row>
    <row r="780" spans="1:13" ht="13.5" customHeight="1" x14ac:dyDescent="0.4">
      <c r="A780" s="1">
        <v>45803</v>
      </c>
      <c r="B780" t="s">
        <v>2934</v>
      </c>
      <c r="C780">
        <v>13.01</v>
      </c>
      <c r="D780" s="2" t="s">
        <v>3810</v>
      </c>
      <c r="E780" t="s">
        <v>2934</v>
      </c>
      <c r="F780" t="s">
        <v>3794</v>
      </c>
      <c r="G780" s="2" t="s">
        <v>41</v>
      </c>
      <c r="H780">
        <v>10003</v>
      </c>
      <c r="I780" t="s">
        <v>16</v>
      </c>
      <c r="J780" t="s">
        <v>3811</v>
      </c>
      <c r="K780" t="s">
        <v>305</v>
      </c>
      <c r="L780" t="s">
        <v>4673</v>
      </c>
      <c r="M780">
        <f>VLOOKUP(SUBSTITUTE(J780,"'",""),Sheet1!L:M,2,FALSE)</f>
        <v>54820</v>
      </c>
    </row>
    <row r="781" spans="1:13" ht="13.5" customHeight="1" x14ac:dyDescent="0.4">
      <c r="A781" s="1">
        <v>45803</v>
      </c>
      <c r="B781" t="s">
        <v>1008</v>
      </c>
      <c r="C781">
        <v>450</v>
      </c>
      <c r="D781" s="2" t="s">
        <v>1009</v>
      </c>
      <c r="E781" t="s">
        <v>1008</v>
      </c>
      <c r="F781" t="s">
        <v>950</v>
      </c>
      <c r="G781" s="2" t="s">
        <v>41</v>
      </c>
      <c r="H781">
        <v>10001</v>
      </c>
      <c r="I781" t="s">
        <v>16</v>
      </c>
      <c r="J781" t="s">
        <v>1010</v>
      </c>
      <c r="K781" t="s">
        <v>126</v>
      </c>
      <c r="L781" t="s">
        <v>2047</v>
      </c>
      <c r="M781">
        <f>VLOOKUP(SUBSTITUTE(J781,"'",""),Sheet1!L:M,2,FALSE)</f>
        <v>61215</v>
      </c>
    </row>
    <row r="782" spans="1:13" ht="13.5" customHeight="1" x14ac:dyDescent="0.4">
      <c r="A782" s="1">
        <v>45803</v>
      </c>
      <c r="B782" t="s">
        <v>999</v>
      </c>
      <c r="C782">
        <v>426</v>
      </c>
      <c r="D782" s="2" t="s">
        <v>1000</v>
      </c>
      <c r="E782" t="s">
        <v>999</v>
      </c>
      <c r="F782" t="s">
        <v>950</v>
      </c>
      <c r="G782" s="2" t="s">
        <v>41</v>
      </c>
      <c r="H782">
        <v>10001</v>
      </c>
      <c r="I782" t="s">
        <v>16</v>
      </c>
      <c r="J782" t="s">
        <v>1001</v>
      </c>
      <c r="K782" t="s">
        <v>126</v>
      </c>
      <c r="L782" t="s">
        <v>2047</v>
      </c>
      <c r="M782">
        <f>VLOOKUP(SUBSTITUTE(J782,"'",""),Sheet1!L:M,2,FALSE)</f>
        <v>61215</v>
      </c>
    </row>
    <row r="783" spans="1:13" ht="13.5" customHeight="1" x14ac:dyDescent="0.4">
      <c r="A783" s="1">
        <v>45803</v>
      </c>
      <c r="B783" t="s">
        <v>995</v>
      </c>
      <c r="C783">
        <v>199</v>
      </c>
      <c r="D783" s="2" t="s">
        <v>996</v>
      </c>
      <c r="E783" t="s">
        <v>995</v>
      </c>
      <c r="F783" s="2" t="s">
        <v>997</v>
      </c>
      <c r="G783" s="2" t="s">
        <v>41</v>
      </c>
      <c r="H783">
        <v>10011</v>
      </c>
      <c r="I783" t="s">
        <v>16</v>
      </c>
      <c r="J783" t="s">
        <v>998</v>
      </c>
      <c r="K783" t="s">
        <v>56</v>
      </c>
      <c r="L783" t="s">
        <v>2047</v>
      </c>
      <c r="M783">
        <f>VLOOKUP(SUBSTITUTE(J783,"'",""),Sheet1!L:M,2,FALSE)</f>
        <v>61120</v>
      </c>
    </row>
    <row r="784" spans="1:13" ht="13.5" customHeight="1" x14ac:dyDescent="0.4">
      <c r="A784" s="1">
        <v>45803</v>
      </c>
      <c r="B784" t="s">
        <v>1792</v>
      </c>
      <c r="C784">
        <v>16.05</v>
      </c>
      <c r="D784" s="2" t="s">
        <v>3806</v>
      </c>
      <c r="E784" t="s">
        <v>1792</v>
      </c>
      <c r="F784" t="s">
        <v>1794</v>
      </c>
      <c r="G784" s="2" t="s">
        <v>35</v>
      </c>
      <c r="H784">
        <v>94105</v>
      </c>
      <c r="I784" t="s">
        <v>16</v>
      </c>
      <c r="J784" t="s">
        <v>3807</v>
      </c>
      <c r="K784" t="s">
        <v>37</v>
      </c>
      <c r="L784" t="s">
        <v>4673</v>
      </c>
      <c r="M784">
        <f>VLOOKUP(SUBSTITUTE(J784,"'",""),Sheet1!L:M,2,FALSE)</f>
        <v>64100</v>
      </c>
    </row>
    <row r="785" spans="1:13" ht="13.5" customHeight="1" x14ac:dyDescent="0.4">
      <c r="A785" s="1">
        <v>45804</v>
      </c>
      <c r="B785" t="s">
        <v>3802</v>
      </c>
      <c r="C785">
        <v>60</v>
      </c>
      <c r="D785" s="2" t="s">
        <v>3803</v>
      </c>
      <c r="E785" t="s">
        <v>3802</v>
      </c>
      <c r="F785" t="s">
        <v>3804</v>
      </c>
      <c r="G785" s="2" t="s">
        <v>41</v>
      </c>
      <c r="H785">
        <v>10001</v>
      </c>
      <c r="I785" t="s">
        <v>16</v>
      </c>
      <c r="J785" t="s">
        <v>3805</v>
      </c>
      <c r="K785" t="s">
        <v>305</v>
      </c>
      <c r="L785" t="s">
        <v>4673</v>
      </c>
      <c r="M785">
        <f>VLOOKUP(SUBSTITUTE(J785,"'",""),Sheet1!L:M,2,FALSE)</f>
        <v>54820</v>
      </c>
    </row>
    <row r="786" spans="1:13" ht="13.5" customHeight="1" x14ac:dyDescent="0.4">
      <c r="A786" s="1">
        <v>45804</v>
      </c>
      <c r="B786" t="s">
        <v>478</v>
      </c>
      <c r="C786">
        <v>39.56</v>
      </c>
      <c r="D786" s="2" t="s">
        <v>990</v>
      </c>
      <c r="E786" t="s">
        <v>480</v>
      </c>
      <c r="F786" s="2" t="s">
        <v>481</v>
      </c>
      <c r="G786" s="2" t="s">
        <v>35</v>
      </c>
      <c r="H786">
        <v>94103</v>
      </c>
      <c r="I786" t="s">
        <v>16</v>
      </c>
      <c r="J786" t="s">
        <v>991</v>
      </c>
      <c r="K786" t="s">
        <v>483</v>
      </c>
      <c r="L786" t="s">
        <v>2047</v>
      </c>
      <c r="M786">
        <f>VLOOKUP(SUBSTITUTE(J786,"'",""),Sheet1!L:M,2,FALSE)</f>
        <v>61130</v>
      </c>
    </row>
    <row r="787" spans="1:13" ht="13.5" customHeight="1" x14ac:dyDescent="0.4">
      <c r="A787" s="1">
        <v>45804</v>
      </c>
      <c r="B787" t="s">
        <v>478</v>
      </c>
      <c r="C787">
        <v>29.53</v>
      </c>
      <c r="D787" s="2" t="s">
        <v>986</v>
      </c>
      <c r="E787" t="s">
        <v>480</v>
      </c>
      <c r="F787" s="2" t="s">
        <v>481</v>
      </c>
      <c r="G787" s="2" t="s">
        <v>35</v>
      </c>
      <c r="H787">
        <v>94103</v>
      </c>
      <c r="I787" t="s">
        <v>16</v>
      </c>
      <c r="J787" t="s">
        <v>987</v>
      </c>
      <c r="K787" t="s">
        <v>483</v>
      </c>
      <c r="L787" t="s">
        <v>2047</v>
      </c>
      <c r="M787">
        <f>VLOOKUP(SUBSTITUTE(J787,"'",""),Sheet1!L:M,2,FALSE)</f>
        <v>61130</v>
      </c>
    </row>
    <row r="788" spans="1:13" ht="13.5" customHeight="1" x14ac:dyDescent="0.4">
      <c r="A788" s="1">
        <v>45804</v>
      </c>
      <c r="B788" t="s">
        <v>478</v>
      </c>
      <c r="C788">
        <v>30.21</v>
      </c>
      <c r="D788" s="2" t="s">
        <v>988</v>
      </c>
      <c r="E788" t="s">
        <v>480</v>
      </c>
      <c r="F788" s="2" t="s">
        <v>481</v>
      </c>
      <c r="G788" s="2" t="s">
        <v>35</v>
      </c>
      <c r="H788">
        <v>94103</v>
      </c>
      <c r="I788" t="s">
        <v>16</v>
      </c>
      <c r="J788" t="s">
        <v>989</v>
      </c>
      <c r="K788" t="s">
        <v>483</v>
      </c>
      <c r="L788" t="s">
        <v>2047</v>
      </c>
      <c r="M788">
        <f>VLOOKUP(SUBSTITUTE(J788,"'",""),Sheet1!L:M,2,FALSE)</f>
        <v>61130</v>
      </c>
    </row>
    <row r="789" spans="1:13" ht="13.5" customHeight="1" x14ac:dyDescent="0.4">
      <c r="A789" s="1">
        <v>45804</v>
      </c>
      <c r="B789" t="s">
        <v>3558</v>
      </c>
      <c r="C789">
        <v>4</v>
      </c>
      <c r="D789" s="2" t="s">
        <v>3798</v>
      </c>
      <c r="E789" t="s">
        <v>3558</v>
      </c>
      <c r="F789" s="2" t="s">
        <v>2785</v>
      </c>
      <c r="G789" s="2" t="s">
        <v>2786</v>
      </c>
      <c r="H789">
        <v>10011</v>
      </c>
      <c r="I789" t="s">
        <v>16</v>
      </c>
      <c r="J789" t="s">
        <v>3799</v>
      </c>
      <c r="K789" t="s">
        <v>1304</v>
      </c>
      <c r="L789" t="s">
        <v>4673</v>
      </c>
      <c r="M789">
        <f>VLOOKUP(SUBSTITUTE(J789,"'",""),Sheet1!L:M,2,FALSE)</f>
        <v>54820</v>
      </c>
    </row>
    <row r="790" spans="1:13" ht="13.5" customHeight="1" x14ac:dyDescent="0.4">
      <c r="A790" s="1">
        <v>45804</v>
      </c>
      <c r="B790" t="s">
        <v>2764</v>
      </c>
      <c r="C790">
        <v>19.760000000000002</v>
      </c>
      <c r="D790" s="2" t="s">
        <v>3796</v>
      </c>
      <c r="E790" t="s">
        <v>2764</v>
      </c>
      <c r="F790" t="s">
        <v>2766</v>
      </c>
      <c r="G790" s="2" t="s">
        <v>41</v>
      </c>
      <c r="H790">
        <v>10011</v>
      </c>
      <c r="I790" t="s">
        <v>16</v>
      </c>
      <c r="J790" t="s">
        <v>3797</v>
      </c>
      <c r="K790" t="s">
        <v>305</v>
      </c>
      <c r="L790" t="s">
        <v>4673</v>
      </c>
      <c r="M790">
        <f>VLOOKUP(SUBSTITUTE(J790,"'",""),Sheet1!L:M,2,FALSE)</f>
        <v>54820</v>
      </c>
    </row>
    <row r="791" spans="1:13" ht="13.5" customHeight="1" x14ac:dyDescent="0.4">
      <c r="A791" s="1">
        <v>45804</v>
      </c>
      <c r="B791" t="s">
        <v>2158</v>
      </c>
      <c r="C791">
        <v>200</v>
      </c>
      <c r="D791" s="2" t="s">
        <v>3800</v>
      </c>
      <c r="E791" t="s">
        <v>2158</v>
      </c>
      <c r="F791" s="2" t="s">
        <v>3032</v>
      </c>
      <c r="G791" s="2" t="s">
        <v>41</v>
      </c>
      <c r="H791">
        <v>10017</v>
      </c>
      <c r="I791" t="s">
        <v>16</v>
      </c>
      <c r="J791" t="s">
        <v>3801</v>
      </c>
      <c r="K791" t="s">
        <v>116</v>
      </c>
      <c r="L791" t="s">
        <v>4673</v>
      </c>
      <c r="M791">
        <f>VLOOKUP(SUBSTITUTE(J791,"'",""),Sheet1!L:M,2,FALSE)</f>
        <v>54820</v>
      </c>
    </row>
    <row r="792" spans="1:13" ht="13.5" customHeight="1" x14ac:dyDescent="0.4">
      <c r="A792" s="1">
        <v>45805</v>
      </c>
      <c r="B792" t="s">
        <v>2934</v>
      </c>
      <c r="C792">
        <v>12.79</v>
      </c>
      <c r="D792" s="2" t="s">
        <v>3793</v>
      </c>
      <c r="E792" t="s">
        <v>2934</v>
      </c>
      <c r="F792" t="s">
        <v>3794</v>
      </c>
      <c r="G792" s="2" t="s">
        <v>41</v>
      </c>
      <c r="H792">
        <v>10003</v>
      </c>
      <c r="I792" t="s">
        <v>16</v>
      </c>
      <c r="J792" t="s">
        <v>3795</v>
      </c>
      <c r="K792" t="s">
        <v>305</v>
      </c>
      <c r="L792" t="s">
        <v>4673</v>
      </c>
      <c r="M792">
        <f>VLOOKUP(SUBSTITUTE(J792,"'",""),Sheet1!L:M,2,FALSE)</f>
        <v>54820</v>
      </c>
    </row>
    <row r="793" spans="1:13" ht="13.5" customHeight="1" x14ac:dyDescent="0.4">
      <c r="A793" s="1">
        <v>45805</v>
      </c>
      <c r="B793" t="s">
        <v>977</v>
      </c>
      <c r="C793">
        <v>20</v>
      </c>
      <c r="D793" s="2" t="s">
        <v>3791</v>
      </c>
      <c r="E793" t="s">
        <v>977</v>
      </c>
      <c r="F793" s="2" t="s">
        <v>979</v>
      </c>
      <c r="G793" s="2" t="s">
        <v>980</v>
      </c>
      <c r="H793">
        <v>78259</v>
      </c>
      <c r="I793" t="s">
        <v>16</v>
      </c>
      <c r="J793" t="s">
        <v>3792</v>
      </c>
      <c r="K793" t="s">
        <v>164</v>
      </c>
      <c r="L793" t="s">
        <v>4673</v>
      </c>
      <c r="M793">
        <f>VLOOKUP(SUBSTITUTE(J793,"'",""),Sheet1!L:M,2,FALSE)</f>
        <v>54820</v>
      </c>
    </row>
    <row r="794" spans="1:13" ht="13.5" customHeight="1" x14ac:dyDescent="0.4">
      <c r="A794" s="1">
        <v>45806</v>
      </c>
      <c r="B794" t="s">
        <v>3151</v>
      </c>
      <c r="C794">
        <v>70.56</v>
      </c>
      <c r="D794" s="2" t="s">
        <v>3789</v>
      </c>
      <c r="E794" t="s">
        <v>3151</v>
      </c>
      <c r="F794" t="s">
        <v>2743</v>
      </c>
      <c r="G794" s="2" t="s">
        <v>41</v>
      </c>
      <c r="H794">
        <v>10003</v>
      </c>
      <c r="I794" t="s">
        <v>16</v>
      </c>
      <c r="J794" t="s">
        <v>3790</v>
      </c>
      <c r="K794" t="s">
        <v>207</v>
      </c>
      <c r="L794" t="s">
        <v>4673</v>
      </c>
      <c r="M794">
        <f>VLOOKUP(SUBSTITUTE(J794,"'",""),Sheet1!L:M,2,FALSE)</f>
        <v>54820</v>
      </c>
    </row>
    <row r="795" spans="1:13" ht="13.5" customHeight="1" x14ac:dyDescent="0.4">
      <c r="A795" s="1">
        <v>45806</v>
      </c>
      <c r="B795" t="s">
        <v>2934</v>
      </c>
      <c r="C795">
        <v>12.79</v>
      </c>
      <c r="D795" s="2" t="s">
        <v>3787</v>
      </c>
      <c r="E795" t="s">
        <v>2934</v>
      </c>
      <c r="F795" t="s">
        <v>2936</v>
      </c>
      <c r="G795" s="2" t="s">
        <v>41</v>
      </c>
      <c r="H795">
        <v>10003</v>
      </c>
      <c r="I795" t="s">
        <v>16</v>
      </c>
      <c r="J795" t="s">
        <v>3788</v>
      </c>
      <c r="K795" t="s">
        <v>305</v>
      </c>
      <c r="L795" t="s">
        <v>4673</v>
      </c>
      <c r="M795">
        <f>VLOOKUP(SUBSTITUTE(J795,"'",""),Sheet1!L:M,2,FALSE)</f>
        <v>54820</v>
      </c>
    </row>
    <row r="796" spans="1:13" ht="13.5" customHeight="1" x14ac:dyDescent="0.4">
      <c r="A796" s="1">
        <v>45806</v>
      </c>
      <c r="B796" t="s">
        <v>977</v>
      </c>
      <c r="C796">
        <v>250</v>
      </c>
      <c r="D796" s="2" t="s">
        <v>978</v>
      </c>
      <c r="E796" t="s">
        <v>977</v>
      </c>
      <c r="F796" s="2" t="s">
        <v>979</v>
      </c>
      <c r="G796" s="2" t="s">
        <v>980</v>
      </c>
      <c r="H796">
        <v>78259</v>
      </c>
      <c r="I796" t="s">
        <v>16</v>
      </c>
      <c r="J796" t="s">
        <v>981</v>
      </c>
      <c r="K796" t="s">
        <v>164</v>
      </c>
      <c r="L796" t="s">
        <v>2047</v>
      </c>
      <c r="M796">
        <f>VLOOKUP(SUBSTITUTE(J796,"'",""),Sheet1!L:M,2,FALSE)</f>
        <v>54820</v>
      </c>
    </row>
    <row r="797" spans="1:13" ht="13.5" customHeight="1" x14ac:dyDescent="0.4">
      <c r="A797" s="1">
        <v>45806</v>
      </c>
      <c r="B797" t="s">
        <v>977</v>
      </c>
      <c r="C797">
        <v>500</v>
      </c>
      <c r="D797" s="2" t="s">
        <v>984</v>
      </c>
      <c r="E797" t="s">
        <v>977</v>
      </c>
      <c r="F797" s="2" t="s">
        <v>979</v>
      </c>
      <c r="G797" s="2" t="s">
        <v>980</v>
      </c>
      <c r="H797">
        <v>78259</v>
      </c>
      <c r="I797" t="s">
        <v>16</v>
      </c>
      <c r="J797" t="s">
        <v>985</v>
      </c>
      <c r="K797" t="s">
        <v>164</v>
      </c>
      <c r="L797" t="s">
        <v>2047</v>
      </c>
      <c r="M797">
        <f>VLOOKUP(SUBSTITUTE(J797,"'",""),Sheet1!L:M,2,FALSE)</f>
        <v>54820</v>
      </c>
    </row>
    <row r="798" spans="1:13" ht="13.5" customHeight="1" x14ac:dyDescent="0.4">
      <c r="A798" s="1">
        <v>45806</v>
      </c>
      <c r="B798" t="s">
        <v>977</v>
      </c>
      <c r="C798">
        <v>250</v>
      </c>
      <c r="D798" s="2" t="s">
        <v>982</v>
      </c>
      <c r="E798" t="s">
        <v>977</v>
      </c>
      <c r="F798" s="2" t="s">
        <v>979</v>
      </c>
      <c r="G798" s="2" t="s">
        <v>980</v>
      </c>
      <c r="H798">
        <v>78259</v>
      </c>
      <c r="I798" t="s">
        <v>16</v>
      </c>
      <c r="J798" t="s">
        <v>983</v>
      </c>
      <c r="K798" t="s">
        <v>164</v>
      </c>
      <c r="L798" t="s">
        <v>2047</v>
      </c>
      <c r="M798">
        <f>VLOOKUP(SUBSTITUTE(J798,"'",""),Sheet1!L:M,2,FALSE)</f>
        <v>54820</v>
      </c>
    </row>
    <row r="799" spans="1:13" ht="13.5" customHeight="1" x14ac:dyDescent="0.4">
      <c r="A799" s="1">
        <v>45807</v>
      </c>
      <c r="B799" t="s">
        <v>885</v>
      </c>
      <c r="C799">
        <v>75.31</v>
      </c>
      <c r="D799" s="2" t="s">
        <v>3779</v>
      </c>
      <c r="E799" t="s">
        <v>885</v>
      </c>
      <c r="F799" t="s">
        <v>108</v>
      </c>
      <c r="G799" s="2" t="s">
        <v>41</v>
      </c>
      <c r="H799">
        <v>10012</v>
      </c>
      <c r="I799" t="s">
        <v>16</v>
      </c>
      <c r="J799" t="s">
        <v>3780</v>
      </c>
      <c r="K799" t="s">
        <v>110</v>
      </c>
      <c r="L799" t="s">
        <v>4673</v>
      </c>
      <c r="M799">
        <f>VLOOKUP(SUBSTITUTE(J799,"'",""),Sheet1!L:M,2,FALSE)</f>
        <v>67500</v>
      </c>
    </row>
    <row r="800" spans="1:13" ht="13.5" customHeight="1" x14ac:dyDescent="0.4">
      <c r="A800" s="1">
        <v>45807</v>
      </c>
      <c r="B800" t="s">
        <v>3781</v>
      </c>
      <c r="C800">
        <v>8</v>
      </c>
      <c r="D800" s="2" t="s">
        <v>3782</v>
      </c>
      <c r="E800" t="s">
        <v>3781</v>
      </c>
      <c r="F800" t="s">
        <v>3783</v>
      </c>
      <c r="G800" s="2" t="s">
        <v>41</v>
      </c>
      <c r="H800">
        <v>10003</v>
      </c>
      <c r="I800" t="s">
        <v>16</v>
      </c>
      <c r="J800" t="s">
        <v>3784</v>
      </c>
      <c r="K800" t="s">
        <v>126</v>
      </c>
      <c r="L800" t="s">
        <v>4673</v>
      </c>
      <c r="M800">
        <f>VLOOKUP(SUBSTITUTE(J800,"'",""),Sheet1!L:M,2,FALSE)</f>
        <v>54820</v>
      </c>
    </row>
    <row r="801" spans="1:13" ht="13.5" customHeight="1" x14ac:dyDescent="0.4">
      <c r="A801" s="1">
        <v>45807</v>
      </c>
      <c r="B801" t="s">
        <v>2240</v>
      </c>
      <c r="C801">
        <v>125.74</v>
      </c>
      <c r="D801" s="2" t="s">
        <v>3785</v>
      </c>
      <c r="E801" t="s">
        <v>2240</v>
      </c>
      <c r="F801" t="s">
        <v>2242</v>
      </c>
      <c r="G801" s="2" t="s">
        <v>41</v>
      </c>
      <c r="H801">
        <v>10003</v>
      </c>
      <c r="I801" t="s">
        <v>16</v>
      </c>
      <c r="J801" t="s">
        <v>3786</v>
      </c>
      <c r="K801" t="s">
        <v>1218</v>
      </c>
      <c r="L801" t="s">
        <v>4673</v>
      </c>
      <c r="M801">
        <f>VLOOKUP(SUBSTITUTE(J801,"'",""),Sheet1!L:M,2,FALSE)</f>
        <v>54820</v>
      </c>
    </row>
    <row r="802" spans="1:13" ht="13.5" customHeight="1" x14ac:dyDescent="0.4">
      <c r="A802" s="1">
        <v>45807</v>
      </c>
      <c r="B802" t="s">
        <v>2146</v>
      </c>
      <c r="C802">
        <v>41.72</v>
      </c>
      <c r="D802" s="2" t="s">
        <v>3773</v>
      </c>
      <c r="E802" t="s">
        <v>2146</v>
      </c>
      <c r="F802" t="s">
        <v>2148</v>
      </c>
      <c r="G802" s="2" t="s">
        <v>2149</v>
      </c>
      <c r="H802" s="3" t="s">
        <v>2150</v>
      </c>
      <c r="I802" t="s">
        <v>16</v>
      </c>
      <c r="J802" t="s">
        <v>3774</v>
      </c>
      <c r="K802" t="s">
        <v>1904</v>
      </c>
      <c r="L802" t="s">
        <v>4673</v>
      </c>
      <c r="M802">
        <f>VLOOKUP(SUBSTITUTE(J802,"'",""),Sheet1!L:M,2,FALSE)</f>
        <v>67500</v>
      </c>
    </row>
    <row r="803" spans="1:13" ht="13.5" customHeight="1" x14ac:dyDescent="0.4">
      <c r="A803" s="1">
        <v>45807</v>
      </c>
      <c r="B803" t="s">
        <v>977</v>
      </c>
      <c r="C803">
        <v>20</v>
      </c>
      <c r="D803" s="2" t="s">
        <v>3771</v>
      </c>
      <c r="E803" t="s">
        <v>977</v>
      </c>
      <c r="F803" s="2" t="s">
        <v>979</v>
      </c>
      <c r="G803" s="2" t="s">
        <v>980</v>
      </c>
      <c r="H803">
        <v>78259</v>
      </c>
      <c r="I803" t="s">
        <v>16</v>
      </c>
      <c r="J803" t="s">
        <v>3772</v>
      </c>
      <c r="K803" t="s">
        <v>164</v>
      </c>
      <c r="L803" t="s">
        <v>4673</v>
      </c>
      <c r="M803">
        <f>VLOOKUP(SUBSTITUTE(J803,"'",""),Sheet1!L:M,2,FALSE)</f>
        <v>54820</v>
      </c>
    </row>
    <row r="804" spans="1:13" ht="13.5" customHeight="1" x14ac:dyDescent="0.4">
      <c r="A804" s="1">
        <v>45807</v>
      </c>
      <c r="B804" t="s">
        <v>3775</v>
      </c>
      <c r="C804">
        <v>204.23</v>
      </c>
      <c r="D804" s="2" t="s">
        <v>3776</v>
      </c>
      <c r="E804" t="s">
        <v>3775</v>
      </c>
      <c r="F804" t="s">
        <v>3777</v>
      </c>
      <c r="G804" s="2" t="s">
        <v>41</v>
      </c>
      <c r="H804">
        <v>10013</v>
      </c>
      <c r="I804" t="s">
        <v>16</v>
      </c>
      <c r="J804" t="s">
        <v>3778</v>
      </c>
      <c r="K804" t="s">
        <v>116</v>
      </c>
      <c r="L804" t="s">
        <v>4673</v>
      </c>
      <c r="M804">
        <f>VLOOKUP(SUBSTITUTE(J804,"'",""),Sheet1!L:M,2,FALSE)</f>
        <v>67500</v>
      </c>
    </row>
    <row r="805" spans="1:13" ht="13.5" customHeight="1" x14ac:dyDescent="0.4">
      <c r="A805" s="1">
        <v>45808</v>
      </c>
      <c r="B805" t="s">
        <v>3767</v>
      </c>
      <c r="C805">
        <v>454.36</v>
      </c>
      <c r="D805" s="2" t="s">
        <v>3768</v>
      </c>
      <c r="E805" t="s">
        <v>3767</v>
      </c>
      <c r="F805" s="2" t="s">
        <v>3769</v>
      </c>
      <c r="H805">
        <v>67000</v>
      </c>
      <c r="I805" t="s">
        <v>761</v>
      </c>
      <c r="J805" t="s">
        <v>3770</v>
      </c>
      <c r="K805" t="s">
        <v>50</v>
      </c>
      <c r="L805" t="s">
        <v>4673</v>
      </c>
      <c r="M805">
        <f>VLOOKUP(SUBSTITUTE(J805,"'",""),Sheet1!L:M,2,FALSE)</f>
        <v>54820</v>
      </c>
    </row>
    <row r="806" spans="1:13" ht="13.5" customHeight="1" x14ac:dyDescent="0.4">
      <c r="A806" s="1">
        <v>45808</v>
      </c>
      <c r="B806" t="s">
        <v>972</v>
      </c>
      <c r="C806">
        <v>800</v>
      </c>
      <c r="D806" s="2" t="s">
        <v>973</v>
      </c>
      <c r="E806" t="s">
        <v>972</v>
      </c>
      <c r="F806" t="s">
        <v>974</v>
      </c>
      <c r="G806" s="2" t="s">
        <v>41</v>
      </c>
      <c r="H806" t="s">
        <v>975</v>
      </c>
      <c r="I806" t="s">
        <v>16</v>
      </c>
      <c r="J806" t="s">
        <v>976</v>
      </c>
      <c r="K806" t="s">
        <v>126</v>
      </c>
      <c r="L806" t="s">
        <v>2047</v>
      </c>
      <c r="M806">
        <f>VLOOKUP(SUBSTITUTE(J806,"'",""),Sheet1!L:M,2,FALSE)</f>
        <v>61215</v>
      </c>
    </row>
    <row r="807" spans="1:13" ht="13.5" customHeight="1" x14ac:dyDescent="0.4">
      <c r="A807" s="1">
        <v>45809</v>
      </c>
      <c r="B807" t="s">
        <v>2429</v>
      </c>
      <c r="C807">
        <v>1576.93</v>
      </c>
      <c r="D807" s="2" t="s">
        <v>3758</v>
      </c>
      <c r="E807" t="s">
        <v>2429</v>
      </c>
      <c r="F807" t="s">
        <v>13</v>
      </c>
      <c r="G807" s="2" t="s">
        <v>14</v>
      </c>
      <c r="H807">
        <v>98101</v>
      </c>
      <c r="I807" t="s">
        <v>16</v>
      </c>
      <c r="J807" t="s">
        <v>3759</v>
      </c>
      <c r="K807" t="s">
        <v>18</v>
      </c>
      <c r="L807" t="s">
        <v>4673</v>
      </c>
      <c r="M807">
        <f>VLOOKUP(SUBSTITUTE(J807,"'",""),Sheet1!L:M,2,FALSE)</f>
        <v>64101</v>
      </c>
    </row>
    <row r="808" spans="1:13" ht="13.5" customHeight="1" x14ac:dyDescent="0.4">
      <c r="A808" s="1">
        <v>45809</v>
      </c>
      <c r="B808" t="s">
        <v>478</v>
      </c>
      <c r="C808">
        <v>58.79</v>
      </c>
      <c r="D808" s="2" t="s">
        <v>968</v>
      </c>
      <c r="E808" t="s">
        <v>480</v>
      </c>
      <c r="F808" s="2" t="s">
        <v>481</v>
      </c>
      <c r="G808" s="2" t="s">
        <v>35</v>
      </c>
      <c r="H808">
        <v>94103</v>
      </c>
      <c r="I808" t="s">
        <v>16</v>
      </c>
      <c r="J808" t="s">
        <v>969</v>
      </c>
      <c r="K808" t="s">
        <v>483</v>
      </c>
      <c r="L808" t="s">
        <v>2047</v>
      </c>
      <c r="M808">
        <f>VLOOKUP(SUBSTITUTE(J808,"'",""),Sheet1!L:M,2,FALSE)</f>
        <v>61130</v>
      </c>
    </row>
    <row r="809" spans="1:13" ht="13.5" customHeight="1" x14ac:dyDescent="0.4">
      <c r="A809" s="1">
        <v>45809</v>
      </c>
      <c r="B809" t="s">
        <v>234</v>
      </c>
      <c r="C809">
        <v>226.78</v>
      </c>
      <c r="D809" s="2" t="s">
        <v>970</v>
      </c>
      <c r="E809" t="s">
        <v>236</v>
      </c>
      <c r="F809" t="s">
        <v>237</v>
      </c>
      <c r="G809" s="2" t="s">
        <v>238</v>
      </c>
      <c r="H809" t="s">
        <v>239</v>
      </c>
      <c r="I809" t="s">
        <v>16</v>
      </c>
      <c r="J809" t="s">
        <v>971</v>
      </c>
      <c r="K809" t="s">
        <v>90</v>
      </c>
      <c r="L809" t="s">
        <v>2047</v>
      </c>
      <c r="M809">
        <f>VLOOKUP(SUBSTITUTE(J809,"'",""),Sheet1!L:M,2,FALSE)</f>
        <v>65700</v>
      </c>
    </row>
    <row r="810" spans="1:13" ht="13.5" customHeight="1" x14ac:dyDescent="0.4">
      <c r="A810" s="1">
        <v>45809</v>
      </c>
      <c r="B810" t="s">
        <v>3332</v>
      </c>
      <c r="C810">
        <v>156.4</v>
      </c>
      <c r="D810" s="2" t="s">
        <v>3763</v>
      </c>
      <c r="E810" t="s">
        <v>3332</v>
      </c>
      <c r="F810" t="s">
        <v>3334</v>
      </c>
      <c r="G810" s="2" t="s">
        <v>3335</v>
      </c>
      <c r="H810" t="s">
        <v>3336</v>
      </c>
      <c r="I810" t="s">
        <v>73</v>
      </c>
      <c r="J810" t="s">
        <v>3764</v>
      </c>
      <c r="K810" t="s">
        <v>3245</v>
      </c>
      <c r="L810" t="s">
        <v>4673</v>
      </c>
      <c r="M810">
        <f>VLOOKUP(SUBSTITUTE(J810,"'",""),Sheet1!L:M,2,FALSE)</f>
        <v>54820</v>
      </c>
    </row>
    <row r="811" spans="1:13" ht="13.5" customHeight="1" x14ac:dyDescent="0.4">
      <c r="A811" s="1">
        <v>45809</v>
      </c>
      <c r="B811" t="s">
        <v>3332</v>
      </c>
      <c r="C811">
        <v>205.92</v>
      </c>
      <c r="D811" s="2" t="s">
        <v>3765</v>
      </c>
      <c r="E811" t="s">
        <v>3332</v>
      </c>
      <c r="F811" t="s">
        <v>3334</v>
      </c>
      <c r="G811" s="2" t="s">
        <v>3335</v>
      </c>
      <c r="H811" t="s">
        <v>3336</v>
      </c>
      <c r="I811" t="s">
        <v>73</v>
      </c>
      <c r="J811" t="s">
        <v>3766</v>
      </c>
      <c r="K811" t="s">
        <v>3245</v>
      </c>
      <c r="L811" t="s">
        <v>4673</v>
      </c>
      <c r="M811">
        <f>VLOOKUP(SUBSTITUTE(J811,"'",""),Sheet1!L:M,2,FALSE)</f>
        <v>54820</v>
      </c>
    </row>
    <row r="812" spans="1:13" ht="13.5" customHeight="1" x14ac:dyDescent="0.4">
      <c r="A812" s="1">
        <v>45809</v>
      </c>
      <c r="B812" t="s">
        <v>327</v>
      </c>
      <c r="C812">
        <v>0.49</v>
      </c>
      <c r="D812" s="2" t="s">
        <v>966</v>
      </c>
      <c r="E812" t="s">
        <v>327</v>
      </c>
      <c r="F812" t="s">
        <v>29</v>
      </c>
      <c r="G812" t="e">
        <f>-
NY</f>
        <v>#NAME?</v>
      </c>
      <c r="H812">
        <v>11577</v>
      </c>
      <c r="I812" t="s">
        <v>16</v>
      </c>
      <c r="J812" t="s">
        <v>967</v>
      </c>
      <c r="K812" t="s">
        <v>31</v>
      </c>
      <c r="L812" t="s">
        <v>2047</v>
      </c>
      <c r="M812">
        <f>VLOOKUP(SUBSTITUTE(J812,"'",""),Sheet1!L:M,2,FALSE)</f>
        <v>61131</v>
      </c>
    </row>
    <row r="813" spans="1:13" ht="13.5" customHeight="1" x14ac:dyDescent="0.4">
      <c r="A813" s="1">
        <v>45809</v>
      </c>
      <c r="B813" t="s">
        <v>3760</v>
      </c>
      <c r="C813">
        <v>39</v>
      </c>
      <c r="D813" s="2" t="s">
        <v>3761</v>
      </c>
      <c r="E813" t="s">
        <v>3760</v>
      </c>
      <c r="F813" t="s">
        <v>2248</v>
      </c>
      <c r="G813" s="2" t="s">
        <v>2249</v>
      </c>
      <c r="H813">
        <v>94025</v>
      </c>
      <c r="I813" t="s">
        <v>16</v>
      </c>
      <c r="J813" t="s">
        <v>3762</v>
      </c>
      <c r="K813" t="s">
        <v>2335</v>
      </c>
      <c r="L813" t="s">
        <v>4673</v>
      </c>
      <c r="M813">
        <f>VLOOKUP(SUBSTITUTE(J813,"'",""),Sheet1!L:M,2,FALSE)</f>
        <v>54820</v>
      </c>
    </row>
    <row r="814" spans="1:13" ht="13.5" customHeight="1" x14ac:dyDescent="0.4">
      <c r="A814" s="1">
        <v>45810</v>
      </c>
      <c r="B814" t="s">
        <v>3332</v>
      </c>
      <c r="C814">
        <v>64.819999999999993</v>
      </c>
      <c r="D814" s="2" t="s">
        <v>3352</v>
      </c>
      <c r="E814" t="s">
        <v>3332</v>
      </c>
      <c r="F814" t="s">
        <v>3334</v>
      </c>
      <c r="G814" s="2" t="s">
        <v>3335</v>
      </c>
      <c r="H814" t="s">
        <v>3336</v>
      </c>
      <c r="I814" t="s">
        <v>73</v>
      </c>
      <c r="J814" t="s">
        <v>3757</v>
      </c>
      <c r="K814" t="s">
        <v>3245</v>
      </c>
      <c r="L814" t="s">
        <v>4673</v>
      </c>
      <c r="M814">
        <f>VLOOKUP(SUBSTITUTE(J814,"'",""),Sheet1!L:M,2,FALSE)</f>
        <v>54820</v>
      </c>
    </row>
    <row r="815" spans="1:13" ht="13.5" customHeight="1" x14ac:dyDescent="0.4">
      <c r="A815" s="1">
        <v>45810</v>
      </c>
      <c r="B815" t="s">
        <v>213</v>
      </c>
      <c r="C815">
        <v>21.4</v>
      </c>
      <c r="D815" s="2" t="s">
        <v>962</v>
      </c>
      <c r="E815" t="s">
        <v>213</v>
      </c>
      <c r="F815" s="2" t="s">
        <v>215</v>
      </c>
      <c r="G815" s="2" t="s">
        <v>216</v>
      </c>
      <c r="H815" s="3" t="s">
        <v>217</v>
      </c>
      <c r="I815" t="s">
        <v>16</v>
      </c>
      <c r="J815" t="s">
        <v>963</v>
      </c>
      <c r="K815" t="s">
        <v>188</v>
      </c>
      <c r="L815" t="s">
        <v>2047</v>
      </c>
      <c r="M815">
        <f>VLOOKUP(SUBSTITUTE(J815,"'",""),Sheet1!L:M,2,FALSE)</f>
        <v>64100</v>
      </c>
    </row>
    <row r="816" spans="1:13" ht="13.5" customHeight="1" x14ac:dyDescent="0.4">
      <c r="A816" s="1">
        <v>45810</v>
      </c>
      <c r="B816" t="s">
        <v>222</v>
      </c>
      <c r="C816">
        <v>79</v>
      </c>
      <c r="D816" s="2" t="s">
        <v>964</v>
      </c>
      <c r="E816" t="s">
        <v>222</v>
      </c>
      <c r="F816" t="s">
        <v>224</v>
      </c>
      <c r="G816" s="2" t="s">
        <v>35</v>
      </c>
      <c r="H816">
        <v>94104</v>
      </c>
      <c r="I816" t="s">
        <v>16</v>
      </c>
      <c r="J816" t="s">
        <v>965</v>
      </c>
      <c r="K816" t="s">
        <v>37</v>
      </c>
      <c r="L816" t="s">
        <v>2047</v>
      </c>
      <c r="M816">
        <f>VLOOKUP(SUBSTITUTE(J816,"'",""),Sheet1!L:M,2,FALSE)</f>
        <v>64200</v>
      </c>
    </row>
    <row r="817" spans="1:13" ht="13.5" customHeight="1" x14ac:dyDescent="0.4">
      <c r="A817" s="1">
        <v>45810</v>
      </c>
      <c r="B817" t="s">
        <v>2934</v>
      </c>
      <c r="C817">
        <v>12.79</v>
      </c>
      <c r="D817" s="2" t="s">
        <v>3755</v>
      </c>
      <c r="E817" t="s">
        <v>2934</v>
      </c>
      <c r="F817" t="s">
        <v>2936</v>
      </c>
      <c r="G817" s="2" t="s">
        <v>41</v>
      </c>
      <c r="H817">
        <v>10003</v>
      </c>
      <c r="I817" t="s">
        <v>16</v>
      </c>
      <c r="J817" t="s">
        <v>3756</v>
      </c>
      <c r="K817" t="s">
        <v>305</v>
      </c>
      <c r="L817" t="s">
        <v>4673</v>
      </c>
      <c r="M817">
        <f>VLOOKUP(SUBSTITUTE(J817,"'",""),Sheet1!L:M,2,FALSE)</f>
        <v>54820</v>
      </c>
    </row>
    <row r="818" spans="1:13" ht="13.5" customHeight="1" x14ac:dyDescent="0.4">
      <c r="A818" s="1">
        <v>45810</v>
      </c>
      <c r="B818" t="s">
        <v>2142</v>
      </c>
      <c r="C818">
        <v>48</v>
      </c>
      <c r="D818" s="2" t="s">
        <v>3753</v>
      </c>
      <c r="E818" t="s">
        <v>2142</v>
      </c>
      <c r="F818" t="s">
        <v>2144</v>
      </c>
      <c r="G818" s="2" t="s">
        <v>41</v>
      </c>
      <c r="H818">
        <v>10012</v>
      </c>
      <c r="I818" t="s">
        <v>16</v>
      </c>
      <c r="J818" t="s">
        <v>3754</v>
      </c>
      <c r="K818" t="s">
        <v>1304</v>
      </c>
      <c r="L818" t="s">
        <v>4673</v>
      </c>
      <c r="M818">
        <f>VLOOKUP(SUBSTITUTE(J818,"'",""),Sheet1!L:M,2,FALSE)</f>
        <v>54820</v>
      </c>
    </row>
    <row r="819" spans="1:13" ht="13.5" customHeight="1" x14ac:dyDescent="0.4">
      <c r="A819" s="1">
        <v>45811</v>
      </c>
      <c r="B819" t="s">
        <v>153</v>
      </c>
      <c r="C819">
        <v>25.84</v>
      </c>
      <c r="D819" s="2" t="s">
        <v>959</v>
      </c>
      <c r="E819" t="s">
        <v>153</v>
      </c>
      <c r="F819" t="s">
        <v>155</v>
      </c>
      <c r="G819" s="2" t="s">
        <v>156</v>
      </c>
      <c r="H819">
        <v>98052</v>
      </c>
      <c r="I819" t="s">
        <v>16</v>
      </c>
      <c r="J819" t="s">
        <v>960</v>
      </c>
      <c r="K819" t="s">
        <v>96</v>
      </c>
      <c r="L819" t="s">
        <v>2047</v>
      </c>
      <c r="M819">
        <f>VLOOKUP(SUBSTITUTE(J819,"'",""),Sheet1!L:M,2,FALSE)</f>
        <v>64100</v>
      </c>
    </row>
    <row r="820" spans="1:13" ht="13.5" customHeight="1" x14ac:dyDescent="0.4">
      <c r="A820" s="1">
        <v>45811</v>
      </c>
      <c r="B820" t="s">
        <v>3740</v>
      </c>
      <c r="C820">
        <v>31.05</v>
      </c>
      <c r="D820" s="2" t="s">
        <v>3741</v>
      </c>
      <c r="E820" t="s">
        <v>3740</v>
      </c>
      <c r="F820" t="s">
        <v>3717</v>
      </c>
      <c r="G820" s="2" t="s">
        <v>3718</v>
      </c>
      <c r="H820">
        <v>90292</v>
      </c>
      <c r="I820" t="s">
        <v>16</v>
      </c>
      <c r="J820" t="s">
        <v>3742</v>
      </c>
      <c r="K820" t="s">
        <v>2710</v>
      </c>
      <c r="L820" t="s">
        <v>4673</v>
      </c>
      <c r="M820">
        <f>VLOOKUP(SUBSTITUTE(J820,"'",""),Sheet1!L:M,2,FALSE)</f>
        <v>54820</v>
      </c>
    </row>
    <row r="821" spans="1:13" ht="13.5" customHeight="1" x14ac:dyDescent="0.4">
      <c r="A821" s="1">
        <v>45811</v>
      </c>
      <c r="B821" t="s">
        <v>22</v>
      </c>
      <c r="C821">
        <v>-5000</v>
      </c>
      <c r="D821" t="s">
        <v>22</v>
      </c>
      <c r="E821" t="s">
        <v>22</v>
      </c>
      <c r="J821" t="s">
        <v>961</v>
      </c>
      <c r="L821" t="s">
        <v>2047</v>
      </c>
      <c r="M821" t="e">
        <f>VLOOKUP(SUBSTITUTE(J821,"'",""),Sheet1!L:M,2,FALSE)</f>
        <v>#N/A</v>
      </c>
    </row>
    <row r="822" spans="1:13" ht="13.5" customHeight="1" x14ac:dyDescent="0.4">
      <c r="A822" s="1">
        <v>45811</v>
      </c>
      <c r="B822" t="s">
        <v>3727</v>
      </c>
      <c r="C822">
        <v>48.14</v>
      </c>
      <c r="D822" s="2" t="s">
        <v>3728</v>
      </c>
      <c r="E822" t="s">
        <v>3727</v>
      </c>
      <c r="F822" t="s">
        <v>2287</v>
      </c>
      <c r="G822" s="2" t="s">
        <v>41</v>
      </c>
      <c r="H822">
        <v>10003</v>
      </c>
      <c r="I822" t="s">
        <v>16</v>
      </c>
      <c r="J822" t="s">
        <v>3729</v>
      </c>
      <c r="K822" t="s">
        <v>96</v>
      </c>
      <c r="L822" t="s">
        <v>4673</v>
      </c>
      <c r="M822">
        <f>VLOOKUP(SUBSTITUTE(J822,"'",""),Sheet1!L:M,2,FALSE)</f>
        <v>54820</v>
      </c>
    </row>
    <row r="823" spans="1:13" ht="13.5" customHeight="1" x14ac:dyDescent="0.4">
      <c r="A823" s="1">
        <v>45811</v>
      </c>
      <c r="B823" t="s">
        <v>3720</v>
      </c>
      <c r="C823">
        <v>40.04</v>
      </c>
      <c r="D823" s="2" t="s">
        <v>3721</v>
      </c>
      <c r="E823" t="s">
        <v>3720</v>
      </c>
      <c r="F823" t="s">
        <v>3722</v>
      </c>
      <c r="G823" s="2" t="s">
        <v>41</v>
      </c>
      <c r="H823">
        <v>10012</v>
      </c>
      <c r="I823" t="s">
        <v>16</v>
      </c>
      <c r="J823" t="s">
        <v>3723</v>
      </c>
      <c r="K823" t="s">
        <v>2114</v>
      </c>
      <c r="L823" t="s">
        <v>4673</v>
      </c>
      <c r="M823">
        <f>VLOOKUP(SUBSTITUTE(J823,"'",""),Sheet1!L:M,2,FALSE)</f>
        <v>54820</v>
      </c>
    </row>
    <row r="824" spans="1:13" ht="13.5" customHeight="1" x14ac:dyDescent="0.4">
      <c r="A824" s="1">
        <v>45811</v>
      </c>
      <c r="B824" t="s">
        <v>2400</v>
      </c>
      <c r="C824">
        <v>21.39</v>
      </c>
      <c r="D824" s="2" t="s">
        <v>2401</v>
      </c>
      <c r="E824" t="s">
        <v>2400</v>
      </c>
      <c r="F824" t="s">
        <v>2402</v>
      </c>
      <c r="G824" s="2" t="s">
        <v>41</v>
      </c>
      <c r="H824">
        <v>10019</v>
      </c>
      <c r="I824" t="s">
        <v>16</v>
      </c>
      <c r="J824" t="s">
        <v>3726</v>
      </c>
      <c r="K824" t="s">
        <v>110</v>
      </c>
      <c r="L824" t="s">
        <v>4673</v>
      </c>
      <c r="M824">
        <f>VLOOKUP(SUBSTITUTE(J824,"'",""),Sheet1!L:M,2,FALSE)</f>
        <v>67500</v>
      </c>
    </row>
    <row r="825" spans="1:13" ht="13.5" customHeight="1" x14ac:dyDescent="0.4">
      <c r="A825" s="1">
        <v>45811</v>
      </c>
      <c r="B825" t="s">
        <v>38</v>
      </c>
      <c r="C825">
        <v>75</v>
      </c>
      <c r="D825" s="2" t="s">
        <v>957</v>
      </c>
      <c r="E825" t="s">
        <v>38</v>
      </c>
      <c r="F825" t="s">
        <v>40</v>
      </c>
      <c r="G825" s="2" t="s">
        <v>41</v>
      </c>
      <c r="H825">
        <v>10012</v>
      </c>
      <c r="I825" t="s">
        <v>16</v>
      </c>
      <c r="J825" t="s">
        <v>958</v>
      </c>
      <c r="K825" t="s">
        <v>43</v>
      </c>
      <c r="L825" t="s">
        <v>2047</v>
      </c>
      <c r="M825">
        <f>VLOOKUP(SUBSTITUTE(J825,"'",""),Sheet1!L:M,2,FALSE)</f>
        <v>61131</v>
      </c>
    </row>
    <row r="826" spans="1:13" ht="13.5" customHeight="1" x14ac:dyDescent="0.4">
      <c r="A826" s="1">
        <v>45811</v>
      </c>
      <c r="B826" t="s">
        <v>977</v>
      </c>
      <c r="C826">
        <v>20</v>
      </c>
      <c r="D826" s="2" t="s">
        <v>3724</v>
      </c>
      <c r="E826" t="s">
        <v>977</v>
      </c>
      <c r="F826" s="2" t="s">
        <v>979</v>
      </c>
      <c r="G826" s="2" t="s">
        <v>980</v>
      </c>
      <c r="H826">
        <v>78259</v>
      </c>
      <c r="I826" t="s">
        <v>16</v>
      </c>
      <c r="J826" t="s">
        <v>3725</v>
      </c>
      <c r="K826" t="s">
        <v>164</v>
      </c>
      <c r="L826" t="s">
        <v>4673</v>
      </c>
      <c r="M826">
        <f>VLOOKUP(SUBSTITUTE(J826,"'",""),Sheet1!L:M,2,FALSE)</f>
        <v>54820</v>
      </c>
    </row>
    <row r="827" spans="1:13" ht="13.5" customHeight="1" x14ac:dyDescent="0.4">
      <c r="A827" s="1">
        <v>45811</v>
      </c>
      <c r="B827" t="s">
        <v>3745</v>
      </c>
      <c r="C827">
        <v>54.87</v>
      </c>
      <c r="D827" s="2" t="s">
        <v>3746</v>
      </c>
      <c r="E827" t="s">
        <v>3745</v>
      </c>
      <c r="F827" t="s">
        <v>3747</v>
      </c>
      <c r="G827" s="2" t="s">
        <v>41</v>
      </c>
      <c r="H827">
        <v>10013</v>
      </c>
      <c r="I827" t="s">
        <v>16</v>
      </c>
      <c r="J827" t="s">
        <v>3748</v>
      </c>
      <c r="K827" t="s">
        <v>305</v>
      </c>
      <c r="L827" t="s">
        <v>4673</v>
      </c>
      <c r="M827">
        <f>VLOOKUP(SUBSTITUTE(J827,"'",""),Sheet1!L:M,2,FALSE)</f>
        <v>54820</v>
      </c>
    </row>
    <row r="828" spans="1:13" ht="13.5" customHeight="1" x14ac:dyDescent="0.4">
      <c r="A828" s="1">
        <v>45811</v>
      </c>
      <c r="B828" t="s">
        <v>3486</v>
      </c>
      <c r="C828">
        <v>15.47</v>
      </c>
      <c r="D828" s="2" t="s">
        <v>3743</v>
      </c>
      <c r="E828" t="s">
        <v>3486</v>
      </c>
      <c r="F828" t="s">
        <v>3488</v>
      </c>
      <c r="G828" s="2" t="s">
        <v>41</v>
      </c>
      <c r="H828">
        <v>10012</v>
      </c>
      <c r="I828" t="s">
        <v>16</v>
      </c>
      <c r="J828" t="s">
        <v>3744</v>
      </c>
      <c r="K828" t="s">
        <v>174</v>
      </c>
      <c r="L828" t="s">
        <v>4673</v>
      </c>
      <c r="M828">
        <f>VLOOKUP(SUBSTITUTE(J828,"'",""),Sheet1!L:M,2,FALSE)</f>
        <v>54820</v>
      </c>
    </row>
    <row r="829" spans="1:13" ht="13.5" customHeight="1" x14ac:dyDescent="0.4">
      <c r="A829" s="1">
        <v>45811</v>
      </c>
      <c r="B829" t="s">
        <v>3737</v>
      </c>
      <c r="C829">
        <v>32.07</v>
      </c>
      <c r="D829" s="2" t="s">
        <v>3738</v>
      </c>
      <c r="E829" t="s">
        <v>3737</v>
      </c>
      <c r="F829" s="2" t="s">
        <v>167</v>
      </c>
      <c r="G829" s="2" t="s">
        <v>87</v>
      </c>
      <c r="H829">
        <v>75202</v>
      </c>
      <c r="I829" t="s">
        <v>16</v>
      </c>
      <c r="J829" t="s">
        <v>3739</v>
      </c>
      <c r="K829" t="s">
        <v>96</v>
      </c>
      <c r="L829" t="s">
        <v>4673</v>
      </c>
      <c r="M829">
        <f>VLOOKUP(SUBSTITUTE(J829,"'",""),Sheet1!L:M,2,FALSE)</f>
        <v>64100</v>
      </c>
    </row>
    <row r="830" spans="1:13" ht="13.5" customHeight="1" x14ac:dyDescent="0.4">
      <c r="A830" s="1">
        <v>45811</v>
      </c>
      <c r="B830" t="s">
        <v>3749</v>
      </c>
      <c r="C830">
        <v>186.4</v>
      </c>
      <c r="D830" s="2" t="s">
        <v>3750</v>
      </c>
      <c r="E830" t="s">
        <v>3749</v>
      </c>
      <c r="F830" t="s">
        <v>3751</v>
      </c>
      <c r="G830" s="2" t="s">
        <v>41</v>
      </c>
      <c r="H830">
        <v>10012</v>
      </c>
      <c r="I830" t="s">
        <v>16</v>
      </c>
      <c r="J830" t="s">
        <v>3752</v>
      </c>
      <c r="K830" t="s">
        <v>2114</v>
      </c>
      <c r="L830" t="s">
        <v>4673</v>
      </c>
      <c r="M830">
        <f>VLOOKUP(SUBSTITUTE(J830,"'",""),Sheet1!L:M,2,FALSE)</f>
        <v>54820</v>
      </c>
    </row>
    <row r="831" spans="1:13" ht="13.5" customHeight="1" x14ac:dyDescent="0.4">
      <c r="A831" s="1">
        <v>45811</v>
      </c>
      <c r="B831" t="s">
        <v>3730</v>
      </c>
      <c r="C831">
        <v>34.9</v>
      </c>
      <c r="D831" s="2" t="s">
        <v>3731</v>
      </c>
      <c r="E831" t="s">
        <v>3730</v>
      </c>
      <c r="F831" t="s">
        <v>3732</v>
      </c>
      <c r="G831" s="2" t="s">
        <v>41</v>
      </c>
      <c r="H831">
        <v>10012</v>
      </c>
      <c r="I831" t="s">
        <v>16</v>
      </c>
      <c r="J831" t="s">
        <v>3733</v>
      </c>
      <c r="K831" t="s">
        <v>18</v>
      </c>
      <c r="L831" t="s">
        <v>4673</v>
      </c>
      <c r="M831">
        <f>VLOOKUP(SUBSTITUTE(J831,"'",""),Sheet1!L:M,2,FALSE)</f>
        <v>54820</v>
      </c>
    </row>
    <row r="832" spans="1:13" ht="13.5" customHeight="1" x14ac:dyDescent="0.4">
      <c r="A832" s="1">
        <v>45811</v>
      </c>
      <c r="B832" t="s">
        <v>3734</v>
      </c>
      <c r="C832">
        <v>73.64</v>
      </c>
      <c r="D832" s="2" t="s">
        <v>3735</v>
      </c>
      <c r="E832" t="s">
        <v>3734</v>
      </c>
      <c r="F832" s="2" t="s">
        <v>167</v>
      </c>
      <c r="G832" s="2" t="s">
        <v>87</v>
      </c>
      <c r="H832">
        <v>75202</v>
      </c>
      <c r="I832" t="s">
        <v>16</v>
      </c>
      <c r="J832" t="s">
        <v>3736</v>
      </c>
      <c r="K832" t="s">
        <v>96</v>
      </c>
      <c r="L832" t="s">
        <v>4673</v>
      </c>
      <c r="M832">
        <f>VLOOKUP(SUBSTITUTE(J832,"'",""),Sheet1!L:M,2,FALSE)</f>
        <v>64100</v>
      </c>
    </row>
    <row r="833" spans="1:13" ht="13.5" customHeight="1" x14ac:dyDescent="0.4">
      <c r="A833" s="1">
        <v>45812</v>
      </c>
      <c r="B833" t="s">
        <v>977</v>
      </c>
      <c r="C833">
        <v>20</v>
      </c>
      <c r="D833" s="2" t="s">
        <v>3705</v>
      </c>
      <c r="E833" t="s">
        <v>977</v>
      </c>
      <c r="F833" s="2" t="s">
        <v>979</v>
      </c>
      <c r="G833" s="2" t="s">
        <v>980</v>
      </c>
      <c r="H833">
        <v>78259</v>
      </c>
      <c r="I833" t="s">
        <v>16</v>
      </c>
      <c r="J833" t="s">
        <v>3706</v>
      </c>
      <c r="K833" t="s">
        <v>164</v>
      </c>
      <c r="L833" t="s">
        <v>4673</v>
      </c>
      <c r="M833">
        <f>VLOOKUP(SUBSTITUTE(J833,"'",""),Sheet1!L:M,2,FALSE)</f>
        <v>54820</v>
      </c>
    </row>
    <row r="834" spans="1:13" ht="13.5" customHeight="1" x14ac:dyDescent="0.4">
      <c r="A834" s="1">
        <v>45812</v>
      </c>
      <c r="B834" t="s">
        <v>196</v>
      </c>
      <c r="C834">
        <v>7.99</v>
      </c>
      <c r="D834" s="2" t="s">
        <v>197</v>
      </c>
      <c r="E834" t="s">
        <v>196</v>
      </c>
      <c r="F834" t="s">
        <v>198</v>
      </c>
      <c r="G834" s="2" t="s">
        <v>199</v>
      </c>
      <c r="H834">
        <v>91608</v>
      </c>
      <c r="I834" t="s">
        <v>16</v>
      </c>
      <c r="J834" t="s">
        <v>956</v>
      </c>
      <c r="K834" t="s">
        <v>201</v>
      </c>
      <c r="L834" t="s">
        <v>2047</v>
      </c>
      <c r="M834">
        <f>VLOOKUP(SUBSTITUTE(J834,"'",""),Sheet1!L:M,2,FALSE)</f>
        <v>54820</v>
      </c>
    </row>
    <row r="835" spans="1:13" ht="13.5" customHeight="1" x14ac:dyDescent="0.4">
      <c r="A835" s="1">
        <v>45812</v>
      </c>
      <c r="B835" t="s">
        <v>2393</v>
      </c>
      <c r="C835">
        <v>9.9499999999999993</v>
      </c>
      <c r="D835" s="2" t="s">
        <v>3703</v>
      </c>
      <c r="E835" t="s">
        <v>2393</v>
      </c>
      <c r="F835" s="2" t="s">
        <v>2395</v>
      </c>
      <c r="G835" s="2" t="s">
        <v>2396</v>
      </c>
      <c r="H835">
        <v>55331</v>
      </c>
      <c r="I835" t="s">
        <v>16</v>
      </c>
      <c r="J835" t="s">
        <v>3704</v>
      </c>
      <c r="K835" t="s">
        <v>37</v>
      </c>
      <c r="L835" t="s">
        <v>4673</v>
      </c>
      <c r="M835">
        <f>VLOOKUP(SUBSTITUTE(J835,"'",""),Sheet1!L:M,2,FALSE)</f>
        <v>54820</v>
      </c>
    </row>
    <row r="836" spans="1:13" ht="13.5" customHeight="1" x14ac:dyDescent="0.4">
      <c r="A836" s="1">
        <v>45812</v>
      </c>
      <c r="B836" t="s">
        <v>153</v>
      </c>
      <c r="C836">
        <v>25.84</v>
      </c>
      <c r="D836" s="2" t="s">
        <v>954</v>
      </c>
      <c r="E836" t="s">
        <v>153</v>
      </c>
      <c r="F836" t="s">
        <v>155</v>
      </c>
      <c r="G836" s="2" t="s">
        <v>156</v>
      </c>
      <c r="H836">
        <v>98052</v>
      </c>
      <c r="I836" t="s">
        <v>16</v>
      </c>
      <c r="J836" t="s">
        <v>955</v>
      </c>
      <c r="K836" t="s">
        <v>96</v>
      </c>
      <c r="L836" t="s">
        <v>2047</v>
      </c>
      <c r="M836">
        <f>VLOOKUP(SUBSTITUTE(J836,"'",""),Sheet1!L:M,2,FALSE)</f>
        <v>64100</v>
      </c>
    </row>
    <row r="837" spans="1:13" ht="13.5" customHeight="1" x14ac:dyDescent="0.4">
      <c r="A837" s="1">
        <v>45812</v>
      </c>
      <c r="B837" t="s">
        <v>165</v>
      </c>
      <c r="C837">
        <v>47.08</v>
      </c>
      <c r="D837" s="2" t="s">
        <v>3692</v>
      </c>
      <c r="E837" t="s">
        <v>165</v>
      </c>
      <c r="F837" s="2" t="s">
        <v>167</v>
      </c>
      <c r="G837" s="2" t="s">
        <v>87</v>
      </c>
      <c r="H837">
        <v>75202</v>
      </c>
      <c r="I837" t="s">
        <v>16</v>
      </c>
      <c r="J837" t="s">
        <v>3693</v>
      </c>
      <c r="K837" t="s">
        <v>96</v>
      </c>
      <c r="L837" t="s">
        <v>4673</v>
      </c>
      <c r="M837">
        <f>VLOOKUP(SUBSTITUTE(J837,"'",""),Sheet1!L:M,2,FALSE)</f>
        <v>64100</v>
      </c>
    </row>
    <row r="838" spans="1:13" ht="13.5" customHeight="1" x14ac:dyDescent="0.4">
      <c r="A838" s="1">
        <v>45812</v>
      </c>
      <c r="B838" t="s">
        <v>165</v>
      </c>
      <c r="C838">
        <v>25.68</v>
      </c>
      <c r="D838" s="2" t="s">
        <v>3690</v>
      </c>
      <c r="E838" t="s">
        <v>165</v>
      </c>
      <c r="F838" s="2" t="s">
        <v>167</v>
      </c>
      <c r="G838" s="2" t="s">
        <v>87</v>
      </c>
      <c r="H838">
        <v>75202</v>
      </c>
      <c r="I838" t="s">
        <v>16</v>
      </c>
      <c r="J838" t="s">
        <v>3691</v>
      </c>
      <c r="K838" t="s">
        <v>96</v>
      </c>
      <c r="L838" t="s">
        <v>4673</v>
      </c>
      <c r="M838">
        <f>VLOOKUP(SUBSTITUTE(J838,"'",""),Sheet1!L:M,2,FALSE)</f>
        <v>64100</v>
      </c>
    </row>
    <row r="839" spans="1:13" ht="13.5" customHeight="1" x14ac:dyDescent="0.4">
      <c r="A839" s="1">
        <v>45812</v>
      </c>
      <c r="B839" t="s">
        <v>2390</v>
      </c>
      <c r="C839">
        <v>21.4</v>
      </c>
      <c r="D839" s="2" t="s">
        <v>3696</v>
      </c>
      <c r="E839" t="s">
        <v>2390</v>
      </c>
      <c r="F839" s="2" t="s">
        <v>167</v>
      </c>
      <c r="G839" s="2" t="s">
        <v>87</v>
      </c>
      <c r="H839">
        <v>75202</v>
      </c>
      <c r="I839" t="s">
        <v>16</v>
      </c>
      <c r="J839" t="s">
        <v>3697</v>
      </c>
      <c r="K839" t="s">
        <v>96</v>
      </c>
      <c r="L839" t="s">
        <v>4673</v>
      </c>
      <c r="M839">
        <f>VLOOKUP(SUBSTITUTE(J839,"'",""),Sheet1!L:M,2,FALSE)</f>
        <v>64100</v>
      </c>
    </row>
    <row r="840" spans="1:13" ht="13.5" customHeight="1" x14ac:dyDescent="0.4">
      <c r="A840" s="1">
        <v>45812</v>
      </c>
      <c r="B840" t="s">
        <v>165</v>
      </c>
      <c r="C840">
        <v>289.06</v>
      </c>
      <c r="D840" s="2" t="s">
        <v>3694</v>
      </c>
      <c r="E840" t="s">
        <v>165</v>
      </c>
      <c r="F840" s="2" t="s">
        <v>167</v>
      </c>
      <c r="G840" s="2" t="s">
        <v>87</v>
      </c>
      <c r="H840">
        <v>75202</v>
      </c>
      <c r="I840" t="s">
        <v>16</v>
      </c>
      <c r="J840" t="s">
        <v>3695</v>
      </c>
      <c r="K840" t="s">
        <v>96</v>
      </c>
      <c r="L840" t="s">
        <v>4673</v>
      </c>
      <c r="M840">
        <f>VLOOKUP(SUBSTITUTE(J840,"'",""),Sheet1!L:M,2,FALSE)</f>
        <v>64100</v>
      </c>
    </row>
    <row r="841" spans="1:13" ht="13.5" customHeight="1" x14ac:dyDescent="0.4">
      <c r="A841" s="1">
        <v>45812</v>
      </c>
      <c r="B841" t="s">
        <v>3711</v>
      </c>
      <c r="C841">
        <v>114.34</v>
      </c>
      <c r="D841" s="2" t="s">
        <v>3712</v>
      </c>
      <c r="E841" t="s">
        <v>3711</v>
      </c>
      <c r="F841" s="2" t="s">
        <v>3713</v>
      </c>
      <c r="H841" s="3" t="s">
        <v>688</v>
      </c>
      <c r="I841" t="s">
        <v>596</v>
      </c>
      <c r="J841" t="s">
        <v>3714</v>
      </c>
      <c r="K841" t="s">
        <v>126</v>
      </c>
      <c r="L841" t="s">
        <v>4673</v>
      </c>
      <c r="M841">
        <f>VLOOKUP(SUBSTITUTE(J841,"'",""),Sheet1!L:M,2,FALSE)</f>
        <v>54820</v>
      </c>
    </row>
    <row r="842" spans="1:13" ht="13.5" customHeight="1" x14ac:dyDescent="0.4">
      <c r="A842" s="1">
        <v>45812</v>
      </c>
      <c r="B842" t="s">
        <v>3715</v>
      </c>
      <c r="C842">
        <v>37.24</v>
      </c>
      <c r="D842" s="2" t="s">
        <v>3716</v>
      </c>
      <c r="E842" t="s">
        <v>3715</v>
      </c>
      <c r="F842" t="s">
        <v>3717</v>
      </c>
      <c r="G842" s="2" t="s">
        <v>3718</v>
      </c>
      <c r="H842">
        <v>90292</v>
      </c>
      <c r="I842" t="s">
        <v>16</v>
      </c>
      <c r="J842" t="s">
        <v>3719</v>
      </c>
      <c r="K842" t="s">
        <v>126</v>
      </c>
      <c r="L842" t="s">
        <v>4673</v>
      </c>
      <c r="M842">
        <f>VLOOKUP(SUBSTITUTE(J842,"'",""),Sheet1!L:M,2,FALSE)</f>
        <v>54820</v>
      </c>
    </row>
    <row r="843" spans="1:13" ht="13.5" customHeight="1" x14ac:dyDescent="0.4">
      <c r="A843" s="1">
        <v>45812</v>
      </c>
      <c r="B843" t="s">
        <v>948</v>
      </c>
      <c r="C843">
        <v>1400</v>
      </c>
      <c r="D843" s="2" t="s">
        <v>952</v>
      </c>
      <c r="E843" t="s">
        <v>948</v>
      </c>
      <c r="F843" t="s">
        <v>950</v>
      </c>
      <c r="G843" s="2" t="s">
        <v>41</v>
      </c>
      <c r="H843">
        <v>10001</v>
      </c>
      <c r="I843" t="s">
        <v>16</v>
      </c>
      <c r="J843" t="s">
        <v>953</v>
      </c>
      <c r="K843" t="s">
        <v>126</v>
      </c>
      <c r="L843" t="s">
        <v>2047</v>
      </c>
      <c r="M843">
        <f>VLOOKUP(SUBSTITUTE(J843,"'",""),Sheet1!L:M,2,FALSE)</f>
        <v>61215</v>
      </c>
    </row>
    <row r="844" spans="1:13" ht="13.5" customHeight="1" x14ac:dyDescent="0.4">
      <c r="A844" s="1">
        <v>45812</v>
      </c>
      <c r="B844" t="s">
        <v>2458</v>
      </c>
      <c r="C844">
        <v>2.9</v>
      </c>
      <c r="D844" s="2" t="s">
        <v>3709</v>
      </c>
      <c r="E844" t="s">
        <v>2458</v>
      </c>
      <c r="F844" s="2" t="s">
        <v>2460</v>
      </c>
      <c r="G844" s="2" t="s">
        <v>41</v>
      </c>
      <c r="H844">
        <v>10004</v>
      </c>
      <c r="I844" t="s">
        <v>16</v>
      </c>
      <c r="J844" t="s">
        <v>3710</v>
      </c>
      <c r="K844" t="s">
        <v>2462</v>
      </c>
      <c r="L844" t="s">
        <v>4673</v>
      </c>
      <c r="M844">
        <f>VLOOKUP(SUBSTITUTE(J844,"'",""),Sheet1!L:M,2,FALSE)</f>
        <v>61133</v>
      </c>
    </row>
    <row r="845" spans="1:13" ht="13.5" customHeight="1" x14ac:dyDescent="0.4">
      <c r="A845" s="1">
        <v>45812</v>
      </c>
      <c r="B845" t="s">
        <v>948</v>
      </c>
      <c r="C845">
        <v>82</v>
      </c>
      <c r="D845" s="2" t="s">
        <v>949</v>
      </c>
      <c r="E845" t="s">
        <v>948</v>
      </c>
      <c r="F845" t="s">
        <v>950</v>
      </c>
      <c r="G845" s="2" t="s">
        <v>41</v>
      </c>
      <c r="H845">
        <v>10001</v>
      </c>
      <c r="I845" t="s">
        <v>16</v>
      </c>
      <c r="J845" t="s">
        <v>951</v>
      </c>
      <c r="K845" t="s">
        <v>126</v>
      </c>
      <c r="L845" t="s">
        <v>2047</v>
      </c>
      <c r="M845">
        <f>VLOOKUP(SUBSTITUTE(J845,"'",""),Sheet1!L:M,2,FALSE)</f>
        <v>61215</v>
      </c>
    </row>
    <row r="846" spans="1:13" ht="13.5" customHeight="1" x14ac:dyDescent="0.4">
      <c r="A846" s="1">
        <v>45812</v>
      </c>
      <c r="B846" t="s">
        <v>2340</v>
      </c>
      <c r="C846">
        <v>16.87</v>
      </c>
      <c r="D846" s="2" t="s">
        <v>3707</v>
      </c>
      <c r="E846" t="s">
        <v>2340</v>
      </c>
      <c r="F846" s="2" t="s">
        <v>2342</v>
      </c>
      <c r="G846" s="2" t="s">
        <v>14</v>
      </c>
      <c r="H846">
        <v>98119</v>
      </c>
      <c r="I846" t="s">
        <v>16</v>
      </c>
      <c r="J846" t="s">
        <v>3708</v>
      </c>
      <c r="K846" t="s">
        <v>96</v>
      </c>
      <c r="L846" t="s">
        <v>4673</v>
      </c>
      <c r="M846">
        <f>VLOOKUP(SUBSTITUTE(J846,"'",""),Sheet1!L:M,2,FALSE)</f>
        <v>65700</v>
      </c>
    </row>
    <row r="847" spans="1:13" ht="13.5" customHeight="1" x14ac:dyDescent="0.4">
      <c r="A847" s="1">
        <v>45812</v>
      </c>
      <c r="B847" t="s">
        <v>3698</v>
      </c>
      <c r="C847">
        <v>1234.0899999999999</v>
      </c>
      <c r="D847" s="2" t="s">
        <v>3699</v>
      </c>
      <c r="E847" t="s">
        <v>3698</v>
      </c>
      <c r="F847" t="s">
        <v>3700</v>
      </c>
      <c r="G847" s="2" t="s">
        <v>3701</v>
      </c>
      <c r="H847">
        <v>11385</v>
      </c>
      <c r="I847" t="s">
        <v>16</v>
      </c>
      <c r="J847" t="s">
        <v>3702</v>
      </c>
      <c r="K847" t="s">
        <v>50</v>
      </c>
      <c r="L847" t="s">
        <v>4673</v>
      </c>
      <c r="M847">
        <f>VLOOKUP(SUBSTITUTE(J847,"'",""),Sheet1!L:M,2,FALSE)</f>
        <v>54820</v>
      </c>
    </row>
    <row r="848" spans="1:13" ht="13.5" customHeight="1" x14ac:dyDescent="0.4">
      <c r="A848" s="1">
        <v>45813</v>
      </c>
      <c r="B848" t="s">
        <v>977</v>
      </c>
      <c r="C848">
        <v>20</v>
      </c>
      <c r="D848" s="2" t="s">
        <v>3678</v>
      </c>
      <c r="E848" t="s">
        <v>977</v>
      </c>
      <c r="F848" s="2" t="s">
        <v>979</v>
      </c>
      <c r="G848" s="2" t="s">
        <v>980</v>
      </c>
      <c r="H848">
        <v>78259</v>
      </c>
      <c r="I848" t="s">
        <v>16</v>
      </c>
      <c r="J848" t="s">
        <v>3679</v>
      </c>
      <c r="K848" t="s">
        <v>164</v>
      </c>
      <c r="L848" t="s">
        <v>4673</v>
      </c>
      <c r="M848">
        <f>VLOOKUP(SUBSTITUTE(J848,"'",""),Sheet1!L:M,2,FALSE)</f>
        <v>54820</v>
      </c>
    </row>
    <row r="849" spans="1:13" ht="13.5" customHeight="1" x14ac:dyDescent="0.4">
      <c r="A849" s="1">
        <v>45813</v>
      </c>
      <c r="B849" t="s">
        <v>478</v>
      </c>
      <c r="C849">
        <v>35</v>
      </c>
      <c r="D849" s="2" t="s">
        <v>946</v>
      </c>
      <c r="E849" t="s">
        <v>480</v>
      </c>
      <c r="F849" s="2" t="s">
        <v>481</v>
      </c>
      <c r="G849" s="2" t="s">
        <v>35</v>
      </c>
      <c r="H849">
        <v>94103</v>
      </c>
      <c r="I849" t="s">
        <v>16</v>
      </c>
      <c r="J849" t="s">
        <v>947</v>
      </c>
      <c r="K849" t="s">
        <v>483</v>
      </c>
      <c r="L849" t="s">
        <v>2047</v>
      </c>
      <c r="M849">
        <f>VLOOKUP(SUBSTITUTE(J849,"'",""),Sheet1!L:M,2,FALSE)</f>
        <v>61130</v>
      </c>
    </row>
    <row r="850" spans="1:13" ht="13.5" customHeight="1" x14ac:dyDescent="0.4">
      <c r="A850" s="1">
        <v>45813</v>
      </c>
      <c r="B850" t="s">
        <v>517</v>
      </c>
      <c r="C850">
        <v>4</v>
      </c>
      <c r="D850" s="2" t="s">
        <v>940</v>
      </c>
      <c r="E850" t="s">
        <v>517</v>
      </c>
      <c r="F850" t="s">
        <v>519</v>
      </c>
      <c r="G850" s="2" t="s">
        <v>35</v>
      </c>
      <c r="H850">
        <v>94107</v>
      </c>
      <c r="I850" t="s">
        <v>16</v>
      </c>
      <c r="J850" t="s">
        <v>941</v>
      </c>
      <c r="K850" t="s">
        <v>96</v>
      </c>
      <c r="L850" t="s">
        <v>2047</v>
      </c>
      <c r="M850">
        <f>VLOOKUP(SUBSTITUTE(J850,"'",""),Sheet1!L:M,2,FALSE)</f>
        <v>64100</v>
      </c>
    </row>
    <row r="851" spans="1:13" ht="13.5" customHeight="1" x14ac:dyDescent="0.4">
      <c r="A851" s="1">
        <v>45813</v>
      </c>
      <c r="B851" t="s">
        <v>478</v>
      </c>
      <c r="C851">
        <v>27.77</v>
      </c>
      <c r="D851" s="2" t="s">
        <v>944</v>
      </c>
      <c r="E851" t="s">
        <v>480</v>
      </c>
      <c r="F851" s="2" t="s">
        <v>481</v>
      </c>
      <c r="G851" s="2" t="s">
        <v>35</v>
      </c>
      <c r="H851">
        <v>94103</v>
      </c>
      <c r="I851" t="s">
        <v>16</v>
      </c>
      <c r="J851" t="s">
        <v>945</v>
      </c>
      <c r="K851" t="s">
        <v>483</v>
      </c>
      <c r="L851" t="s">
        <v>2047</v>
      </c>
      <c r="M851">
        <f>VLOOKUP(SUBSTITUTE(J851,"'",""),Sheet1!L:M,2,FALSE)</f>
        <v>61130</v>
      </c>
    </row>
    <row r="852" spans="1:13" ht="13.5" customHeight="1" x14ac:dyDescent="0.4">
      <c r="A852" s="1">
        <v>45813</v>
      </c>
      <c r="B852" t="s">
        <v>317</v>
      </c>
      <c r="C852">
        <v>24.95</v>
      </c>
      <c r="D852" s="2" t="s">
        <v>942</v>
      </c>
      <c r="E852" t="s">
        <v>317</v>
      </c>
      <c r="F852" s="2" t="s">
        <v>319</v>
      </c>
      <c r="G852" s="2" t="s">
        <v>41</v>
      </c>
      <c r="H852">
        <v>10285</v>
      </c>
      <c r="I852" t="s">
        <v>16</v>
      </c>
      <c r="J852" t="s">
        <v>943</v>
      </c>
      <c r="K852" t="s">
        <v>321</v>
      </c>
      <c r="L852" t="s">
        <v>2047</v>
      </c>
      <c r="M852">
        <f>VLOOKUP(SUBSTITUTE(J852,"'",""),Sheet1!L:M,2,FALSE)</f>
        <v>61131</v>
      </c>
    </row>
    <row r="853" spans="1:13" ht="13.5" customHeight="1" x14ac:dyDescent="0.4">
      <c r="A853" s="1">
        <v>45813</v>
      </c>
      <c r="B853" t="s">
        <v>3682</v>
      </c>
      <c r="C853">
        <v>114.13</v>
      </c>
      <c r="D853" s="2" t="s">
        <v>3683</v>
      </c>
      <c r="E853" t="s">
        <v>3682</v>
      </c>
      <c r="F853" t="s">
        <v>3684</v>
      </c>
      <c r="G853" s="2" t="s">
        <v>3685</v>
      </c>
      <c r="H853" t="s">
        <v>3686</v>
      </c>
      <c r="I853" t="s">
        <v>16</v>
      </c>
      <c r="J853" t="s">
        <v>3687</v>
      </c>
      <c r="K853" t="s">
        <v>631</v>
      </c>
      <c r="L853" t="s">
        <v>4673</v>
      </c>
      <c r="M853">
        <f>VLOOKUP(SUBSTITUTE(J853,"'",""),Sheet1!L:M,2,FALSE)</f>
        <v>54820</v>
      </c>
    </row>
    <row r="854" spans="1:13" ht="13.5" customHeight="1" x14ac:dyDescent="0.4">
      <c r="A854" s="1">
        <v>45813</v>
      </c>
      <c r="B854" t="s">
        <v>3682</v>
      </c>
      <c r="C854">
        <v>136.94</v>
      </c>
      <c r="D854" s="2" t="s">
        <v>3688</v>
      </c>
      <c r="E854" t="s">
        <v>3682</v>
      </c>
      <c r="F854" t="s">
        <v>3684</v>
      </c>
      <c r="G854" s="2" t="s">
        <v>3685</v>
      </c>
      <c r="H854" t="s">
        <v>3686</v>
      </c>
      <c r="I854" t="s">
        <v>16</v>
      </c>
      <c r="J854" t="s">
        <v>3689</v>
      </c>
      <c r="K854" t="s">
        <v>631</v>
      </c>
      <c r="L854" t="s">
        <v>4673</v>
      </c>
      <c r="M854">
        <f>VLOOKUP(SUBSTITUTE(J854,"'",""),Sheet1!L:M,2,FALSE)</f>
        <v>54820</v>
      </c>
    </row>
    <row r="855" spans="1:13" ht="13.5" customHeight="1" x14ac:dyDescent="0.4">
      <c r="A855" s="1">
        <v>45813</v>
      </c>
      <c r="B855" t="s">
        <v>2934</v>
      </c>
      <c r="C855">
        <v>12.79</v>
      </c>
      <c r="D855" s="2" t="s">
        <v>3680</v>
      </c>
      <c r="E855" t="s">
        <v>2934</v>
      </c>
      <c r="F855" t="s">
        <v>2936</v>
      </c>
      <c r="G855" s="2" t="s">
        <v>41</v>
      </c>
      <c r="H855">
        <v>10003</v>
      </c>
      <c r="I855" t="s">
        <v>16</v>
      </c>
      <c r="J855" t="s">
        <v>3681</v>
      </c>
      <c r="K855" t="s">
        <v>305</v>
      </c>
      <c r="L855" t="s">
        <v>4673</v>
      </c>
      <c r="M855">
        <f>VLOOKUP(SUBSTITUTE(J855,"'",""),Sheet1!L:M,2,FALSE)</f>
        <v>54820</v>
      </c>
    </row>
    <row r="856" spans="1:13" ht="13.5" customHeight="1" x14ac:dyDescent="0.4">
      <c r="A856" s="1">
        <v>45814</v>
      </c>
      <c r="B856" t="s">
        <v>2303</v>
      </c>
      <c r="C856">
        <v>382.71</v>
      </c>
      <c r="D856" t="s">
        <v>2303</v>
      </c>
      <c r="E856" t="s">
        <v>2303</v>
      </c>
      <c r="J856" t="s">
        <v>3662</v>
      </c>
      <c r="K856" t="s">
        <v>21</v>
      </c>
      <c r="L856" t="s">
        <v>4673</v>
      </c>
      <c r="M856">
        <f>VLOOKUP(SUBSTITUTE(J856,"'",""),Sheet1!L:M,2,FALSE)</f>
        <v>80100</v>
      </c>
    </row>
    <row r="857" spans="1:13" ht="13.5" customHeight="1" x14ac:dyDescent="0.4">
      <c r="A857" s="1">
        <v>45814</v>
      </c>
      <c r="B857" t="s">
        <v>2344</v>
      </c>
      <c r="C857">
        <v>9.42</v>
      </c>
      <c r="D857" s="2" t="s">
        <v>3665</v>
      </c>
      <c r="E857" t="s">
        <v>2344</v>
      </c>
      <c r="F857" t="s">
        <v>2219</v>
      </c>
      <c r="G857" s="2" t="s">
        <v>41</v>
      </c>
      <c r="H857">
        <v>10013</v>
      </c>
      <c r="I857" t="s">
        <v>16</v>
      </c>
      <c r="J857" t="s">
        <v>3666</v>
      </c>
      <c r="K857" t="s">
        <v>321</v>
      </c>
      <c r="L857" t="s">
        <v>4673</v>
      </c>
      <c r="M857">
        <f>VLOOKUP(SUBSTITUTE(J857,"'",""),Sheet1!L:M,2,FALSE)</f>
        <v>54820</v>
      </c>
    </row>
    <row r="858" spans="1:13" ht="13.5" customHeight="1" x14ac:dyDescent="0.4">
      <c r="A858" s="1">
        <v>45814</v>
      </c>
      <c r="B858" t="s">
        <v>478</v>
      </c>
      <c r="C858">
        <v>72.81</v>
      </c>
      <c r="D858" s="2" t="s">
        <v>936</v>
      </c>
      <c r="E858" t="s">
        <v>480</v>
      </c>
      <c r="F858" s="2" t="s">
        <v>481</v>
      </c>
      <c r="G858" s="2" t="s">
        <v>35</v>
      </c>
      <c r="H858">
        <v>94103</v>
      </c>
      <c r="I858" t="s">
        <v>16</v>
      </c>
      <c r="J858" t="s">
        <v>937</v>
      </c>
      <c r="K858" t="s">
        <v>483</v>
      </c>
      <c r="L858" t="s">
        <v>2047</v>
      </c>
      <c r="M858">
        <f>VLOOKUP(SUBSTITUTE(J858,"'",""),Sheet1!L:M,2,FALSE)</f>
        <v>61130</v>
      </c>
    </row>
    <row r="859" spans="1:13" ht="13.5" customHeight="1" x14ac:dyDescent="0.4">
      <c r="A859" s="1">
        <v>45814</v>
      </c>
      <c r="B859" t="s">
        <v>478</v>
      </c>
      <c r="C859">
        <v>74.56</v>
      </c>
      <c r="D859" s="2" t="s">
        <v>938</v>
      </c>
      <c r="E859" t="s">
        <v>480</v>
      </c>
      <c r="F859" s="2" t="s">
        <v>481</v>
      </c>
      <c r="G859" s="2" t="s">
        <v>35</v>
      </c>
      <c r="H859">
        <v>94103</v>
      </c>
      <c r="I859" t="s">
        <v>16</v>
      </c>
      <c r="J859" t="s">
        <v>939</v>
      </c>
      <c r="K859" t="s">
        <v>483</v>
      </c>
      <c r="L859" t="s">
        <v>2047</v>
      </c>
      <c r="M859">
        <f>VLOOKUP(SUBSTITUTE(J859,"'",""),Sheet1!L:M,2,FALSE)</f>
        <v>61130</v>
      </c>
    </row>
    <row r="860" spans="1:13" ht="13.5" customHeight="1" x14ac:dyDescent="0.4">
      <c r="A860" s="1">
        <v>45814</v>
      </c>
      <c r="B860" t="s">
        <v>3656</v>
      </c>
      <c r="C860">
        <v>4.82</v>
      </c>
      <c r="D860" s="2" t="s">
        <v>3657</v>
      </c>
      <c r="E860" t="s">
        <v>3656</v>
      </c>
      <c r="F860" t="s">
        <v>2248</v>
      </c>
      <c r="G860" s="2" t="s">
        <v>2249</v>
      </c>
      <c r="H860">
        <v>94025</v>
      </c>
      <c r="I860" t="s">
        <v>16</v>
      </c>
      <c r="J860" t="s">
        <v>3658</v>
      </c>
      <c r="K860" t="s">
        <v>2335</v>
      </c>
      <c r="L860" t="s">
        <v>4673</v>
      </c>
      <c r="M860">
        <f>VLOOKUP(SUBSTITUTE(J860,"'",""),Sheet1!L:M,2,FALSE)</f>
        <v>54820</v>
      </c>
    </row>
    <row r="861" spans="1:13" ht="13.5" customHeight="1" x14ac:dyDescent="0.4">
      <c r="A861" s="1">
        <v>45814</v>
      </c>
      <c r="B861" t="s">
        <v>184</v>
      </c>
      <c r="C861">
        <v>25.68</v>
      </c>
      <c r="D861" s="2" t="s">
        <v>934</v>
      </c>
      <c r="E861" t="s">
        <v>184</v>
      </c>
      <c r="F861" s="2" t="s">
        <v>186</v>
      </c>
      <c r="G861" s="2" t="s">
        <v>35</v>
      </c>
      <c r="H861">
        <v>94105</v>
      </c>
      <c r="I861" t="s">
        <v>16</v>
      </c>
      <c r="J861" t="s">
        <v>935</v>
      </c>
      <c r="K861" t="s">
        <v>188</v>
      </c>
      <c r="L861" t="s">
        <v>2047</v>
      </c>
      <c r="M861">
        <f>VLOOKUP(SUBSTITUTE(J861,"'",""),Sheet1!L:M,2,FALSE)</f>
        <v>64100</v>
      </c>
    </row>
    <row r="862" spans="1:13" ht="13.5" customHeight="1" x14ac:dyDescent="0.4">
      <c r="A862" s="1">
        <v>45814</v>
      </c>
      <c r="B862" t="s">
        <v>2354</v>
      </c>
      <c r="C862">
        <v>113</v>
      </c>
      <c r="D862" s="2" t="s">
        <v>3669</v>
      </c>
      <c r="E862" t="s">
        <v>2354</v>
      </c>
      <c r="F862" t="s">
        <v>2356</v>
      </c>
      <c r="G862" s="2" t="s">
        <v>2357</v>
      </c>
      <c r="H862">
        <v>63131</v>
      </c>
      <c r="I862" t="s">
        <v>16</v>
      </c>
      <c r="J862" t="s">
        <v>3670</v>
      </c>
      <c r="K862" t="s">
        <v>201</v>
      </c>
      <c r="L862" t="s">
        <v>4673</v>
      </c>
      <c r="M862">
        <f>VLOOKUP(SUBSTITUTE(J862,"'",""),Sheet1!L:M,2,FALSE)</f>
        <v>65700</v>
      </c>
    </row>
    <row r="863" spans="1:13" ht="13.5" customHeight="1" x14ac:dyDescent="0.4">
      <c r="A863" s="1">
        <v>45814</v>
      </c>
      <c r="B863" t="s">
        <v>3653</v>
      </c>
      <c r="C863">
        <v>18.37</v>
      </c>
      <c r="D863" s="2" t="s">
        <v>3654</v>
      </c>
      <c r="E863" t="s">
        <v>3653</v>
      </c>
      <c r="F863" t="s">
        <v>2248</v>
      </c>
      <c r="G863" s="2" t="s">
        <v>2249</v>
      </c>
      <c r="H863">
        <v>94025</v>
      </c>
      <c r="I863" t="s">
        <v>16</v>
      </c>
      <c r="J863" t="s">
        <v>3655</v>
      </c>
      <c r="K863" t="s">
        <v>2335</v>
      </c>
      <c r="L863" t="s">
        <v>4673</v>
      </c>
      <c r="M863">
        <f>VLOOKUP(SUBSTITUTE(J863,"'",""),Sheet1!L:M,2,FALSE)</f>
        <v>54820</v>
      </c>
    </row>
    <row r="864" spans="1:13" ht="13.5" customHeight="1" x14ac:dyDescent="0.4">
      <c r="A864" s="1">
        <v>45814</v>
      </c>
      <c r="B864" t="s">
        <v>3659</v>
      </c>
      <c r="C864">
        <v>126.47</v>
      </c>
      <c r="D864" s="2" t="s">
        <v>3660</v>
      </c>
      <c r="E864" t="s">
        <v>3659</v>
      </c>
      <c r="F864" s="2" t="s">
        <v>640</v>
      </c>
      <c r="H864">
        <v>11403</v>
      </c>
      <c r="I864" t="s">
        <v>596</v>
      </c>
      <c r="J864" t="s">
        <v>3661</v>
      </c>
      <c r="K864" t="s">
        <v>50</v>
      </c>
      <c r="L864" t="s">
        <v>4673</v>
      </c>
      <c r="M864">
        <f>VLOOKUP(SUBSTITUTE(J864,"'",""),Sheet1!L:M,2,FALSE)</f>
        <v>54820</v>
      </c>
    </row>
    <row r="865" spans="1:13" ht="13.5" customHeight="1" x14ac:dyDescent="0.4">
      <c r="A865" s="1">
        <v>45814</v>
      </c>
      <c r="B865" t="s">
        <v>2690</v>
      </c>
      <c r="C865">
        <v>100</v>
      </c>
      <c r="D865" s="2" t="s">
        <v>3667</v>
      </c>
      <c r="E865" t="s">
        <v>2690</v>
      </c>
      <c r="F865" t="s">
        <v>2349</v>
      </c>
      <c r="G865" s="2" t="s">
        <v>41</v>
      </c>
      <c r="H865" t="s">
        <v>2350</v>
      </c>
      <c r="I865" t="s">
        <v>16</v>
      </c>
      <c r="J865" t="s">
        <v>3668</v>
      </c>
      <c r="K865" t="s">
        <v>116</v>
      </c>
      <c r="L865" t="s">
        <v>4673</v>
      </c>
      <c r="M865">
        <f>VLOOKUP(SUBSTITUTE(J865,"'",""),Sheet1!L:M,2,FALSE)</f>
        <v>54820</v>
      </c>
    </row>
    <row r="866" spans="1:13" ht="13.5" customHeight="1" x14ac:dyDescent="0.4">
      <c r="A866" s="1">
        <v>45814</v>
      </c>
      <c r="B866" t="s">
        <v>2240</v>
      </c>
      <c r="C866">
        <v>78</v>
      </c>
      <c r="D866" s="2" t="s">
        <v>3671</v>
      </c>
      <c r="E866" t="s">
        <v>2240</v>
      </c>
      <c r="F866" t="s">
        <v>2242</v>
      </c>
      <c r="G866" s="2" t="s">
        <v>41</v>
      </c>
      <c r="H866">
        <v>10003</v>
      </c>
      <c r="I866" t="s">
        <v>16</v>
      </c>
      <c r="J866" t="s">
        <v>3672</v>
      </c>
      <c r="K866" t="s">
        <v>1218</v>
      </c>
      <c r="L866" t="s">
        <v>4673</v>
      </c>
      <c r="M866">
        <f>VLOOKUP(SUBSTITUTE(J866,"'",""),Sheet1!L:M,2,FALSE)</f>
        <v>54820</v>
      </c>
    </row>
    <row r="867" spans="1:13" ht="13.5" customHeight="1" x14ac:dyDescent="0.4">
      <c r="A867" s="1">
        <v>45814</v>
      </c>
      <c r="B867" t="s">
        <v>2934</v>
      </c>
      <c r="C867">
        <v>12.79</v>
      </c>
      <c r="D867" s="2" t="s">
        <v>3663</v>
      </c>
      <c r="E867" t="s">
        <v>2934</v>
      </c>
      <c r="F867" t="s">
        <v>2936</v>
      </c>
      <c r="G867" s="2" t="s">
        <v>41</v>
      </c>
      <c r="H867">
        <v>10003</v>
      </c>
      <c r="I867" t="s">
        <v>16</v>
      </c>
      <c r="J867" t="s">
        <v>3664</v>
      </c>
      <c r="K867" t="s">
        <v>305</v>
      </c>
      <c r="L867" t="s">
        <v>4673</v>
      </c>
      <c r="M867">
        <f>VLOOKUP(SUBSTITUTE(J867,"'",""),Sheet1!L:M,2,FALSE)</f>
        <v>54820</v>
      </c>
    </row>
    <row r="868" spans="1:13" ht="13.5" customHeight="1" x14ac:dyDescent="0.4">
      <c r="A868" s="1">
        <v>45814</v>
      </c>
      <c r="B868" t="s">
        <v>3535</v>
      </c>
      <c r="C868">
        <v>137.16999999999999</v>
      </c>
      <c r="D868" s="2" t="s">
        <v>3676</v>
      </c>
      <c r="E868" t="s">
        <v>3535</v>
      </c>
      <c r="F868" t="s">
        <v>3537</v>
      </c>
      <c r="G868" s="2" t="s">
        <v>41</v>
      </c>
      <c r="H868">
        <v>10014</v>
      </c>
      <c r="I868" t="s">
        <v>16</v>
      </c>
      <c r="J868" t="s">
        <v>3677</v>
      </c>
      <c r="K868" t="s">
        <v>37</v>
      </c>
      <c r="L868" t="s">
        <v>4673</v>
      </c>
      <c r="M868">
        <f>VLOOKUP(SUBSTITUTE(J868,"'",""),Sheet1!L:M,2,FALSE)</f>
        <v>64100</v>
      </c>
    </row>
    <row r="869" spans="1:13" ht="13.5" customHeight="1" x14ac:dyDescent="0.4">
      <c r="A869" s="1">
        <v>45814</v>
      </c>
      <c r="B869" t="s">
        <v>3673</v>
      </c>
      <c r="C869">
        <v>12.9</v>
      </c>
      <c r="D869" s="2" t="s">
        <v>3674</v>
      </c>
      <c r="E869" t="s">
        <v>3673</v>
      </c>
      <c r="F869" s="2" t="s">
        <v>2508</v>
      </c>
      <c r="G869" s="2" t="s">
        <v>35</v>
      </c>
      <c r="H869">
        <v>94158</v>
      </c>
      <c r="I869" t="s">
        <v>16</v>
      </c>
      <c r="J869" t="s">
        <v>3675</v>
      </c>
      <c r="K869" t="s">
        <v>18</v>
      </c>
      <c r="L869" t="s">
        <v>4673</v>
      </c>
      <c r="M869">
        <f>VLOOKUP(SUBSTITUTE(J869,"'",""),Sheet1!L:M,2,FALSE)</f>
        <v>64100</v>
      </c>
    </row>
    <row r="870" spans="1:13" ht="13.5" customHeight="1" x14ac:dyDescent="0.4">
      <c r="A870" s="1">
        <v>45815</v>
      </c>
      <c r="B870" t="s">
        <v>2425</v>
      </c>
      <c r="C870">
        <v>259.19</v>
      </c>
      <c r="D870" s="2" t="s">
        <v>3642</v>
      </c>
      <c r="E870" t="s">
        <v>2425</v>
      </c>
      <c r="F870" s="2" t="s">
        <v>2427</v>
      </c>
      <c r="G870" s="2" t="s">
        <v>41</v>
      </c>
      <c r="H870">
        <v>10012</v>
      </c>
      <c r="I870" t="s">
        <v>16</v>
      </c>
      <c r="J870" t="s">
        <v>3643</v>
      </c>
      <c r="K870" t="s">
        <v>2114</v>
      </c>
      <c r="L870" t="s">
        <v>4673</v>
      </c>
      <c r="M870">
        <f>VLOOKUP(SUBSTITUTE(J870,"'",""),Sheet1!L:M,2,FALSE)</f>
        <v>54820</v>
      </c>
    </row>
    <row r="871" spans="1:13" ht="13.5" customHeight="1" x14ac:dyDescent="0.4">
      <c r="A871" s="1">
        <v>45815</v>
      </c>
      <c r="B871" t="s">
        <v>574</v>
      </c>
      <c r="C871">
        <v>10.48</v>
      </c>
      <c r="D871" s="2" t="s">
        <v>932</v>
      </c>
      <c r="E871" t="s">
        <v>574</v>
      </c>
      <c r="F871" t="s">
        <v>576</v>
      </c>
      <c r="G871" s="2" t="s">
        <v>577</v>
      </c>
      <c r="H871">
        <v>85201</v>
      </c>
      <c r="I871" t="s">
        <v>16</v>
      </c>
      <c r="J871" t="s">
        <v>933</v>
      </c>
      <c r="K871" t="s">
        <v>96</v>
      </c>
      <c r="L871" t="s">
        <v>2047</v>
      </c>
      <c r="M871">
        <f>VLOOKUP(SUBSTITUTE(J871,"'",""),Sheet1!L:M,2,FALSE)</f>
        <v>61131</v>
      </c>
    </row>
    <row r="872" spans="1:13" ht="13.5" customHeight="1" x14ac:dyDescent="0.4">
      <c r="A872" s="1">
        <v>45815</v>
      </c>
      <c r="B872" t="s">
        <v>165</v>
      </c>
      <c r="C872">
        <v>21.38</v>
      </c>
      <c r="D872" s="2" t="s">
        <v>924</v>
      </c>
      <c r="E872" t="s">
        <v>165</v>
      </c>
      <c r="F872" s="2" t="s">
        <v>167</v>
      </c>
      <c r="G872" s="2" t="s">
        <v>87</v>
      </c>
      <c r="H872">
        <v>75202</v>
      </c>
      <c r="I872" t="s">
        <v>16</v>
      </c>
      <c r="J872" t="s">
        <v>925</v>
      </c>
      <c r="K872" t="s">
        <v>96</v>
      </c>
      <c r="L872" t="s">
        <v>2047</v>
      </c>
      <c r="M872">
        <f>VLOOKUP(SUBSTITUTE(J872,"'",""),Sheet1!L:M,2,FALSE)</f>
        <v>64100</v>
      </c>
    </row>
    <row r="873" spans="1:13" ht="13.5" customHeight="1" x14ac:dyDescent="0.4">
      <c r="A873" s="1">
        <v>45815</v>
      </c>
      <c r="B873" t="s">
        <v>3646</v>
      </c>
      <c r="C873">
        <v>78.209999999999994</v>
      </c>
      <c r="D873" s="2" t="s">
        <v>3647</v>
      </c>
      <c r="E873" t="s">
        <v>3646</v>
      </c>
      <c r="F873" s="2" t="s">
        <v>3648</v>
      </c>
      <c r="H873">
        <v>75009</v>
      </c>
      <c r="I873" t="s">
        <v>761</v>
      </c>
      <c r="J873" t="s">
        <v>3649</v>
      </c>
      <c r="K873" t="s">
        <v>2462</v>
      </c>
      <c r="L873" t="s">
        <v>4673</v>
      </c>
      <c r="M873">
        <f>VLOOKUP(SUBSTITUTE(J873,"'",""),Sheet1!L:M,2,FALSE)</f>
        <v>54820</v>
      </c>
    </row>
    <row r="874" spans="1:13" ht="13.5" customHeight="1" x14ac:dyDescent="0.4">
      <c r="A874" s="1">
        <v>45815</v>
      </c>
      <c r="B874" t="s">
        <v>738</v>
      </c>
      <c r="C874">
        <v>382.3</v>
      </c>
      <c r="D874" s="2" t="s">
        <v>928</v>
      </c>
      <c r="E874" t="s">
        <v>738</v>
      </c>
      <c r="F874" t="s">
        <v>740</v>
      </c>
      <c r="G874" t="s">
        <v>741</v>
      </c>
      <c r="H874" s="3" t="s">
        <v>742</v>
      </c>
      <c r="I874" t="s">
        <v>16</v>
      </c>
      <c r="J874" t="s">
        <v>929</v>
      </c>
      <c r="K874" t="s">
        <v>682</v>
      </c>
      <c r="L874" t="s">
        <v>2047</v>
      </c>
      <c r="M874">
        <f>VLOOKUP(SUBSTITUTE(J874,"'",""),Sheet1!L:M,2,FALSE)</f>
        <v>54820</v>
      </c>
    </row>
    <row r="875" spans="1:13" ht="13.5" customHeight="1" x14ac:dyDescent="0.4">
      <c r="A875" s="1">
        <v>45815</v>
      </c>
      <c r="B875" t="s">
        <v>738</v>
      </c>
      <c r="C875">
        <v>21.7</v>
      </c>
      <c r="D875" s="2" t="s">
        <v>926</v>
      </c>
      <c r="E875" t="s">
        <v>738</v>
      </c>
      <c r="F875" t="s">
        <v>740</v>
      </c>
      <c r="G875" t="s">
        <v>741</v>
      </c>
      <c r="H875" s="3" t="s">
        <v>742</v>
      </c>
      <c r="I875" t="s">
        <v>16</v>
      </c>
      <c r="J875" t="s">
        <v>927</v>
      </c>
      <c r="K875" t="s">
        <v>682</v>
      </c>
      <c r="L875" t="s">
        <v>2047</v>
      </c>
      <c r="M875">
        <f>VLOOKUP(SUBSTITUTE(J875,"'",""),Sheet1!L:M,2,FALSE)</f>
        <v>54820</v>
      </c>
    </row>
    <row r="876" spans="1:13" ht="13.5" customHeight="1" x14ac:dyDescent="0.4">
      <c r="A876" s="1">
        <v>45815</v>
      </c>
      <c r="B876" t="s">
        <v>2311</v>
      </c>
      <c r="C876">
        <v>41.12</v>
      </c>
      <c r="D876" s="2" t="s">
        <v>3644</v>
      </c>
      <c r="E876" t="s">
        <v>2311</v>
      </c>
      <c r="F876" s="2" t="s">
        <v>2313</v>
      </c>
      <c r="G876" s="2" t="s">
        <v>2314</v>
      </c>
      <c r="H876" t="s">
        <v>2315</v>
      </c>
      <c r="I876" t="s">
        <v>16</v>
      </c>
      <c r="J876" t="s">
        <v>3645</v>
      </c>
      <c r="K876" t="s">
        <v>37</v>
      </c>
      <c r="L876" t="s">
        <v>4673</v>
      </c>
      <c r="M876">
        <f>VLOOKUP(SUBSTITUTE(J876,"'",""),Sheet1!L:M,2,FALSE)</f>
        <v>64100</v>
      </c>
    </row>
    <row r="877" spans="1:13" ht="13.5" customHeight="1" x14ac:dyDescent="0.4">
      <c r="A877" s="1">
        <v>45815</v>
      </c>
      <c r="B877" t="s">
        <v>3650</v>
      </c>
      <c r="C877">
        <v>180.08</v>
      </c>
      <c r="D877" s="2" t="s">
        <v>3651</v>
      </c>
      <c r="E877" t="s">
        <v>3650</v>
      </c>
      <c r="F877" s="2" t="s">
        <v>2508</v>
      </c>
      <c r="G877" s="2" t="s">
        <v>35</v>
      </c>
      <c r="H877">
        <v>94158</v>
      </c>
      <c r="I877" t="s">
        <v>16</v>
      </c>
      <c r="J877" t="s">
        <v>3652</v>
      </c>
      <c r="K877" t="s">
        <v>18</v>
      </c>
      <c r="L877" t="s">
        <v>4673</v>
      </c>
      <c r="M877">
        <f>VLOOKUP(SUBSTITUTE(J877,"'",""),Sheet1!L:M,2,FALSE)</f>
        <v>64100</v>
      </c>
    </row>
    <row r="878" spans="1:13" ht="13.5" customHeight="1" x14ac:dyDescent="0.4">
      <c r="A878" s="1">
        <v>45815</v>
      </c>
      <c r="B878" t="s">
        <v>169</v>
      </c>
      <c r="C878">
        <v>21.39</v>
      </c>
      <c r="D878" s="2" t="s">
        <v>930</v>
      </c>
      <c r="E878" t="s">
        <v>169</v>
      </c>
      <c r="F878" s="2" t="s">
        <v>171</v>
      </c>
      <c r="G878" s="2" t="s">
        <v>172</v>
      </c>
      <c r="H878">
        <v>95035</v>
      </c>
      <c r="I878" t="s">
        <v>16</v>
      </c>
      <c r="J878" t="s">
        <v>931</v>
      </c>
      <c r="K878" t="s">
        <v>174</v>
      </c>
      <c r="L878" t="s">
        <v>2047</v>
      </c>
      <c r="M878">
        <f>VLOOKUP(SUBSTITUTE(J878,"'",""),Sheet1!L:M,2,FALSE)</f>
        <v>64100</v>
      </c>
    </row>
    <row r="879" spans="1:13" ht="13.5" customHeight="1" x14ac:dyDescent="0.4">
      <c r="A879" s="1">
        <v>45816</v>
      </c>
      <c r="B879" t="s">
        <v>478</v>
      </c>
      <c r="C879">
        <v>22.51</v>
      </c>
      <c r="D879" s="2" t="s">
        <v>920</v>
      </c>
      <c r="E879" t="s">
        <v>480</v>
      </c>
      <c r="F879" s="2" t="s">
        <v>481</v>
      </c>
      <c r="G879" s="2" t="s">
        <v>35</v>
      </c>
      <c r="H879">
        <v>94103</v>
      </c>
      <c r="I879" t="s">
        <v>16</v>
      </c>
      <c r="J879" t="s">
        <v>921</v>
      </c>
      <c r="K879" t="s">
        <v>483</v>
      </c>
      <c r="L879" t="s">
        <v>2047</v>
      </c>
      <c r="M879">
        <f>VLOOKUP(SUBSTITUTE(J879,"'",""),Sheet1!L:M,2,FALSE)</f>
        <v>61130</v>
      </c>
    </row>
    <row r="880" spans="1:13" ht="13.5" customHeight="1" x14ac:dyDescent="0.4">
      <c r="A880" s="1">
        <v>45816</v>
      </c>
      <c r="B880" t="s">
        <v>3628</v>
      </c>
      <c r="C880">
        <v>80</v>
      </c>
      <c r="D880" s="2" t="s">
        <v>3629</v>
      </c>
      <c r="E880" t="s">
        <v>3628</v>
      </c>
      <c r="F880" t="s">
        <v>3630</v>
      </c>
      <c r="G880" s="2" t="s">
        <v>3631</v>
      </c>
      <c r="H880">
        <v>40508</v>
      </c>
      <c r="I880" t="s">
        <v>16</v>
      </c>
      <c r="J880" t="s">
        <v>3632</v>
      </c>
      <c r="K880" t="s">
        <v>2114</v>
      </c>
      <c r="L880" t="s">
        <v>4673</v>
      </c>
      <c r="M880">
        <f>VLOOKUP(SUBSTITUTE(J880,"'",""),Sheet1!L:M,2,FALSE)</f>
        <v>54820</v>
      </c>
    </row>
    <row r="881" spans="1:13" ht="13.5" customHeight="1" x14ac:dyDescent="0.4">
      <c r="A881" s="1">
        <v>45816</v>
      </c>
      <c r="B881" t="s">
        <v>3633</v>
      </c>
      <c r="C881">
        <v>37.880000000000003</v>
      </c>
      <c r="D881" s="2" t="s">
        <v>3634</v>
      </c>
      <c r="E881" t="s">
        <v>3633</v>
      </c>
      <c r="F881" t="s">
        <v>3635</v>
      </c>
      <c r="G881" s="2" t="s">
        <v>3636</v>
      </c>
      <c r="H881">
        <v>77385</v>
      </c>
      <c r="I881" t="s">
        <v>16</v>
      </c>
      <c r="J881" t="s">
        <v>3637</v>
      </c>
      <c r="K881" t="s">
        <v>305</v>
      </c>
      <c r="L881" t="s">
        <v>4673</v>
      </c>
      <c r="M881">
        <f>VLOOKUP(SUBSTITUTE(J881,"'",""),Sheet1!L:M,2,FALSE)</f>
        <v>54820</v>
      </c>
    </row>
    <row r="882" spans="1:13" ht="13.5" customHeight="1" x14ac:dyDescent="0.4">
      <c r="A882" s="1">
        <v>45816</v>
      </c>
      <c r="B882" t="s">
        <v>677</v>
      </c>
      <c r="C882">
        <v>1329.05</v>
      </c>
      <c r="D882" s="2" t="s">
        <v>922</v>
      </c>
      <c r="E882" t="s">
        <v>677</v>
      </c>
      <c r="F882" s="2" t="s">
        <v>679</v>
      </c>
      <c r="H882" s="3" t="s">
        <v>680</v>
      </c>
      <c r="I882" t="s">
        <v>596</v>
      </c>
      <c r="J882" t="s">
        <v>923</v>
      </c>
      <c r="K882" t="s">
        <v>682</v>
      </c>
      <c r="L882" t="s">
        <v>2047</v>
      </c>
      <c r="M882">
        <f>VLOOKUP(SUBSTITUTE(J882,"'",""),Sheet1!L:M,2,FALSE)</f>
        <v>54820</v>
      </c>
    </row>
    <row r="883" spans="1:13" ht="13.5" customHeight="1" x14ac:dyDescent="0.4">
      <c r="A883" s="1">
        <v>45816</v>
      </c>
      <c r="B883" t="s">
        <v>3638</v>
      </c>
      <c r="C883">
        <v>199.88</v>
      </c>
      <c r="D883" s="2" t="s">
        <v>3639</v>
      </c>
      <c r="E883" t="s">
        <v>3638</v>
      </c>
      <c r="F883" s="2" t="s">
        <v>3640</v>
      </c>
      <c r="G883" s="2" t="s">
        <v>35</v>
      </c>
      <c r="H883">
        <v>94110</v>
      </c>
      <c r="I883" t="s">
        <v>16</v>
      </c>
      <c r="J883" t="s">
        <v>3641</v>
      </c>
      <c r="K883" t="s">
        <v>18</v>
      </c>
      <c r="L883" t="s">
        <v>4673</v>
      </c>
      <c r="M883">
        <f>VLOOKUP(SUBSTITUTE(J883,"'",""),Sheet1!L:M,2,FALSE)</f>
        <v>64100</v>
      </c>
    </row>
    <row r="884" spans="1:13" ht="13.5" customHeight="1" x14ac:dyDescent="0.4">
      <c r="A884" s="1">
        <v>45817</v>
      </c>
      <c r="B884" t="s">
        <v>478</v>
      </c>
      <c r="C884">
        <v>83.81</v>
      </c>
      <c r="D884" s="2" t="s">
        <v>916</v>
      </c>
      <c r="E884" t="s">
        <v>480</v>
      </c>
      <c r="F884" s="2" t="s">
        <v>481</v>
      </c>
      <c r="G884" s="2" t="s">
        <v>35</v>
      </c>
      <c r="H884">
        <v>94103</v>
      </c>
      <c r="I884" t="s">
        <v>16</v>
      </c>
      <c r="J884" t="s">
        <v>917</v>
      </c>
      <c r="K884" t="s">
        <v>483</v>
      </c>
      <c r="L884" t="s">
        <v>2047</v>
      </c>
      <c r="M884">
        <f>VLOOKUP(SUBSTITUTE(J884,"'",""),Sheet1!L:M,2,FALSE)</f>
        <v>61130</v>
      </c>
    </row>
    <row r="885" spans="1:13" ht="13.5" customHeight="1" x14ac:dyDescent="0.4">
      <c r="A885" s="1">
        <v>45817</v>
      </c>
      <c r="B885" t="s">
        <v>478</v>
      </c>
      <c r="C885">
        <v>82.74</v>
      </c>
      <c r="D885" s="2" t="s">
        <v>914</v>
      </c>
      <c r="E885" t="s">
        <v>480</v>
      </c>
      <c r="F885" s="2" t="s">
        <v>481</v>
      </c>
      <c r="G885" s="2" t="s">
        <v>35</v>
      </c>
      <c r="H885">
        <v>94103</v>
      </c>
      <c r="I885" t="s">
        <v>16</v>
      </c>
      <c r="J885" t="s">
        <v>915</v>
      </c>
      <c r="K885" t="s">
        <v>483</v>
      </c>
      <c r="L885" t="s">
        <v>2047</v>
      </c>
      <c r="M885">
        <f>VLOOKUP(SUBSTITUTE(J885,"'",""),Sheet1!L:M,2,FALSE)</f>
        <v>61130</v>
      </c>
    </row>
    <row r="886" spans="1:13" ht="13.5" customHeight="1" x14ac:dyDescent="0.4">
      <c r="A886" s="1">
        <v>45817</v>
      </c>
      <c r="B886" t="s">
        <v>153</v>
      </c>
      <c r="C886">
        <v>223.27</v>
      </c>
      <c r="D886" s="2" t="s">
        <v>904</v>
      </c>
      <c r="E886" t="s">
        <v>153</v>
      </c>
      <c r="F886" t="s">
        <v>155</v>
      </c>
      <c r="G886" s="2" t="s">
        <v>156</v>
      </c>
      <c r="H886">
        <v>98052</v>
      </c>
      <c r="I886" t="s">
        <v>16</v>
      </c>
      <c r="J886" t="s">
        <v>905</v>
      </c>
      <c r="K886" t="s">
        <v>96</v>
      </c>
      <c r="L886" t="s">
        <v>2047</v>
      </c>
      <c r="M886">
        <f>VLOOKUP(SUBSTITUTE(J886,"'",""),Sheet1!L:M,2,FALSE)</f>
        <v>64100</v>
      </c>
    </row>
    <row r="887" spans="1:13" ht="13.5" customHeight="1" x14ac:dyDescent="0.4">
      <c r="A887" s="1">
        <v>45817</v>
      </c>
      <c r="B887" t="s">
        <v>153</v>
      </c>
      <c r="C887">
        <v>165.4</v>
      </c>
      <c r="D887" s="2" t="s">
        <v>902</v>
      </c>
      <c r="E887" t="s">
        <v>153</v>
      </c>
      <c r="F887" t="s">
        <v>155</v>
      </c>
      <c r="G887" s="2" t="s">
        <v>156</v>
      </c>
      <c r="H887">
        <v>98052</v>
      </c>
      <c r="I887" t="s">
        <v>16</v>
      </c>
      <c r="J887" t="s">
        <v>903</v>
      </c>
      <c r="K887" t="s">
        <v>96</v>
      </c>
      <c r="L887" t="s">
        <v>2047</v>
      </c>
      <c r="M887">
        <f>VLOOKUP(SUBSTITUTE(J887,"'",""),Sheet1!L:M,2,FALSE)</f>
        <v>64100</v>
      </c>
    </row>
    <row r="888" spans="1:13" ht="13.5" customHeight="1" x14ac:dyDescent="0.4">
      <c r="A888" s="1">
        <v>45817</v>
      </c>
      <c r="B888" t="s">
        <v>888</v>
      </c>
      <c r="C888">
        <v>14</v>
      </c>
      <c r="D888" s="2" t="s">
        <v>889</v>
      </c>
      <c r="E888" t="s">
        <v>888</v>
      </c>
      <c r="F888" t="s">
        <v>890</v>
      </c>
      <c r="G888" s="2" t="s">
        <v>891</v>
      </c>
      <c r="H888">
        <v>54307</v>
      </c>
      <c r="I888" t="s">
        <v>16</v>
      </c>
      <c r="J888" t="s">
        <v>892</v>
      </c>
      <c r="K888" t="s">
        <v>321</v>
      </c>
      <c r="L888" t="s">
        <v>2047</v>
      </c>
      <c r="M888">
        <f>VLOOKUP(SUBSTITUTE(J888,"'",""),Sheet1!L:M,2,FALSE)</f>
        <v>61120</v>
      </c>
    </row>
    <row r="889" spans="1:13" ht="13.5" customHeight="1" x14ac:dyDescent="0.4">
      <c r="A889" s="1">
        <v>45817</v>
      </c>
      <c r="B889" t="s">
        <v>888</v>
      </c>
      <c r="C889">
        <v>14</v>
      </c>
      <c r="D889" s="2" t="s">
        <v>893</v>
      </c>
      <c r="E889" t="s">
        <v>888</v>
      </c>
      <c r="F889" t="s">
        <v>890</v>
      </c>
      <c r="G889" s="2" t="s">
        <v>891</v>
      </c>
      <c r="H889">
        <v>54307</v>
      </c>
      <c r="I889" t="s">
        <v>16</v>
      </c>
      <c r="J889" t="s">
        <v>894</v>
      </c>
      <c r="K889" t="s">
        <v>321</v>
      </c>
      <c r="L889" t="s">
        <v>2047</v>
      </c>
      <c r="M889">
        <f>VLOOKUP(SUBSTITUTE(J889,"'",""),Sheet1!L:M,2,FALSE)</f>
        <v>61120</v>
      </c>
    </row>
    <row r="890" spans="1:13" ht="13.5" customHeight="1" x14ac:dyDescent="0.4">
      <c r="A890" s="1">
        <v>45817</v>
      </c>
      <c r="B890" t="s">
        <v>895</v>
      </c>
      <c r="C890">
        <v>9.9499999999999993</v>
      </c>
      <c r="D890" s="2" t="s">
        <v>896</v>
      </c>
      <c r="E890" t="s">
        <v>895</v>
      </c>
      <c r="F890" s="2" t="s">
        <v>897</v>
      </c>
      <c r="G890" s="2" t="s">
        <v>898</v>
      </c>
      <c r="H890">
        <v>33337</v>
      </c>
      <c r="I890" t="s">
        <v>16</v>
      </c>
      <c r="J890" t="s">
        <v>899</v>
      </c>
      <c r="K890" t="s">
        <v>321</v>
      </c>
      <c r="L890" t="s">
        <v>2047</v>
      </c>
      <c r="M890">
        <f>VLOOKUP(SUBSTITUTE(J890,"'",""),Sheet1!L:M,2,FALSE)</f>
        <v>61120</v>
      </c>
    </row>
    <row r="891" spans="1:13" ht="13.5" customHeight="1" x14ac:dyDescent="0.4">
      <c r="A891" s="1">
        <v>45817</v>
      </c>
      <c r="B891" t="s">
        <v>895</v>
      </c>
      <c r="C891">
        <v>9.9499999999999993</v>
      </c>
      <c r="D891" s="2" t="s">
        <v>900</v>
      </c>
      <c r="E891" t="s">
        <v>895</v>
      </c>
      <c r="F891" s="2" t="s">
        <v>897</v>
      </c>
      <c r="G891" s="2" t="s">
        <v>898</v>
      </c>
      <c r="H891">
        <v>33337</v>
      </c>
      <c r="I891" t="s">
        <v>16</v>
      </c>
      <c r="J891" t="s">
        <v>901</v>
      </c>
      <c r="K891" t="s">
        <v>321</v>
      </c>
      <c r="L891" t="s">
        <v>2047</v>
      </c>
      <c r="M891">
        <f>VLOOKUP(SUBSTITUTE(J891,"'",""),Sheet1!L:M,2,FALSE)</f>
        <v>61120</v>
      </c>
    </row>
    <row r="892" spans="1:13" ht="13.5" customHeight="1" x14ac:dyDescent="0.4">
      <c r="A892" s="1">
        <v>45817</v>
      </c>
      <c r="B892" t="s">
        <v>906</v>
      </c>
      <c r="C892">
        <v>9.9499999999999993</v>
      </c>
      <c r="D892" s="2" t="s">
        <v>907</v>
      </c>
      <c r="E892" t="s">
        <v>906</v>
      </c>
      <c r="F892" t="s">
        <v>908</v>
      </c>
      <c r="G892" s="2" t="s">
        <v>909</v>
      </c>
      <c r="H892">
        <v>85016</v>
      </c>
      <c r="I892" t="s">
        <v>910</v>
      </c>
      <c r="J892" t="s">
        <v>911</v>
      </c>
      <c r="K892" t="s">
        <v>321</v>
      </c>
      <c r="L892" t="s">
        <v>2047</v>
      </c>
      <c r="M892">
        <f>VLOOKUP(SUBSTITUTE(J892,"'",""),Sheet1!L:M,2,FALSE)</f>
        <v>61120</v>
      </c>
    </row>
    <row r="893" spans="1:13" ht="13.5" customHeight="1" x14ac:dyDescent="0.4">
      <c r="A893" s="1">
        <v>45817</v>
      </c>
      <c r="B893" t="s">
        <v>906</v>
      </c>
      <c r="C893">
        <v>9.9499999999999993</v>
      </c>
      <c r="D893" s="2" t="s">
        <v>912</v>
      </c>
      <c r="E893" t="s">
        <v>906</v>
      </c>
      <c r="F893" t="s">
        <v>908</v>
      </c>
      <c r="G893" s="2" t="s">
        <v>909</v>
      </c>
      <c r="H893">
        <v>85016</v>
      </c>
      <c r="I893" t="s">
        <v>910</v>
      </c>
      <c r="J893" t="s">
        <v>913</v>
      </c>
      <c r="K893" t="s">
        <v>321</v>
      </c>
      <c r="L893" t="s">
        <v>2047</v>
      </c>
      <c r="M893">
        <f>VLOOKUP(SUBSTITUTE(J893,"'",""),Sheet1!L:M,2,FALSE)</f>
        <v>61120</v>
      </c>
    </row>
    <row r="894" spans="1:13" ht="13.5" customHeight="1" x14ac:dyDescent="0.4">
      <c r="A894" s="1">
        <v>45817</v>
      </c>
      <c r="B894" t="s">
        <v>2934</v>
      </c>
      <c r="C894">
        <v>12.79</v>
      </c>
      <c r="D894" s="2" t="s">
        <v>3626</v>
      </c>
      <c r="E894" t="s">
        <v>2934</v>
      </c>
      <c r="F894" t="s">
        <v>2936</v>
      </c>
      <c r="G894" s="2" t="s">
        <v>41</v>
      </c>
      <c r="H894">
        <v>10003</v>
      </c>
      <c r="I894" t="s">
        <v>16</v>
      </c>
      <c r="J894" t="s">
        <v>3627</v>
      </c>
      <c r="K894" t="s">
        <v>305</v>
      </c>
      <c r="L894" t="s">
        <v>4673</v>
      </c>
      <c r="M894">
        <f>VLOOKUP(SUBSTITUTE(J894,"'",""),Sheet1!L:M,2,FALSE)</f>
        <v>54820</v>
      </c>
    </row>
    <row r="895" spans="1:13" ht="13.5" customHeight="1" x14ac:dyDescent="0.4">
      <c r="A895" s="1">
        <v>45817</v>
      </c>
      <c r="B895" t="s">
        <v>160</v>
      </c>
      <c r="C895">
        <v>21.4</v>
      </c>
      <c r="D895" s="2" t="s">
        <v>918</v>
      </c>
      <c r="E895" t="s">
        <v>160</v>
      </c>
      <c r="F895" s="2" t="s">
        <v>162</v>
      </c>
      <c r="G895" s="2" t="s">
        <v>35</v>
      </c>
      <c r="H895">
        <v>94104</v>
      </c>
      <c r="I895" t="s">
        <v>16</v>
      </c>
      <c r="J895" t="s">
        <v>919</v>
      </c>
      <c r="K895" t="s">
        <v>164</v>
      </c>
      <c r="L895" t="s">
        <v>2047</v>
      </c>
      <c r="M895">
        <f>VLOOKUP(SUBSTITUTE(J895,"'",""),Sheet1!L:M,2,FALSE)</f>
        <v>64100</v>
      </c>
    </row>
    <row r="896" spans="1:13" ht="13.5" customHeight="1" x14ac:dyDescent="0.4">
      <c r="A896" s="1">
        <v>45817</v>
      </c>
      <c r="B896" t="s">
        <v>2764</v>
      </c>
      <c r="C896">
        <v>20.41</v>
      </c>
      <c r="D896" s="2" t="s">
        <v>3624</v>
      </c>
      <c r="E896" t="s">
        <v>2764</v>
      </c>
      <c r="F896" t="s">
        <v>2766</v>
      </c>
      <c r="G896" s="2" t="s">
        <v>41</v>
      </c>
      <c r="H896">
        <v>10011</v>
      </c>
      <c r="I896" t="s">
        <v>16</v>
      </c>
      <c r="J896" t="s">
        <v>3625</v>
      </c>
      <c r="K896" t="s">
        <v>305</v>
      </c>
      <c r="L896" t="s">
        <v>4673</v>
      </c>
      <c r="M896">
        <f>VLOOKUP(SUBSTITUTE(J896,"'",""),Sheet1!L:M,2,FALSE)</f>
        <v>54820</v>
      </c>
    </row>
    <row r="897" spans="1:13" ht="13.5" customHeight="1" x14ac:dyDescent="0.4">
      <c r="A897" s="1">
        <v>45818</v>
      </c>
      <c r="B897" t="s">
        <v>885</v>
      </c>
      <c r="C897">
        <v>96.7</v>
      </c>
      <c r="D897" s="2" t="s">
        <v>886</v>
      </c>
      <c r="E897" t="s">
        <v>885</v>
      </c>
      <c r="F897" t="s">
        <v>108</v>
      </c>
      <c r="G897" s="2" t="s">
        <v>41</v>
      </c>
      <c r="H897">
        <v>10012</v>
      </c>
      <c r="I897" t="s">
        <v>16</v>
      </c>
      <c r="J897" t="s">
        <v>887</v>
      </c>
      <c r="K897" t="s">
        <v>110</v>
      </c>
      <c r="L897" t="s">
        <v>2047</v>
      </c>
      <c r="M897">
        <f>VLOOKUP(SUBSTITUTE(J897,"'",""),Sheet1!L:M,2,FALSE)</f>
        <v>67500</v>
      </c>
    </row>
    <row r="898" spans="1:13" ht="13.5" customHeight="1" x14ac:dyDescent="0.4">
      <c r="A898" s="1">
        <v>45818</v>
      </c>
      <c r="B898" t="s">
        <v>175</v>
      </c>
      <c r="C898">
        <v>390</v>
      </c>
      <c r="D898" s="2" t="s">
        <v>3622</v>
      </c>
      <c r="E898" t="s">
        <v>175</v>
      </c>
      <c r="F898" t="s">
        <v>177</v>
      </c>
      <c r="G898" s="2" t="s">
        <v>41</v>
      </c>
      <c r="H898">
        <v>10012</v>
      </c>
      <c r="I898" t="s">
        <v>16</v>
      </c>
      <c r="J898" t="s">
        <v>3623</v>
      </c>
      <c r="K898" t="s">
        <v>126</v>
      </c>
      <c r="L898" t="s">
        <v>4673</v>
      </c>
      <c r="M898">
        <f>VLOOKUP(SUBSTITUTE(J898,"'",""),Sheet1!L:M,2,FALSE)</f>
        <v>61215</v>
      </c>
    </row>
    <row r="899" spans="1:13" ht="13.5" customHeight="1" x14ac:dyDescent="0.4">
      <c r="A899" s="1">
        <v>45818</v>
      </c>
      <c r="B899" t="s">
        <v>3151</v>
      </c>
      <c r="C899">
        <v>85.63</v>
      </c>
      <c r="D899" s="2" t="s">
        <v>3620</v>
      </c>
      <c r="E899" t="s">
        <v>3151</v>
      </c>
      <c r="F899" t="s">
        <v>2743</v>
      </c>
      <c r="G899" s="2" t="s">
        <v>41</v>
      </c>
      <c r="H899">
        <v>10003</v>
      </c>
      <c r="I899" t="s">
        <v>16</v>
      </c>
      <c r="J899" t="s">
        <v>3621</v>
      </c>
      <c r="K899" t="s">
        <v>207</v>
      </c>
      <c r="L899" t="s">
        <v>4673</v>
      </c>
      <c r="M899">
        <f>VLOOKUP(SUBSTITUTE(J899,"'",""),Sheet1!L:M,2,FALSE)</f>
        <v>54820</v>
      </c>
    </row>
    <row r="900" spans="1:13" ht="13.5" customHeight="1" x14ac:dyDescent="0.4">
      <c r="A900" s="1">
        <v>45819</v>
      </c>
      <c r="B900" t="s">
        <v>134</v>
      </c>
      <c r="C900">
        <v>-5000</v>
      </c>
      <c r="D900" t="s">
        <v>134</v>
      </c>
      <c r="E900" t="s">
        <v>134</v>
      </c>
      <c r="J900" t="s">
        <v>880</v>
      </c>
      <c r="L900" t="s">
        <v>2047</v>
      </c>
      <c r="M900" t="e">
        <f>VLOOKUP(SUBSTITUTE(J900,"'",""),Sheet1!L:M,2,FALSE)</f>
        <v>#N/A</v>
      </c>
    </row>
    <row r="901" spans="1:13" ht="13.5" customHeight="1" x14ac:dyDescent="0.4">
      <c r="A901" s="1">
        <v>45819</v>
      </c>
      <c r="B901" t="s">
        <v>977</v>
      </c>
      <c r="C901">
        <v>30</v>
      </c>
      <c r="D901" s="2" t="s">
        <v>3614</v>
      </c>
      <c r="E901" t="s">
        <v>977</v>
      </c>
      <c r="F901" s="2" t="s">
        <v>979</v>
      </c>
      <c r="G901" s="2" t="s">
        <v>980</v>
      </c>
      <c r="H901">
        <v>78259</v>
      </c>
      <c r="I901" t="s">
        <v>16</v>
      </c>
      <c r="J901" t="s">
        <v>3615</v>
      </c>
      <c r="K901" t="s">
        <v>164</v>
      </c>
      <c r="L901" t="s">
        <v>4673</v>
      </c>
      <c r="M901">
        <f>VLOOKUP(SUBSTITUTE(J901,"'",""),Sheet1!L:M,2,FALSE)</f>
        <v>54820</v>
      </c>
    </row>
    <row r="902" spans="1:13" ht="13.5" customHeight="1" x14ac:dyDescent="0.4">
      <c r="A902" s="1">
        <v>45819</v>
      </c>
      <c r="B902" t="s">
        <v>977</v>
      </c>
      <c r="C902">
        <v>10</v>
      </c>
      <c r="D902" s="2" t="s">
        <v>3612</v>
      </c>
      <c r="E902" t="s">
        <v>977</v>
      </c>
      <c r="F902" s="2" t="s">
        <v>979</v>
      </c>
      <c r="G902" s="2" t="s">
        <v>980</v>
      </c>
      <c r="H902">
        <v>78259</v>
      </c>
      <c r="I902" t="s">
        <v>16</v>
      </c>
      <c r="J902" t="s">
        <v>3613</v>
      </c>
      <c r="K902" t="s">
        <v>164</v>
      </c>
      <c r="L902" t="s">
        <v>4673</v>
      </c>
      <c r="M902">
        <f>VLOOKUP(SUBSTITUTE(J902,"'",""),Sheet1!L:M,2,FALSE)</f>
        <v>54820</v>
      </c>
    </row>
    <row r="903" spans="1:13" ht="13.5" customHeight="1" x14ac:dyDescent="0.4">
      <c r="A903" s="1">
        <v>45819</v>
      </c>
      <c r="B903" t="s">
        <v>2285</v>
      </c>
      <c r="C903">
        <v>1.06</v>
      </c>
      <c r="D903" s="2" t="s">
        <v>3616</v>
      </c>
      <c r="E903" t="s">
        <v>2285</v>
      </c>
      <c r="F903" t="s">
        <v>2287</v>
      </c>
      <c r="G903" s="2" t="s">
        <v>41</v>
      </c>
      <c r="H903">
        <v>10003</v>
      </c>
      <c r="I903" t="s">
        <v>16</v>
      </c>
      <c r="J903" t="s">
        <v>3617</v>
      </c>
      <c r="K903" t="s">
        <v>96</v>
      </c>
      <c r="L903" t="s">
        <v>4673</v>
      </c>
      <c r="M903">
        <f>VLOOKUP(SUBSTITUTE(J903,"'",""),Sheet1!L:M,2,FALSE)</f>
        <v>54820</v>
      </c>
    </row>
    <row r="904" spans="1:13" ht="13.5" customHeight="1" x14ac:dyDescent="0.4">
      <c r="A904" s="1">
        <v>45819</v>
      </c>
      <c r="B904" t="s">
        <v>478</v>
      </c>
      <c r="C904">
        <v>51.73</v>
      </c>
      <c r="D904" s="2" t="s">
        <v>883</v>
      </c>
      <c r="E904" t="s">
        <v>480</v>
      </c>
      <c r="F904" s="2" t="s">
        <v>481</v>
      </c>
      <c r="G904" s="2" t="s">
        <v>35</v>
      </c>
      <c r="H904">
        <v>94103</v>
      </c>
      <c r="I904" t="s">
        <v>16</v>
      </c>
      <c r="J904" t="s">
        <v>884</v>
      </c>
      <c r="K904" t="s">
        <v>483</v>
      </c>
      <c r="L904" t="s">
        <v>2047</v>
      </c>
      <c r="M904">
        <f>VLOOKUP(SUBSTITUTE(J904,"'",""),Sheet1!L:M,2,FALSE)</f>
        <v>61130</v>
      </c>
    </row>
    <row r="905" spans="1:13" ht="13.5" customHeight="1" x14ac:dyDescent="0.4">
      <c r="A905" s="1">
        <v>45819</v>
      </c>
      <c r="B905" t="s">
        <v>478</v>
      </c>
      <c r="C905">
        <v>43.66</v>
      </c>
      <c r="D905" s="2" t="s">
        <v>881</v>
      </c>
      <c r="E905" t="s">
        <v>480</v>
      </c>
      <c r="F905" s="2" t="s">
        <v>481</v>
      </c>
      <c r="G905" s="2" t="s">
        <v>35</v>
      </c>
      <c r="H905">
        <v>94103</v>
      </c>
      <c r="I905" t="s">
        <v>16</v>
      </c>
      <c r="J905" t="s">
        <v>882</v>
      </c>
      <c r="K905" t="s">
        <v>483</v>
      </c>
      <c r="L905" t="s">
        <v>2047</v>
      </c>
      <c r="M905">
        <f>VLOOKUP(SUBSTITUTE(J905,"'",""),Sheet1!L:M,2,FALSE)</f>
        <v>61130</v>
      </c>
    </row>
    <row r="906" spans="1:13" ht="13.5" customHeight="1" x14ac:dyDescent="0.4">
      <c r="A906" s="1">
        <v>45819</v>
      </c>
      <c r="B906" t="s">
        <v>2265</v>
      </c>
      <c r="C906">
        <v>36.9</v>
      </c>
      <c r="D906" s="2" t="s">
        <v>3618</v>
      </c>
      <c r="E906" t="s">
        <v>2265</v>
      </c>
      <c r="F906" t="s">
        <v>2261</v>
      </c>
      <c r="G906" s="2" t="s">
        <v>14</v>
      </c>
      <c r="H906">
        <v>98103</v>
      </c>
      <c r="I906" t="s">
        <v>16</v>
      </c>
      <c r="J906" t="s">
        <v>3619</v>
      </c>
      <c r="K906" t="s">
        <v>1904</v>
      </c>
      <c r="L906" t="s">
        <v>4673</v>
      </c>
      <c r="M906">
        <f>VLOOKUP(SUBSTITUTE(J906,"'",""),Sheet1!L:M,2,FALSE)</f>
        <v>64100</v>
      </c>
    </row>
    <row r="907" spans="1:13" ht="13.5" customHeight="1" x14ac:dyDescent="0.4">
      <c r="A907" s="1">
        <v>45819</v>
      </c>
      <c r="B907" t="s">
        <v>2259</v>
      </c>
      <c r="C907">
        <v>21.39</v>
      </c>
      <c r="D907" s="2" t="s">
        <v>3610</v>
      </c>
      <c r="E907" t="s">
        <v>2259</v>
      </c>
      <c r="F907" t="s">
        <v>2261</v>
      </c>
      <c r="G907" s="2" t="s">
        <v>14</v>
      </c>
      <c r="H907">
        <v>98103</v>
      </c>
      <c r="I907" t="s">
        <v>16</v>
      </c>
      <c r="J907" t="s">
        <v>3611</v>
      </c>
      <c r="K907" t="s">
        <v>1904</v>
      </c>
      <c r="L907" t="s">
        <v>4673</v>
      </c>
      <c r="M907">
        <f>VLOOKUP(SUBSTITUTE(J907,"'",""),Sheet1!L:M,2,FALSE)</f>
        <v>64100</v>
      </c>
    </row>
    <row r="908" spans="1:13" ht="13.5" customHeight="1" x14ac:dyDescent="0.4">
      <c r="A908" s="1">
        <v>45819</v>
      </c>
      <c r="B908" t="s">
        <v>461</v>
      </c>
      <c r="C908">
        <v>15</v>
      </c>
      <c r="D908" s="2" t="s">
        <v>878</v>
      </c>
      <c r="E908" t="s">
        <v>461</v>
      </c>
      <c r="F908" s="2" t="s">
        <v>463</v>
      </c>
      <c r="G908" s="2" t="s">
        <v>464</v>
      </c>
      <c r="H908" s="3" t="s">
        <v>465</v>
      </c>
      <c r="I908" t="s">
        <v>16</v>
      </c>
      <c r="J908" t="s">
        <v>879</v>
      </c>
      <c r="K908" t="s">
        <v>164</v>
      </c>
      <c r="L908" t="s">
        <v>2047</v>
      </c>
      <c r="M908">
        <f>VLOOKUP(SUBSTITUTE(J908,"'",""),Sheet1!L:M,2,FALSE)</f>
        <v>64100</v>
      </c>
    </row>
    <row r="909" spans="1:13" ht="13.5" customHeight="1" x14ac:dyDescent="0.4">
      <c r="A909" s="1">
        <v>45820</v>
      </c>
      <c r="B909" t="s">
        <v>22</v>
      </c>
      <c r="C909">
        <v>-2500</v>
      </c>
      <c r="D909" t="s">
        <v>22</v>
      </c>
      <c r="E909" t="s">
        <v>22</v>
      </c>
      <c r="J909" t="s">
        <v>3609</v>
      </c>
      <c r="L909" t="s">
        <v>4673</v>
      </c>
      <c r="M909" t="e">
        <f>VLOOKUP(SUBSTITUTE(J909,"'",""),Sheet1!L:M,2,FALSE)</f>
        <v>#N/A</v>
      </c>
    </row>
    <row r="910" spans="1:13" ht="13.5" customHeight="1" x14ac:dyDescent="0.4">
      <c r="A910" s="1">
        <v>45820</v>
      </c>
      <c r="B910" t="s">
        <v>22</v>
      </c>
      <c r="C910">
        <v>-2500</v>
      </c>
      <c r="D910" t="s">
        <v>22</v>
      </c>
      <c r="E910" t="s">
        <v>22</v>
      </c>
      <c r="J910" t="s">
        <v>873</v>
      </c>
      <c r="L910" t="s">
        <v>2047</v>
      </c>
      <c r="M910" t="e">
        <f>VLOOKUP(SUBSTITUTE(J910,"'",""),Sheet1!L:M,2,FALSE)</f>
        <v>#N/A</v>
      </c>
    </row>
    <row r="911" spans="1:13" ht="13.5" customHeight="1" x14ac:dyDescent="0.4">
      <c r="A911" s="1">
        <v>45820</v>
      </c>
      <c r="B911" t="s">
        <v>478</v>
      </c>
      <c r="C911">
        <v>48.43</v>
      </c>
      <c r="D911" s="2" t="s">
        <v>874</v>
      </c>
      <c r="E911" t="s">
        <v>480</v>
      </c>
      <c r="F911" s="2" t="s">
        <v>481</v>
      </c>
      <c r="G911" s="2" t="s">
        <v>35</v>
      </c>
      <c r="H911">
        <v>94103</v>
      </c>
      <c r="I911" t="s">
        <v>16</v>
      </c>
      <c r="J911" t="s">
        <v>875</v>
      </c>
      <c r="K911" t="s">
        <v>483</v>
      </c>
      <c r="L911" t="s">
        <v>2047</v>
      </c>
      <c r="M911">
        <f>VLOOKUP(SUBSTITUTE(J911,"'",""),Sheet1!L:M,2,FALSE)</f>
        <v>61130</v>
      </c>
    </row>
    <row r="912" spans="1:13" ht="13.5" customHeight="1" x14ac:dyDescent="0.4">
      <c r="A912" s="1">
        <v>45820</v>
      </c>
      <c r="B912" t="s">
        <v>478</v>
      </c>
      <c r="C912">
        <v>109.14</v>
      </c>
      <c r="D912" s="2" t="s">
        <v>876</v>
      </c>
      <c r="E912" t="s">
        <v>480</v>
      </c>
      <c r="F912" s="2" t="s">
        <v>481</v>
      </c>
      <c r="G912" s="2" t="s">
        <v>35</v>
      </c>
      <c r="H912">
        <v>94103</v>
      </c>
      <c r="I912" t="s">
        <v>16</v>
      </c>
      <c r="J912" t="s">
        <v>877</v>
      </c>
      <c r="K912" t="s">
        <v>483</v>
      </c>
      <c r="L912" t="s">
        <v>2047</v>
      </c>
      <c r="M912">
        <f>VLOOKUP(SUBSTITUTE(J912,"'",""),Sheet1!L:M,2,FALSE)</f>
        <v>61130</v>
      </c>
    </row>
    <row r="913" spans="1:13" ht="13.5" customHeight="1" x14ac:dyDescent="0.4">
      <c r="A913" s="1">
        <v>45820</v>
      </c>
      <c r="B913" t="s">
        <v>458</v>
      </c>
      <c r="C913">
        <v>16.04</v>
      </c>
      <c r="D913" s="2" t="s">
        <v>871</v>
      </c>
      <c r="E913" t="s">
        <v>458</v>
      </c>
      <c r="F913" t="s">
        <v>129</v>
      </c>
      <c r="G913" s="2" t="s">
        <v>130</v>
      </c>
      <c r="H913" t="s">
        <v>131</v>
      </c>
      <c r="I913" t="s">
        <v>16</v>
      </c>
      <c r="J913" t="s">
        <v>872</v>
      </c>
      <c r="K913" t="s">
        <v>133</v>
      </c>
      <c r="L913" t="s">
        <v>2047</v>
      </c>
      <c r="M913">
        <f>VLOOKUP(SUBSTITUTE(J913,"'",""),Sheet1!L:M,2,FALSE)</f>
        <v>64100</v>
      </c>
    </row>
    <row r="914" spans="1:13" ht="13.5" customHeight="1" x14ac:dyDescent="0.4">
      <c r="A914" s="1">
        <v>45820</v>
      </c>
      <c r="B914" t="s">
        <v>2246</v>
      </c>
      <c r="C914">
        <v>11.99</v>
      </c>
      <c r="D914" s="2" t="s">
        <v>3607</v>
      </c>
      <c r="E914" t="s">
        <v>2246</v>
      </c>
      <c r="F914" t="s">
        <v>2248</v>
      </c>
      <c r="G914" s="2" t="s">
        <v>2249</v>
      </c>
      <c r="H914">
        <v>94025</v>
      </c>
      <c r="I914" t="s">
        <v>16</v>
      </c>
      <c r="J914" t="s">
        <v>3608</v>
      </c>
      <c r="K914" t="s">
        <v>164</v>
      </c>
      <c r="L914" t="s">
        <v>4673</v>
      </c>
      <c r="M914">
        <f>VLOOKUP(SUBSTITUTE(J914,"'",""),Sheet1!L:M,2,FALSE)</f>
        <v>54820</v>
      </c>
    </row>
    <row r="915" spans="1:13" ht="13.5" customHeight="1" x14ac:dyDescent="0.4">
      <c r="A915" s="1">
        <v>45821</v>
      </c>
      <c r="B915" t="s">
        <v>3604</v>
      </c>
      <c r="C915">
        <v>106.99</v>
      </c>
      <c r="D915" s="2" t="s">
        <v>3605</v>
      </c>
      <c r="E915" t="s">
        <v>3604</v>
      </c>
      <c r="F915" s="2" t="s">
        <v>2233</v>
      </c>
      <c r="G915" s="2" t="s">
        <v>130</v>
      </c>
      <c r="H915" t="s">
        <v>2234</v>
      </c>
      <c r="I915" t="s">
        <v>16</v>
      </c>
      <c r="J915" t="s">
        <v>3606</v>
      </c>
      <c r="K915" t="s">
        <v>18</v>
      </c>
      <c r="L915" t="s">
        <v>4673</v>
      </c>
      <c r="M915">
        <f>VLOOKUP(SUBSTITUTE(J915,"'",""),Sheet1!L:M,2,FALSE)</f>
        <v>61100</v>
      </c>
    </row>
    <row r="916" spans="1:13" ht="13.5" customHeight="1" x14ac:dyDescent="0.4">
      <c r="A916" s="1">
        <v>45821</v>
      </c>
      <c r="B916" t="s">
        <v>478</v>
      </c>
      <c r="C916">
        <v>57.18</v>
      </c>
      <c r="D916" s="2" t="s">
        <v>869</v>
      </c>
      <c r="E916" t="s">
        <v>480</v>
      </c>
      <c r="F916" s="2" t="s">
        <v>481</v>
      </c>
      <c r="G916" s="2" t="s">
        <v>35</v>
      </c>
      <c r="H916">
        <v>94103</v>
      </c>
      <c r="I916" t="s">
        <v>16</v>
      </c>
      <c r="J916" t="s">
        <v>870</v>
      </c>
      <c r="K916" t="s">
        <v>483</v>
      </c>
      <c r="L916" t="s">
        <v>2047</v>
      </c>
      <c r="M916">
        <f>VLOOKUP(SUBSTITUTE(J916,"'",""),Sheet1!L:M,2,FALSE)</f>
        <v>61130</v>
      </c>
    </row>
    <row r="917" spans="1:13" ht="13.5" customHeight="1" x14ac:dyDescent="0.4">
      <c r="A917" s="1">
        <v>45821</v>
      </c>
      <c r="B917" t="s">
        <v>2142</v>
      </c>
      <c r="C917">
        <v>49.64</v>
      </c>
      <c r="D917" s="2" t="s">
        <v>3600</v>
      </c>
      <c r="E917" t="s">
        <v>2142</v>
      </c>
      <c r="F917" t="s">
        <v>2144</v>
      </c>
      <c r="G917" s="2" t="s">
        <v>41</v>
      </c>
      <c r="H917">
        <v>10012</v>
      </c>
      <c r="I917" t="s">
        <v>16</v>
      </c>
      <c r="J917" t="s">
        <v>3601</v>
      </c>
      <c r="K917" t="s">
        <v>1304</v>
      </c>
      <c r="L917" t="s">
        <v>4673</v>
      </c>
      <c r="M917">
        <f>VLOOKUP(SUBSTITUTE(J917,"'",""),Sheet1!L:M,2,FALSE)</f>
        <v>54820</v>
      </c>
    </row>
    <row r="918" spans="1:13" ht="13.5" customHeight="1" x14ac:dyDescent="0.4">
      <c r="A918" s="1">
        <v>45821</v>
      </c>
      <c r="B918" t="s">
        <v>977</v>
      </c>
      <c r="C918">
        <v>20</v>
      </c>
      <c r="D918" s="2" t="s">
        <v>3598</v>
      </c>
      <c r="E918" t="s">
        <v>977</v>
      </c>
      <c r="F918" s="2" t="s">
        <v>979</v>
      </c>
      <c r="G918" s="2" t="s">
        <v>980</v>
      </c>
      <c r="H918">
        <v>78259</v>
      </c>
      <c r="I918" t="s">
        <v>16</v>
      </c>
      <c r="J918" t="s">
        <v>3599</v>
      </c>
      <c r="K918" t="s">
        <v>164</v>
      </c>
      <c r="L918" t="s">
        <v>4673</v>
      </c>
      <c r="M918">
        <f>VLOOKUP(SUBSTITUTE(J918,"'",""),Sheet1!L:M,2,FALSE)</f>
        <v>54820</v>
      </c>
    </row>
    <row r="919" spans="1:13" ht="13.5" customHeight="1" x14ac:dyDescent="0.4">
      <c r="A919" s="1">
        <v>45821</v>
      </c>
      <c r="B919" t="s">
        <v>2934</v>
      </c>
      <c r="C919">
        <v>12.79</v>
      </c>
      <c r="D919" s="2" t="s">
        <v>3602</v>
      </c>
      <c r="E919" t="s">
        <v>2934</v>
      </c>
      <c r="F919" t="s">
        <v>2936</v>
      </c>
      <c r="G919" s="2" t="s">
        <v>41</v>
      </c>
      <c r="H919">
        <v>10003</v>
      </c>
      <c r="I919" t="s">
        <v>16</v>
      </c>
      <c r="J919" t="s">
        <v>3603</v>
      </c>
      <c r="K919" t="s">
        <v>305</v>
      </c>
      <c r="L919" t="s">
        <v>4673</v>
      </c>
      <c r="M919">
        <f>VLOOKUP(SUBSTITUTE(J919,"'",""),Sheet1!L:M,2,FALSE)</f>
        <v>54820</v>
      </c>
    </row>
    <row r="920" spans="1:13" ht="13.5" customHeight="1" x14ac:dyDescent="0.4">
      <c r="A920" s="1">
        <v>45822</v>
      </c>
      <c r="B920" t="s">
        <v>2222</v>
      </c>
      <c r="C920">
        <v>20.18</v>
      </c>
      <c r="D920" s="2" t="s">
        <v>3591</v>
      </c>
      <c r="E920" t="s">
        <v>2222</v>
      </c>
      <c r="F920" s="2" t="s">
        <v>2224</v>
      </c>
      <c r="G920" s="2" t="s">
        <v>35</v>
      </c>
      <c r="H920">
        <v>94103</v>
      </c>
      <c r="I920" t="s">
        <v>16</v>
      </c>
      <c r="J920" t="s">
        <v>3592</v>
      </c>
      <c r="K920" t="s">
        <v>164</v>
      </c>
      <c r="L920" t="s">
        <v>4673</v>
      </c>
      <c r="M920">
        <f>VLOOKUP(SUBSTITUTE(J920,"'",""),Sheet1!L:M,2,FALSE)</f>
        <v>54820</v>
      </c>
    </row>
    <row r="921" spans="1:13" ht="13.5" customHeight="1" x14ac:dyDescent="0.4">
      <c r="A921" s="1">
        <v>45822</v>
      </c>
      <c r="B921" t="s">
        <v>83</v>
      </c>
      <c r="C921">
        <v>109.42</v>
      </c>
      <c r="D921" s="2" t="s">
        <v>867</v>
      </c>
      <c r="E921" t="s">
        <v>315</v>
      </c>
      <c r="F921" s="2" t="s">
        <v>86</v>
      </c>
      <c r="G921" s="2" t="s">
        <v>87</v>
      </c>
      <c r="H921" t="s">
        <v>88</v>
      </c>
      <c r="I921" t="s">
        <v>16</v>
      </c>
      <c r="J921" t="s">
        <v>868</v>
      </c>
      <c r="K921" t="s">
        <v>90</v>
      </c>
      <c r="L921" t="s">
        <v>2047</v>
      </c>
      <c r="M921">
        <f>VLOOKUP(SUBSTITUTE(J921,"'",""),Sheet1!L:M,2,FALSE)</f>
        <v>65700</v>
      </c>
    </row>
    <row r="922" spans="1:13" ht="13.5" customHeight="1" x14ac:dyDescent="0.4">
      <c r="A922" s="1">
        <v>45822</v>
      </c>
      <c r="B922" t="s">
        <v>3593</v>
      </c>
      <c r="C922">
        <v>100</v>
      </c>
      <c r="D922" s="2" t="s">
        <v>3594</v>
      </c>
      <c r="E922" t="s">
        <v>3593</v>
      </c>
      <c r="F922" t="s">
        <v>3595</v>
      </c>
      <c r="G922" s="2" t="s">
        <v>3596</v>
      </c>
      <c r="H922">
        <v>10536</v>
      </c>
      <c r="I922" t="s">
        <v>16</v>
      </c>
      <c r="J922" t="s">
        <v>3597</v>
      </c>
      <c r="K922" t="s">
        <v>532</v>
      </c>
      <c r="L922" t="s">
        <v>4673</v>
      </c>
      <c r="M922">
        <f>VLOOKUP(SUBSTITUTE(J922,"'",""),Sheet1!L:M,2,FALSE)</f>
        <v>54820</v>
      </c>
    </row>
    <row r="923" spans="1:13" ht="13.5" customHeight="1" x14ac:dyDescent="0.4">
      <c r="A923" s="1">
        <v>45823</v>
      </c>
      <c r="B923" t="s">
        <v>3587</v>
      </c>
      <c r="C923">
        <v>80</v>
      </c>
      <c r="D923" s="2" t="s">
        <v>3588</v>
      </c>
      <c r="E923" t="s">
        <v>3587</v>
      </c>
      <c r="F923" t="s">
        <v>3589</v>
      </c>
      <c r="G923" s="2" t="s">
        <v>443</v>
      </c>
      <c r="H923">
        <v>11206</v>
      </c>
      <c r="I923" t="s">
        <v>16</v>
      </c>
      <c r="J923" t="s">
        <v>3590</v>
      </c>
      <c r="K923" t="s">
        <v>126</v>
      </c>
      <c r="L923" t="s">
        <v>4673</v>
      </c>
      <c r="M923">
        <f>VLOOKUP(SUBSTITUTE(J923,"'",""),Sheet1!L:M,2,FALSE)</f>
        <v>54820</v>
      </c>
    </row>
    <row r="924" spans="1:13" ht="13.5" customHeight="1" x14ac:dyDescent="0.4">
      <c r="A924" s="1">
        <v>45823</v>
      </c>
      <c r="B924" t="s">
        <v>437</v>
      </c>
      <c r="C924">
        <v>10</v>
      </c>
      <c r="D924" s="2" t="s">
        <v>865</v>
      </c>
      <c r="E924" t="s">
        <v>437</v>
      </c>
      <c r="F924" s="2" t="s">
        <v>80</v>
      </c>
      <c r="H924">
        <v>2150</v>
      </c>
      <c r="I924" t="s">
        <v>81</v>
      </c>
      <c r="J924" t="s">
        <v>866</v>
      </c>
      <c r="K924" t="s">
        <v>37</v>
      </c>
      <c r="L924" t="s">
        <v>2047</v>
      </c>
      <c r="M924">
        <f>VLOOKUP(SUBSTITUTE(J924,"'",""),Sheet1!L:M,2,FALSE)</f>
        <v>64100</v>
      </c>
    </row>
    <row r="925" spans="1:13" ht="13.5" customHeight="1" x14ac:dyDescent="0.4">
      <c r="A925" s="1">
        <v>45823</v>
      </c>
      <c r="B925" t="s">
        <v>2458</v>
      </c>
      <c r="C925">
        <v>2.9</v>
      </c>
      <c r="D925" s="2" t="s">
        <v>3583</v>
      </c>
      <c r="E925" t="s">
        <v>2458</v>
      </c>
      <c r="F925" s="2" t="s">
        <v>2460</v>
      </c>
      <c r="G925" s="2" t="s">
        <v>41</v>
      </c>
      <c r="H925">
        <v>10004</v>
      </c>
      <c r="I925" t="s">
        <v>16</v>
      </c>
      <c r="J925" t="s">
        <v>3584</v>
      </c>
      <c r="K925" t="s">
        <v>2462</v>
      </c>
      <c r="L925" t="s">
        <v>4673</v>
      </c>
      <c r="M925">
        <f>VLOOKUP(SUBSTITUTE(J925,"'",""),Sheet1!L:M,2,FALSE)</f>
        <v>61133</v>
      </c>
    </row>
    <row r="926" spans="1:13" ht="13.5" customHeight="1" x14ac:dyDescent="0.4">
      <c r="A926" s="1">
        <v>45823</v>
      </c>
      <c r="B926" t="s">
        <v>2458</v>
      </c>
      <c r="C926">
        <v>2.9</v>
      </c>
      <c r="D926" s="2" t="s">
        <v>3585</v>
      </c>
      <c r="E926" t="s">
        <v>2458</v>
      </c>
      <c r="F926" s="2" t="s">
        <v>2460</v>
      </c>
      <c r="G926" s="2" t="s">
        <v>41</v>
      </c>
      <c r="H926">
        <v>10004</v>
      </c>
      <c r="I926" t="s">
        <v>16</v>
      </c>
      <c r="J926" t="s">
        <v>3586</v>
      </c>
      <c r="K926" t="s">
        <v>2462</v>
      </c>
      <c r="L926" t="s">
        <v>4673</v>
      </c>
      <c r="M926">
        <f>VLOOKUP(SUBSTITUTE(J926,"'",""),Sheet1!L:M,2,FALSE)</f>
        <v>61133</v>
      </c>
    </row>
    <row r="927" spans="1:13" ht="13.5" customHeight="1" x14ac:dyDescent="0.4">
      <c r="A927" s="1">
        <v>45823</v>
      </c>
      <c r="B927" t="s">
        <v>3578</v>
      </c>
      <c r="C927">
        <v>70.06</v>
      </c>
      <c r="D927" s="2" t="s">
        <v>3579</v>
      </c>
      <c r="E927" t="s">
        <v>3578</v>
      </c>
      <c r="F927" s="2" t="s">
        <v>2206</v>
      </c>
      <c r="G927" s="2" t="s">
        <v>491</v>
      </c>
      <c r="H927">
        <v>60602</v>
      </c>
      <c r="I927" t="s">
        <v>16</v>
      </c>
      <c r="J927" t="s">
        <v>3580</v>
      </c>
      <c r="K927" t="s">
        <v>126</v>
      </c>
      <c r="L927" t="s">
        <v>4673</v>
      </c>
      <c r="M927">
        <f>VLOOKUP(SUBSTITUTE(J927,"'",""),Sheet1!L:M,2,FALSE)</f>
        <v>54820</v>
      </c>
    </row>
    <row r="928" spans="1:13" ht="13.5" customHeight="1" x14ac:dyDescent="0.4">
      <c r="A928" s="1">
        <v>45823</v>
      </c>
      <c r="B928" t="s">
        <v>2934</v>
      </c>
      <c r="C928">
        <v>12.79</v>
      </c>
      <c r="D928" s="2" t="s">
        <v>3581</v>
      </c>
      <c r="E928" t="s">
        <v>2934</v>
      </c>
      <c r="F928" t="s">
        <v>2936</v>
      </c>
      <c r="G928" s="2" t="s">
        <v>41</v>
      </c>
      <c r="H928">
        <v>10003</v>
      </c>
      <c r="I928" t="s">
        <v>16</v>
      </c>
      <c r="J928" t="s">
        <v>3582</v>
      </c>
      <c r="K928" t="s">
        <v>305</v>
      </c>
      <c r="L928" t="s">
        <v>4673</v>
      </c>
      <c r="M928">
        <f>VLOOKUP(SUBSTITUTE(J928,"'",""),Sheet1!L:M,2,FALSE)</f>
        <v>54820</v>
      </c>
    </row>
    <row r="929" spans="1:13" ht="13.5" customHeight="1" x14ac:dyDescent="0.4">
      <c r="A929" s="1">
        <v>45823</v>
      </c>
      <c r="B929" t="s">
        <v>856</v>
      </c>
      <c r="C929">
        <v>391.4</v>
      </c>
      <c r="D929" s="2" t="s">
        <v>857</v>
      </c>
      <c r="E929" t="s">
        <v>856</v>
      </c>
      <c r="F929" s="2" t="s">
        <v>858</v>
      </c>
      <c r="G929" s="2" t="s">
        <v>859</v>
      </c>
      <c r="H929" s="3" t="s">
        <v>860</v>
      </c>
      <c r="I929" t="s">
        <v>16</v>
      </c>
      <c r="J929" t="s">
        <v>861</v>
      </c>
      <c r="K929" t="s">
        <v>862</v>
      </c>
      <c r="L929" t="s">
        <v>2047</v>
      </c>
      <c r="M929">
        <f>VLOOKUP(SUBSTITUTE(J929,"'",""),Sheet1!L:M,2,FALSE)</f>
        <v>65505</v>
      </c>
    </row>
    <row r="930" spans="1:13" ht="13.5" customHeight="1" x14ac:dyDescent="0.4">
      <c r="A930" s="1">
        <v>45823</v>
      </c>
      <c r="B930" t="s">
        <v>3574</v>
      </c>
      <c r="C930">
        <v>7.62</v>
      </c>
      <c r="D930" s="2" t="s">
        <v>3575</v>
      </c>
      <c r="E930" t="s">
        <v>3574</v>
      </c>
      <c r="F930" t="s">
        <v>3576</v>
      </c>
      <c r="G930" s="2" t="s">
        <v>41</v>
      </c>
      <c r="H930">
        <v>10019</v>
      </c>
      <c r="I930" t="s">
        <v>16</v>
      </c>
      <c r="J930" t="s">
        <v>3577</v>
      </c>
      <c r="K930" t="s">
        <v>305</v>
      </c>
      <c r="L930" t="s">
        <v>4673</v>
      </c>
      <c r="M930">
        <f>VLOOKUP(SUBSTITUTE(J930,"'",""),Sheet1!L:M,2,FALSE)</f>
        <v>54820</v>
      </c>
    </row>
    <row r="931" spans="1:13" ht="13.5" customHeight="1" x14ac:dyDescent="0.4">
      <c r="A931" s="1">
        <v>45823</v>
      </c>
      <c r="B931" t="s">
        <v>57</v>
      </c>
      <c r="C931">
        <v>66.78</v>
      </c>
      <c r="D931" s="2" t="s">
        <v>863</v>
      </c>
      <c r="E931" t="s">
        <v>57</v>
      </c>
      <c r="F931" t="s">
        <v>59</v>
      </c>
      <c r="G931" s="2" t="s">
        <v>47</v>
      </c>
      <c r="H931">
        <v>12866</v>
      </c>
      <c r="I931" t="s">
        <v>16</v>
      </c>
      <c r="J931" t="s">
        <v>864</v>
      </c>
      <c r="K931" t="s">
        <v>61</v>
      </c>
      <c r="L931" t="s">
        <v>2047</v>
      </c>
      <c r="M931">
        <f>VLOOKUP(SUBSTITUTE(J931,"'",""),Sheet1!L:M,2,FALSE)</f>
        <v>63100</v>
      </c>
    </row>
    <row r="932" spans="1:13" ht="13.5" customHeight="1" x14ac:dyDescent="0.4">
      <c r="A932" s="1">
        <v>45824</v>
      </c>
      <c r="B932" t="s">
        <v>852</v>
      </c>
      <c r="C932">
        <v>119.88</v>
      </c>
      <c r="D932" s="2" t="s">
        <v>853</v>
      </c>
      <c r="E932" t="s">
        <v>852</v>
      </c>
      <c r="F932" t="s">
        <v>854</v>
      </c>
      <c r="G932" s="2" t="s">
        <v>35</v>
      </c>
      <c r="H932">
        <v>94107</v>
      </c>
      <c r="I932" t="s">
        <v>16</v>
      </c>
      <c r="J932" t="s">
        <v>855</v>
      </c>
      <c r="K932" t="s">
        <v>96</v>
      </c>
      <c r="L932" t="s">
        <v>2047</v>
      </c>
      <c r="M932">
        <f>VLOOKUP(SUBSTITUTE(J932,"'",""),Sheet1!L:M,2,FALSE)</f>
        <v>64100</v>
      </c>
    </row>
    <row r="933" spans="1:13" ht="13.5" customHeight="1" x14ac:dyDescent="0.4">
      <c r="A933" s="1">
        <v>45824</v>
      </c>
      <c r="B933" t="s">
        <v>2125</v>
      </c>
      <c r="C933">
        <v>27.99</v>
      </c>
      <c r="D933" s="2" t="s">
        <v>3570</v>
      </c>
      <c r="E933" t="s">
        <v>2125</v>
      </c>
      <c r="F933" t="s">
        <v>2127</v>
      </c>
      <c r="G933" s="2" t="s">
        <v>41</v>
      </c>
      <c r="H933">
        <v>10003</v>
      </c>
      <c r="I933" t="s">
        <v>16</v>
      </c>
      <c r="J933" t="s">
        <v>3571</v>
      </c>
      <c r="K933" t="s">
        <v>37</v>
      </c>
      <c r="L933" t="s">
        <v>4673</v>
      </c>
      <c r="M933">
        <f>VLOOKUP(SUBSTITUTE(J933,"'",""),Sheet1!L:M,2,FALSE)</f>
        <v>54820</v>
      </c>
    </row>
    <row r="934" spans="1:13" ht="13.5" customHeight="1" x14ac:dyDescent="0.4">
      <c r="A934" s="1">
        <v>45824</v>
      </c>
      <c r="B934" t="s">
        <v>2240</v>
      </c>
      <c r="C934">
        <v>73.33</v>
      </c>
      <c r="D934" s="2" t="s">
        <v>3572</v>
      </c>
      <c r="E934" t="s">
        <v>2240</v>
      </c>
      <c r="F934" t="s">
        <v>2242</v>
      </c>
      <c r="G934" s="2" t="s">
        <v>41</v>
      </c>
      <c r="H934">
        <v>10003</v>
      </c>
      <c r="I934" t="s">
        <v>16</v>
      </c>
      <c r="J934" t="s">
        <v>3573</v>
      </c>
      <c r="K934" t="s">
        <v>1218</v>
      </c>
      <c r="L934" t="s">
        <v>4673</v>
      </c>
      <c r="M934">
        <f>VLOOKUP(SUBSTITUTE(J934,"'",""),Sheet1!L:M,2,FALSE)</f>
        <v>54820</v>
      </c>
    </row>
    <row r="935" spans="1:13" ht="13.5" customHeight="1" x14ac:dyDescent="0.4">
      <c r="A935" s="1">
        <v>45824</v>
      </c>
      <c r="B935" t="s">
        <v>2344</v>
      </c>
      <c r="C935">
        <v>50.67</v>
      </c>
      <c r="D935" s="2" t="s">
        <v>3568</v>
      </c>
      <c r="E935" t="s">
        <v>2344</v>
      </c>
      <c r="F935" t="s">
        <v>2219</v>
      </c>
      <c r="G935" s="2" t="s">
        <v>41</v>
      </c>
      <c r="H935">
        <v>10013</v>
      </c>
      <c r="I935" t="s">
        <v>16</v>
      </c>
      <c r="J935" t="s">
        <v>3569</v>
      </c>
      <c r="K935" t="s">
        <v>321</v>
      </c>
      <c r="L935" t="s">
        <v>4673</v>
      </c>
      <c r="M935">
        <f>VLOOKUP(SUBSTITUTE(J935,"'",""),Sheet1!L:M,2,FALSE)</f>
        <v>54820</v>
      </c>
    </row>
    <row r="936" spans="1:13" ht="13.5" customHeight="1" x14ac:dyDescent="0.4">
      <c r="A936" s="1">
        <v>45825</v>
      </c>
      <c r="B936" t="s">
        <v>574</v>
      </c>
      <c r="C936">
        <v>32.65</v>
      </c>
      <c r="D936" s="2" t="s">
        <v>850</v>
      </c>
      <c r="E936" t="s">
        <v>574</v>
      </c>
      <c r="F936" t="s">
        <v>576</v>
      </c>
      <c r="G936" s="2" t="s">
        <v>577</v>
      </c>
      <c r="H936">
        <v>85201</v>
      </c>
      <c r="I936" t="s">
        <v>16</v>
      </c>
      <c r="J936" t="s">
        <v>851</v>
      </c>
      <c r="K936" t="s">
        <v>96</v>
      </c>
      <c r="L936" t="s">
        <v>2047</v>
      </c>
      <c r="M936">
        <f>VLOOKUP(SUBSTITUTE(J936,"'",""),Sheet1!L:M,2,FALSE)</f>
        <v>61131</v>
      </c>
    </row>
    <row r="937" spans="1:13" ht="13.5" customHeight="1" x14ac:dyDescent="0.4">
      <c r="A937" s="1">
        <v>45825</v>
      </c>
      <c r="B937" t="s">
        <v>2764</v>
      </c>
      <c r="C937">
        <v>9.8000000000000007</v>
      </c>
      <c r="D937" s="2" t="s">
        <v>3566</v>
      </c>
      <c r="E937" t="s">
        <v>2764</v>
      </c>
      <c r="F937" t="s">
        <v>2766</v>
      </c>
      <c r="G937" s="2" t="s">
        <v>41</v>
      </c>
      <c r="H937">
        <v>10011</v>
      </c>
      <c r="I937" t="s">
        <v>16</v>
      </c>
      <c r="J937" t="s">
        <v>3567</v>
      </c>
      <c r="K937" t="s">
        <v>305</v>
      </c>
      <c r="L937" t="s">
        <v>4673</v>
      </c>
      <c r="M937">
        <f>VLOOKUP(SUBSTITUTE(J937,"'",""),Sheet1!L:M,2,FALSE)</f>
        <v>54820</v>
      </c>
    </row>
    <row r="938" spans="1:13" ht="13.5" customHeight="1" x14ac:dyDescent="0.4">
      <c r="A938" s="1">
        <v>45825</v>
      </c>
      <c r="B938" t="s">
        <v>38</v>
      </c>
      <c r="C938">
        <v>1131.55</v>
      </c>
      <c r="D938" s="2" t="s">
        <v>848</v>
      </c>
      <c r="E938" t="s">
        <v>38</v>
      </c>
      <c r="F938" t="s">
        <v>40</v>
      </c>
      <c r="G938" s="2" t="s">
        <v>41</v>
      </c>
      <c r="H938">
        <v>10012</v>
      </c>
      <c r="I938" t="s">
        <v>16</v>
      </c>
      <c r="J938" t="s">
        <v>849</v>
      </c>
      <c r="K938" t="s">
        <v>43</v>
      </c>
      <c r="L938" t="s">
        <v>2047</v>
      </c>
      <c r="M938">
        <f>VLOOKUP(SUBSTITUTE(J938,"'",""),Sheet1!L:M,2,FALSE)</f>
        <v>61131</v>
      </c>
    </row>
    <row r="939" spans="1:13" ht="13.5" customHeight="1" x14ac:dyDescent="0.4">
      <c r="A939" s="1">
        <v>45826</v>
      </c>
      <c r="B939" t="s">
        <v>478</v>
      </c>
      <c r="C939">
        <v>32.68</v>
      </c>
      <c r="D939" s="2" t="s">
        <v>844</v>
      </c>
      <c r="E939" t="s">
        <v>480</v>
      </c>
      <c r="F939" s="2" t="s">
        <v>481</v>
      </c>
      <c r="G939" s="2" t="s">
        <v>35</v>
      </c>
      <c r="H939">
        <v>94103</v>
      </c>
      <c r="I939" t="s">
        <v>16</v>
      </c>
      <c r="J939" t="s">
        <v>845</v>
      </c>
      <c r="K939" t="s">
        <v>483</v>
      </c>
      <c r="L939" t="s">
        <v>2047</v>
      </c>
      <c r="M939">
        <f>VLOOKUP(SUBSTITUTE(J939,"'",""),Sheet1!L:M,2,FALSE)</f>
        <v>61130</v>
      </c>
    </row>
    <row r="940" spans="1:13" ht="13.5" customHeight="1" x14ac:dyDescent="0.4">
      <c r="A940" s="1">
        <v>45826</v>
      </c>
      <c r="B940" t="s">
        <v>478</v>
      </c>
      <c r="C940">
        <v>35.159999999999997</v>
      </c>
      <c r="D940" s="2" t="s">
        <v>846</v>
      </c>
      <c r="E940" t="s">
        <v>480</v>
      </c>
      <c r="F940" s="2" t="s">
        <v>481</v>
      </c>
      <c r="G940" s="2" t="s">
        <v>35</v>
      </c>
      <c r="H940">
        <v>94103</v>
      </c>
      <c r="I940" t="s">
        <v>16</v>
      </c>
      <c r="J940" t="s">
        <v>847</v>
      </c>
      <c r="K940" t="s">
        <v>483</v>
      </c>
      <c r="L940" t="s">
        <v>2047</v>
      </c>
      <c r="M940">
        <f>VLOOKUP(SUBSTITUTE(J940,"'",""),Sheet1!L:M,2,FALSE)</f>
        <v>61130</v>
      </c>
    </row>
    <row r="941" spans="1:13" ht="13.5" customHeight="1" x14ac:dyDescent="0.4">
      <c r="A941" s="1">
        <v>45826</v>
      </c>
      <c r="B941" t="s">
        <v>97</v>
      </c>
      <c r="C941">
        <v>299</v>
      </c>
      <c r="D941" s="2" t="s">
        <v>842</v>
      </c>
      <c r="E941" t="s">
        <v>97</v>
      </c>
      <c r="F941" s="2" t="s">
        <v>99</v>
      </c>
      <c r="G941" s="2" t="s">
        <v>100</v>
      </c>
      <c r="H941">
        <v>33160</v>
      </c>
      <c r="I941" t="s">
        <v>16</v>
      </c>
      <c r="J941" t="s">
        <v>843</v>
      </c>
      <c r="K941" t="s">
        <v>96</v>
      </c>
      <c r="L941" t="s">
        <v>2047</v>
      </c>
      <c r="M941">
        <f>VLOOKUP(SUBSTITUTE(J941,"'",""),Sheet1!L:M,2,FALSE)</f>
        <v>64100</v>
      </c>
    </row>
    <row r="942" spans="1:13" ht="13.5" customHeight="1" x14ac:dyDescent="0.4">
      <c r="A942" s="1">
        <v>45826</v>
      </c>
      <c r="B942" t="s">
        <v>327</v>
      </c>
      <c r="C942">
        <v>11.19</v>
      </c>
      <c r="D942" s="2" t="s">
        <v>840</v>
      </c>
      <c r="E942" t="s">
        <v>327</v>
      </c>
      <c r="F942" t="s">
        <v>29</v>
      </c>
      <c r="G942" t="e">
        <f>-
NY</f>
        <v>#NAME?</v>
      </c>
      <c r="H942">
        <v>11577</v>
      </c>
      <c r="I942" t="s">
        <v>16</v>
      </c>
      <c r="J942" t="s">
        <v>841</v>
      </c>
      <c r="K942" t="s">
        <v>31</v>
      </c>
      <c r="L942" t="s">
        <v>2047</v>
      </c>
      <c r="M942">
        <f>VLOOKUP(SUBSTITUTE(J942,"'",""),Sheet1!L:M,2,FALSE)</f>
        <v>61131</v>
      </c>
    </row>
    <row r="943" spans="1:13" ht="13.5" customHeight="1" x14ac:dyDescent="0.4">
      <c r="A943" s="1">
        <v>45826</v>
      </c>
      <c r="B943" t="s">
        <v>2934</v>
      </c>
      <c r="C943">
        <v>12.79</v>
      </c>
      <c r="D943" s="2" t="s">
        <v>3564</v>
      </c>
      <c r="E943" t="s">
        <v>2934</v>
      </c>
      <c r="F943" t="s">
        <v>2936</v>
      </c>
      <c r="G943" s="2" t="s">
        <v>41</v>
      </c>
      <c r="H943">
        <v>10003</v>
      </c>
      <c r="I943" t="s">
        <v>16</v>
      </c>
      <c r="J943" t="s">
        <v>3565</v>
      </c>
      <c r="K943" t="s">
        <v>305</v>
      </c>
      <c r="L943" t="s">
        <v>4673</v>
      </c>
      <c r="M943">
        <f>VLOOKUP(SUBSTITUTE(J943,"'",""),Sheet1!L:M,2,FALSE)</f>
        <v>54820</v>
      </c>
    </row>
    <row r="944" spans="1:13" ht="13.5" customHeight="1" x14ac:dyDescent="0.4">
      <c r="A944" s="1">
        <v>45827</v>
      </c>
      <c r="B944" t="s">
        <v>478</v>
      </c>
      <c r="C944">
        <v>20.34</v>
      </c>
      <c r="D944" s="2" t="s">
        <v>832</v>
      </c>
      <c r="E944" t="s">
        <v>480</v>
      </c>
      <c r="F944" s="2" t="s">
        <v>481</v>
      </c>
      <c r="G944" s="2" t="s">
        <v>35</v>
      </c>
      <c r="H944">
        <v>94103</v>
      </c>
      <c r="I944" t="s">
        <v>16</v>
      </c>
      <c r="J944" t="s">
        <v>833</v>
      </c>
      <c r="K944" t="s">
        <v>483</v>
      </c>
      <c r="L944" t="s">
        <v>2047</v>
      </c>
      <c r="M944">
        <f>VLOOKUP(SUBSTITUTE(J944,"'",""),Sheet1!L:M,2,FALSE)</f>
        <v>61130</v>
      </c>
    </row>
    <row r="945" spans="1:13" ht="13.5" customHeight="1" x14ac:dyDescent="0.4">
      <c r="A945" s="1">
        <v>45827</v>
      </c>
      <c r="B945" t="s">
        <v>478</v>
      </c>
      <c r="C945">
        <v>84.55</v>
      </c>
      <c r="D945" s="2" t="s">
        <v>838</v>
      </c>
      <c r="E945" t="s">
        <v>480</v>
      </c>
      <c r="F945" s="2" t="s">
        <v>481</v>
      </c>
      <c r="G945" s="2" t="s">
        <v>35</v>
      </c>
      <c r="H945">
        <v>94103</v>
      </c>
      <c r="I945" t="s">
        <v>16</v>
      </c>
      <c r="J945" t="s">
        <v>839</v>
      </c>
      <c r="K945" t="s">
        <v>483</v>
      </c>
      <c r="L945" t="s">
        <v>2047</v>
      </c>
      <c r="M945">
        <f>VLOOKUP(SUBSTITUTE(J945,"'",""),Sheet1!L:M,2,FALSE)</f>
        <v>61130</v>
      </c>
    </row>
    <row r="946" spans="1:13" ht="13.5" customHeight="1" x14ac:dyDescent="0.4">
      <c r="A946" s="1">
        <v>45827</v>
      </c>
      <c r="B946" t="s">
        <v>478</v>
      </c>
      <c r="C946">
        <v>70.06</v>
      </c>
      <c r="D946" s="2" t="s">
        <v>834</v>
      </c>
      <c r="E946" t="s">
        <v>480</v>
      </c>
      <c r="F946" s="2" t="s">
        <v>481</v>
      </c>
      <c r="G946" s="2" t="s">
        <v>35</v>
      </c>
      <c r="H946">
        <v>94103</v>
      </c>
      <c r="I946" t="s">
        <v>16</v>
      </c>
      <c r="J946" t="s">
        <v>835</v>
      </c>
      <c r="K946" t="s">
        <v>483</v>
      </c>
      <c r="L946" t="s">
        <v>2047</v>
      </c>
      <c r="M946">
        <f>VLOOKUP(SUBSTITUTE(J946,"'",""),Sheet1!L:M,2,FALSE)</f>
        <v>61130</v>
      </c>
    </row>
    <row r="947" spans="1:13" ht="13.5" customHeight="1" x14ac:dyDescent="0.4">
      <c r="A947" s="1">
        <v>45827</v>
      </c>
      <c r="B947" t="s">
        <v>478</v>
      </c>
      <c r="C947">
        <v>80.44</v>
      </c>
      <c r="D947" s="2" t="s">
        <v>836</v>
      </c>
      <c r="E947" t="s">
        <v>480</v>
      </c>
      <c r="F947" s="2" t="s">
        <v>481</v>
      </c>
      <c r="G947" s="2" t="s">
        <v>35</v>
      </c>
      <c r="H947">
        <v>94103</v>
      </c>
      <c r="I947" t="s">
        <v>16</v>
      </c>
      <c r="J947" t="s">
        <v>837</v>
      </c>
      <c r="K947" t="s">
        <v>483</v>
      </c>
      <c r="L947" t="s">
        <v>2047</v>
      </c>
      <c r="M947">
        <f>VLOOKUP(SUBSTITUTE(J947,"'",""),Sheet1!L:M,2,FALSE)</f>
        <v>61130</v>
      </c>
    </row>
    <row r="948" spans="1:13" ht="13.5" customHeight="1" x14ac:dyDescent="0.4">
      <c r="A948" s="1">
        <v>45827</v>
      </c>
      <c r="B948" t="s">
        <v>317</v>
      </c>
      <c r="C948">
        <v>24.95</v>
      </c>
      <c r="D948" s="2" t="s">
        <v>830</v>
      </c>
      <c r="E948" t="s">
        <v>317</v>
      </c>
      <c r="F948" s="2" t="s">
        <v>319</v>
      </c>
      <c r="G948" s="2" t="s">
        <v>41</v>
      </c>
      <c r="H948">
        <v>10285</v>
      </c>
      <c r="I948" t="s">
        <v>16</v>
      </c>
      <c r="J948" t="s">
        <v>831</v>
      </c>
      <c r="K948" t="s">
        <v>321</v>
      </c>
      <c r="L948" t="s">
        <v>2047</v>
      </c>
      <c r="M948">
        <f>VLOOKUP(SUBSTITUTE(J948,"'",""),Sheet1!L:M,2,FALSE)</f>
        <v>61131</v>
      </c>
    </row>
    <row r="949" spans="1:13" ht="13.5" customHeight="1" x14ac:dyDescent="0.4">
      <c r="A949" s="1">
        <v>45827</v>
      </c>
      <c r="B949" t="s">
        <v>22</v>
      </c>
      <c r="C949">
        <v>-2500</v>
      </c>
      <c r="D949" t="s">
        <v>22</v>
      </c>
      <c r="E949" t="s">
        <v>22</v>
      </c>
      <c r="J949" t="s">
        <v>829</v>
      </c>
      <c r="L949" t="s">
        <v>2047</v>
      </c>
      <c r="M949" t="e">
        <f>VLOOKUP(SUBSTITUTE(J949,"'",""),Sheet1!L:M,2,FALSE)</f>
        <v>#N/A</v>
      </c>
    </row>
    <row r="950" spans="1:13" ht="13.5" customHeight="1" x14ac:dyDescent="0.4">
      <c r="A950" s="1">
        <v>45827</v>
      </c>
      <c r="B950" t="s">
        <v>22</v>
      </c>
      <c r="C950">
        <v>-2500</v>
      </c>
      <c r="D950" t="s">
        <v>22</v>
      </c>
      <c r="E950" t="s">
        <v>22</v>
      </c>
      <c r="J950" t="s">
        <v>3563</v>
      </c>
      <c r="L950" t="s">
        <v>4673</v>
      </c>
      <c r="M950" t="e">
        <f>VLOOKUP(SUBSTITUTE(J950,"'",""),Sheet1!L:M,2,FALSE)</f>
        <v>#N/A</v>
      </c>
    </row>
    <row r="951" spans="1:13" ht="13.5" customHeight="1" x14ac:dyDescent="0.4">
      <c r="A951" s="1">
        <v>45827</v>
      </c>
      <c r="B951" t="s">
        <v>3558</v>
      </c>
      <c r="C951">
        <v>38.08</v>
      </c>
      <c r="D951" s="2" t="s">
        <v>3559</v>
      </c>
      <c r="E951" t="s">
        <v>3558</v>
      </c>
      <c r="F951" s="2" t="s">
        <v>2785</v>
      </c>
      <c r="G951" s="2" t="s">
        <v>2786</v>
      </c>
      <c r="H951">
        <v>10011</v>
      </c>
      <c r="I951" t="s">
        <v>16</v>
      </c>
      <c r="J951" t="s">
        <v>3560</v>
      </c>
      <c r="K951" t="s">
        <v>1304</v>
      </c>
      <c r="L951" t="s">
        <v>4673</v>
      </c>
      <c r="M951">
        <f>VLOOKUP(SUBSTITUTE(J951,"'",""),Sheet1!L:M,2,FALSE)</f>
        <v>54820</v>
      </c>
    </row>
    <row r="952" spans="1:13" ht="13.5" customHeight="1" x14ac:dyDescent="0.4">
      <c r="A952" s="1">
        <v>45827</v>
      </c>
      <c r="B952" t="s">
        <v>2934</v>
      </c>
      <c r="C952">
        <v>12.79</v>
      </c>
      <c r="D952" s="2" t="s">
        <v>3561</v>
      </c>
      <c r="E952" t="s">
        <v>2934</v>
      </c>
      <c r="F952" t="s">
        <v>2936</v>
      </c>
      <c r="G952" s="2" t="s">
        <v>41</v>
      </c>
      <c r="H952">
        <v>10003</v>
      </c>
      <c r="I952" t="s">
        <v>16</v>
      </c>
      <c r="J952" t="s">
        <v>3562</v>
      </c>
      <c r="K952" t="s">
        <v>305</v>
      </c>
      <c r="L952" t="s">
        <v>4673</v>
      </c>
      <c r="M952">
        <f>VLOOKUP(SUBSTITUTE(J952,"'",""),Sheet1!L:M,2,FALSE)</f>
        <v>54820</v>
      </c>
    </row>
    <row r="953" spans="1:13" ht="13.5" customHeight="1" x14ac:dyDescent="0.4">
      <c r="A953" s="1">
        <v>45828</v>
      </c>
      <c r="B953" t="s">
        <v>3554</v>
      </c>
      <c r="C953">
        <v>120.51</v>
      </c>
      <c r="D953" s="2" t="s">
        <v>3555</v>
      </c>
      <c r="E953" t="s">
        <v>3554</v>
      </c>
      <c r="F953" t="s">
        <v>3556</v>
      </c>
      <c r="G953" s="2" t="s">
        <v>41</v>
      </c>
      <c r="H953">
        <v>10012</v>
      </c>
      <c r="I953" t="s">
        <v>16</v>
      </c>
      <c r="J953" t="s">
        <v>3557</v>
      </c>
      <c r="K953" t="s">
        <v>2114</v>
      </c>
      <c r="L953" t="s">
        <v>4673</v>
      </c>
      <c r="M953">
        <f>VLOOKUP(SUBSTITUTE(J953,"'",""),Sheet1!L:M,2,FALSE)</f>
        <v>54820</v>
      </c>
    </row>
    <row r="954" spans="1:13" ht="13.5" customHeight="1" x14ac:dyDescent="0.4">
      <c r="A954" s="1">
        <v>45828</v>
      </c>
      <c r="B954" t="s">
        <v>2125</v>
      </c>
      <c r="C954">
        <v>13.9</v>
      </c>
      <c r="D954" s="2" t="s">
        <v>3552</v>
      </c>
      <c r="E954" t="s">
        <v>2125</v>
      </c>
      <c r="F954" t="s">
        <v>2127</v>
      </c>
      <c r="G954" s="2" t="s">
        <v>41</v>
      </c>
      <c r="H954">
        <v>10003</v>
      </c>
      <c r="I954" t="s">
        <v>16</v>
      </c>
      <c r="J954" t="s">
        <v>3553</v>
      </c>
      <c r="K954" t="s">
        <v>37</v>
      </c>
      <c r="L954" t="s">
        <v>4673</v>
      </c>
      <c r="M954">
        <f>VLOOKUP(SUBSTITUTE(J954,"'",""),Sheet1!L:M,2,FALSE)</f>
        <v>54820</v>
      </c>
    </row>
    <row r="955" spans="1:13" ht="13.5" customHeight="1" x14ac:dyDescent="0.4">
      <c r="A955" s="1">
        <v>45828</v>
      </c>
      <c r="B955" t="s">
        <v>106</v>
      </c>
      <c r="C955">
        <v>92.71</v>
      </c>
      <c r="D955" s="2" t="s">
        <v>827</v>
      </c>
      <c r="E955" t="s">
        <v>106</v>
      </c>
      <c r="F955" t="s">
        <v>108</v>
      </c>
      <c r="G955" s="2" t="s">
        <v>41</v>
      </c>
      <c r="H955">
        <v>10012</v>
      </c>
      <c r="I955" t="s">
        <v>16</v>
      </c>
      <c r="J955" t="s">
        <v>828</v>
      </c>
      <c r="K955" t="s">
        <v>110</v>
      </c>
      <c r="L955" t="s">
        <v>2047</v>
      </c>
      <c r="M955">
        <f>VLOOKUP(SUBSTITUTE(J955,"'",""),Sheet1!L:M,2,FALSE)</f>
        <v>67500</v>
      </c>
    </row>
    <row r="956" spans="1:13" ht="13.5" customHeight="1" x14ac:dyDescent="0.4">
      <c r="A956" s="1">
        <v>45829</v>
      </c>
      <c r="B956" t="s">
        <v>3543</v>
      </c>
      <c r="C956">
        <v>15</v>
      </c>
      <c r="D956" s="2" t="s">
        <v>3544</v>
      </c>
      <c r="E956" t="s">
        <v>3543</v>
      </c>
      <c r="F956" t="s">
        <v>2091</v>
      </c>
      <c r="G956" s="2" t="s">
        <v>2092</v>
      </c>
      <c r="H956">
        <v>19934</v>
      </c>
      <c r="I956" t="s">
        <v>16</v>
      </c>
      <c r="J956" t="s">
        <v>3545</v>
      </c>
      <c r="K956" t="s">
        <v>56</v>
      </c>
      <c r="L956" t="s">
        <v>4673</v>
      </c>
      <c r="M956">
        <f>VLOOKUP(SUBSTITUTE(J956,"'",""),Sheet1!L:M,2,FALSE)</f>
        <v>64100</v>
      </c>
    </row>
    <row r="957" spans="1:13" ht="13.5" customHeight="1" x14ac:dyDescent="0.4">
      <c r="A957" s="1">
        <v>45829</v>
      </c>
      <c r="B957" t="s">
        <v>2181</v>
      </c>
      <c r="C957">
        <v>70.61</v>
      </c>
      <c r="D957" s="2" t="s">
        <v>3541</v>
      </c>
      <c r="E957" t="s">
        <v>2181</v>
      </c>
      <c r="F957" s="2" t="s">
        <v>2183</v>
      </c>
      <c r="G957" s="2" t="s">
        <v>1376</v>
      </c>
      <c r="H957" t="s">
        <v>2184</v>
      </c>
      <c r="I957" t="s">
        <v>16</v>
      </c>
      <c r="J957" t="s">
        <v>3542</v>
      </c>
      <c r="K957" t="s">
        <v>18</v>
      </c>
      <c r="L957" t="s">
        <v>4673</v>
      </c>
      <c r="M957">
        <f>VLOOKUP(SUBSTITUTE(J957,"'",""),Sheet1!L:M,2,FALSE)</f>
        <v>54820</v>
      </c>
    </row>
    <row r="958" spans="1:13" ht="13.5" customHeight="1" x14ac:dyDescent="0.4">
      <c r="A958" s="1">
        <v>45829</v>
      </c>
      <c r="B958" t="s">
        <v>106</v>
      </c>
      <c r="C958">
        <v>19</v>
      </c>
      <c r="D958" s="2" t="s">
        <v>3548</v>
      </c>
      <c r="E958" t="s">
        <v>106</v>
      </c>
      <c r="F958" t="s">
        <v>108</v>
      </c>
      <c r="G958" s="2" t="s">
        <v>41</v>
      </c>
      <c r="H958">
        <v>10012</v>
      </c>
      <c r="I958" t="s">
        <v>16</v>
      </c>
      <c r="J958" t="s">
        <v>3549</v>
      </c>
      <c r="K958" t="s">
        <v>110</v>
      </c>
      <c r="L958" t="s">
        <v>4673</v>
      </c>
      <c r="M958">
        <f>VLOOKUP(SUBSTITUTE(J958,"'",""),Sheet1!L:M,2,FALSE)</f>
        <v>67500</v>
      </c>
    </row>
    <row r="959" spans="1:13" ht="13.5" customHeight="1" x14ac:dyDescent="0.4">
      <c r="A959" s="1">
        <v>45829</v>
      </c>
      <c r="B959" t="s">
        <v>2142</v>
      </c>
      <c r="C959">
        <v>23</v>
      </c>
      <c r="D959" s="2" t="s">
        <v>3546</v>
      </c>
      <c r="E959" t="s">
        <v>2142</v>
      </c>
      <c r="F959" t="s">
        <v>2144</v>
      </c>
      <c r="G959" s="2" t="s">
        <v>41</v>
      </c>
      <c r="H959">
        <v>10012</v>
      </c>
      <c r="I959" t="s">
        <v>16</v>
      </c>
      <c r="J959" t="s">
        <v>3547</v>
      </c>
      <c r="K959" t="s">
        <v>1304</v>
      </c>
      <c r="L959" t="s">
        <v>4673</v>
      </c>
      <c r="M959">
        <f>VLOOKUP(SUBSTITUTE(J959,"'",""),Sheet1!L:M,2,FALSE)</f>
        <v>54820</v>
      </c>
    </row>
    <row r="960" spans="1:13" ht="13.5" customHeight="1" x14ac:dyDescent="0.4">
      <c r="A960" s="1">
        <v>45829</v>
      </c>
      <c r="B960" t="s">
        <v>2240</v>
      </c>
      <c r="C960">
        <v>117.34</v>
      </c>
      <c r="D960" s="2" t="s">
        <v>3550</v>
      </c>
      <c r="E960" t="s">
        <v>2240</v>
      </c>
      <c r="F960" t="s">
        <v>2242</v>
      </c>
      <c r="G960" s="2" t="s">
        <v>41</v>
      </c>
      <c r="H960">
        <v>10003</v>
      </c>
      <c r="I960" t="s">
        <v>16</v>
      </c>
      <c r="J960" t="s">
        <v>3551</v>
      </c>
      <c r="K960" t="s">
        <v>1218</v>
      </c>
      <c r="L960" t="s">
        <v>4673</v>
      </c>
      <c r="M960">
        <f>VLOOKUP(SUBSTITUTE(J960,"'",""),Sheet1!L:M,2,FALSE)</f>
        <v>54820</v>
      </c>
    </row>
    <row r="961" spans="1:13" ht="13.5" customHeight="1" x14ac:dyDescent="0.4">
      <c r="A961" s="1">
        <v>45830</v>
      </c>
      <c r="B961" t="s">
        <v>605</v>
      </c>
      <c r="C961">
        <v>22.79</v>
      </c>
      <c r="D961" s="2" t="s">
        <v>823</v>
      </c>
      <c r="E961" t="s">
        <v>605</v>
      </c>
      <c r="F961" s="2" t="s">
        <v>607</v>
      </c>
      <c r="H961" t="s">
        <v>608</v>
      </c>
      <c r="I961" t="s">
        <v>609</v>
      </c>
      <c r="J961" t="s">
        <v>824</v>
      </c>
      <c r="K961" t="s">
        <v>483</v>
      </c>
      <c r="L961" t="s">
        <v>2047</v>
      </c>
      <c r="M961">
        <f>VLOOKUP(SUBSTITUTE(J961,"'",""),Sheet1!L:M,2,FALSE)</f>
        <v>61130</v>
      </c>
    </row>
    <row r="962" spans="1:13" ht="13.5" customHeight="1" x14ac:dyDescent="0.4">
      <c r="A962" s="1">
        <v>45830</v>
      </c>
      <c r="B962" t="s">
        <v>478</v>
      </c>
      <c r="C962">
        <v>185.72</v>
      </c>
      <c r="D962" s="2" t="s">
        <v>825</v>
      </c>
      <c r="E962" t="s">
        <v>480</v>
      </c>
      <c r="F962" s="2" t="s">
        <v>481</v>
      </c>
      <c r="G962" s="2" t="s">
        <v>35</v>
      </c>
      <c r="H962">
        <v>94103</v>
      </c>
      <c r="I962" t="s">
        <v>16</v>
      </c>
      <c r="J962" t="s">
        <v>826</v>
      </c>
      <c r="K962" t="s">
        <v>483</v>
      </c>
      <c r="L962" t="s">
        <v>2047</v>
      </c>
      <c r="M962">
        <f>VLOOKUP(SUBSTITUTE(J962,"'",""),Sheet1!L:M,2,FALSE)</f>
        <v>61130</v>
      </c>
    </row>
    <row r="963" spans="1:13" ht="13.5" customHeight="1" x14ac:dyDescent="0.4">
      <c r="A963" s="1">
        <v>45830</v>
      </c>
      <c r="B963" t="s">
        <v>32</v>
      </c>
      <c r="C963">
        <v>21.4</v>
      </c>
      <c r="D963" s="2" t="s">
        <v>821</v>
      </c>
      <c r="E963" t="s">
        <v>32</v>
      </c>
      <c r="F963" s="2" t="s">
        <v>34</v>
      </c>
      <c r="G963" s="2" t="s">
        <v>35</v>
      </c>
      <c r="H963">
        <v>94110</v>
      </c>
      <c r="I963" t="s">
        <v>16</v>
      </c>
      <c r="J963" t="s">
        <v>822</v>
      </c>
      <c r="K963" t="s">
        <v>37</v>
      </c>
      <c r="L963" t="s">
        <v>2047</v>
      </c>
      <c r="M963">
        <f>VLOOKUP(SUBSTITUTE(J963,"'",""),Sheet1!L:M,2,FALSE)</f>
        <v>64100</v>
      </c>
    </row>
    <row r="964" spans="1:13" ht="13.5" customHeight="1" x14ac:dyDescent="0.4">
      <c r="A964" s="1">
        <v>45830</v>
      </c>
      <c r="B964" t="s">
        <v>816</v>
      </c>
      <c r="C964">
        <v>2331.4</v>
      </c>
      <c r="D964" s="2" t="s">
        <v>817</v>
      </c>
      <c r="E964" t="s">
        <v>816</v>
      </c>
      <c r="F964" t="s">
        <v>818</v>
      </c>
      <c r="G964" s="2" t="s">
        <v>819</v>
      </c>
      <c r="H964">
        <v>30354</v>
      </c>
      <c r="I964" t="s">
        <v>16</v>
      </c>
      <c r="J964" t="s">
        <v>820</v>
      </c>
      <c r="K964" t="s">
        <v>682</v>
      </c>
      <c r="L964" t="s">
        <v>2047</v>
      </c>
      <c r="M964">
        <f>VLOOKUP(SUBSTITUTE(J964,"'",""),Sheet1!L:M,2,FALSE)</f>
        <v>61120</v>
      </c>
    </row>
    <row r="965" spans="1:13" ht="13.5" customHeight="1" x14ac:dyDescent="0.4">
      <c r="A965" s="1">
        <v>45830</v>
      </c>
      <c r="B965" t="s">
        <v>3535</v>
      </c>
      <c r="C965">
        <v>92.55</v>
      </c>
      <c r="D965" s="2" t="s">
        <v>3536</v>
      </c>
      <c r="E965" t="s">
        <v>3535</v>
      </c>
      <c r="F965" t="s">
        <v>3537</v>
      </c>
      <c r="G965" s="2" t="s">
        <v>41</v>
      </c>
      <c r="H965">
        <v>10014</v>
      </c>
      <c r="I965" t="s">
        <v>16</v>
      </c>
      <c r="J965" t="s">
        <v>3538</v>
      </c>
      <c r="K965" t="s">
        <v>37</v>
      </c>
      <c r="L965" t="s">
        <v>4673</v>
      </c>
      <c r="M965">
        <f>VLOOKUP(SUBSTITUTE(J965,"'",""),Sheet1!L:M,2,FALSE)</f>
        <v>64100</v>
      </c>
    </row>
    <row r="966" spans="1:13" ht="13.5" customHeight="1" x14ac:dyDescent="0.4">
      <c r="A966" s="1">
        <v>45830</v>
      </c>
      <c r="B966" t="s">
        <v>3535</v>
      </c>
      <c r="C966">
        <v>182.9</v>
      </c>
      <c r="D966" s="2" t="s">
        <v>3539</v>
      </c>
      <c r="E966" t="s">
        <v>3535</v>
      </c>
      <c r="F966" t="s">
        <v>3537</v>
      </c>
      <c r="G966" s="2" t="s">
        <v>41</v>
      </c>
      <c r="H966">
        <v>10014</v>
      </c>
      <c r="I966" t="s">
        <v>16</v>
      </c>
      <c r="J966" t="s">
        <v>3540</v>
      </c>
      <c r="K966" t="s">
        <v>37</v>
      </c>
      <c r="L966" t="s">
        <v>4673</v>
      </c>
      <c r="M966">
        <f>VLOOKUP(SUBSTITUTE(J966,"'",""),Sheet1!L:M,2,FALSE)</f>
        <v>64100</v>
      </c>
    </row>
    <row r="967" spans="1:13" ht="13.5" customHeight="1" x14ac:dyDescent="0.4">
      <c r="A967" s="1">
        <v>45831</v>
      </c>
      <c r="B967" t="s">
        <v>22</v>
      </c>
      <c r="C967">
        <v>-2500</v>
      </c>
      <c r="D967" t="s">
        <v>22</v>
      </c>
      <c r="E967" t="s">
        <v>22</v>
      </c>
      <c r="J967" t="s">
        <v>3534</v>
      </c>
      <c r="L967" t="s">
        <v>4673</v>
      </c>
      <c r="M967" t="e">
        <f>VLOOKUP(SUBSTITUTE(J967,"'",""),Sheet1!L:M,2,FALSE)</f>
        <v>#N/A</v>
      </c>
    </row>
    <row r="968" spans="1:13" ht="13.5" customHeight="1" x14ac:dyDescent="0.4">
      <c r="A968" s="1">
        <v>45831</v>
      </c>
      <c r="B968" t="s">
        <v>22</v>
      </c>
      <c r="C968">
        <v>-2500</v>
      </c>
      <c r="D968" t="s">
        <v>22</v>
      </c>
      <c r="E968" t="s">
        <v>22</v>
      </c>
      <c r="J968" t="s">
        <v>815</v>
      </c>
      <c r="L968" t="s">
        <v>2047</v>
      </c>
      <c r="M968" t="e">
        <f>VLOOKUP(SUBSTITUTE(J968,"'",""),Sheet1!L:M,2,FALSE)</f>
        <v>#N/A</v>
      </c>
    </row>
    <row r="969" spans="1:13" ht="13.5" customHeight="1" x14ac:dyDescent="0.4">
      <c r="A969" s="1">
        <v>45831</v>
      </c>
      <c r="B969" t="s">
        <v>2181</v>
      </c>
      <c r="C969">
        <v>73.37</v>
      </c>
      <c r="D969" s="2" t="s">
        <v>3528</v>
      </c>
      <c r="E969" t="s">
        <v>2181</v>
      </c>
      <c r="F969" s="2" t="s">
        <v>2183</v>
      </c>
      <c r="G969" s="2" t="s">
        <v>1376</v>
      </c>
      <c r="H969" t="s">
        <v>2184</v>
      </c>
      <c r="I969" t="s">
        <v>16</v>
      </c>
      <c r="J969" t="s">
        <v>3529</v>
      </c>
      <c r="K969" t="s">
        <v>18</v>
      </c>
      <c r="L969" t="s">
        <v>4673</v>
      </c>
      <c r="M969">
        <f>VLOOKUP(SUBSTITUTE(J969,"'",""),Sheet1!L:M,2,FALSE)</f>
        <v>54820</v>
      </c>
    </row>
    <row r="970" spans="1:13" ht="13.5" customHeight="1" x14ac:dyDescent="0.4">
      <c r="A970" s="1">
        <v>45831</v>
      </c>
      <c r="B970" t="s">
        <v>977</v>
      </c>
      <c r="C970">
        <v>10</v>
      </c>
      <c r="D970" s="2" t="s">
        <v>3530</v>
      </c>
      <c r="E970" t="s">
        <v>977</v>
      </c>
      <c r="F970" s="2" t="s">
        <v>979</v>
      </c>
      <c r="G970" s="2" t="s">
        <v>980</v>
      </c>
      <c r="H970">
        <v>78259</v>
      </c>
      <c r="I970" t="s">
        <v>16</v>
      </c>
      <c r="J970" t="s">
        <v>3531</v>
      </c>
      <c r="K970" t="s">
        <v>164</v>
      </c>
      <c r="L970" t="s">
        <v>4673</v>
      </c>
      <c r="M970">
        <f>VLOOKUP(SUBSTITUTE(J970,"'",""),Sheet1!L:M,2,FALSE)</f>
        <v>54820</v>
      </c>
    </row>
    <row r="971" spans="1:13" ht="13.5" customHeight="1" x14ac:dyDescent="0.4">
      <c r="A971" s="1">
        <v>45831</v>
      </c>
      <c r="B971" t="s">
        <v>2142</v>
      </c>
      <c r="C971">
        <v>15</v>
      </c>
      <c r="D971" s="2" t="s">
        <v>3532</v>
      </c>
      <c r="E971" t="s">
        <v>2142</v>
      </c>
      <c r="F971" t="s">
        <v>2144</v>
      </c>
      <c r="G971" s="2" t="s">
        <v>41</v>
      </c>
      <c r="H971">
        <v>10012</v>
      </c>
      <c r="I971" t="s">
        <v>16</v>
      </c>
      <c r="J971" t="s">
        <v>3533</v>
      </c>
      <c r="K971" t="s">
        <v>1304</v>
      </c>
      <c r="L971" t="s">
        <v>4673</v>
      </c>
      <c r="M971">
        <f>VLOOKUP(SUBSTITUTE(J971,"'",""),Sheet1!L:M,2,FALSE)</f>
        <v>54820</v>
      </c>
    </row>
    <row r="972" spans="1:13" ht="13.5" customHeight="1" x14ac:dyDescent="0.4">
      <c r="A972" s="1">
        <v>45832</v>
      </c>
      <c r="B972" t="s">
        <v>605</v>
      </c>
      <c r="C972">
        <v>20.87</v>
      </c>
      <c r="D972" s="2" t="s">
        <v>813</v>
      </c>
      <c r="E972" t="s">
        <v>605</v>
      </c>
      <c r="F972" s="2" t="s">
        <v>607</v>
      </c>
      <c r="H972" t="s">
        <v>608</v>
      </c>
      <c r="I972" t="s">
        <v>609</v>
      </c>
      <c r="J972" t="s">
        <v>814</v>
      </c>
      <c r="K972" t="s">
        <v>483</v>
      </c>
      <c r="L972" t="s">
        <v>2047</v>
      </c>
      <c r="M972">
        <f>VLOOKUP(SUBSTITUTE(J972,"'",""),Sheet1!L:M,2,FALSE)</f>
        <v>61130</v>
      </c>
    </row>
    <row r="973" spans="1:13" ht="13.5" customHeight="1" x14ac:dyDescent="0.4">
      <c r="A973" s="1">
        <v>45832</v>
      </c>
      <c r="B973" t="s">
        <v>3177</v>
      </c>
      <c r="C973">
        <v>20.76</v>
      </c>
      <c r="D973" s="2" t="s">
        <v>3519</v>
      </c>
      <c r="E973" t="s">
        <v>3177</v>
      </c>
      <c r="F973" s="2" t="s">
        <v>3179</v>
      </c>
      <c r="H973">
        <v>14270</v>
      </c>
      <c r="I973" t="s">
        <v>761</v>
      </c>
      <c r="J973" t="s">
        <v>3520</v>
      </c>
      <c r="K973" t="s">
        <v>110</v>
      </c>
      <c r="L973" t="s">
        <v>4673</v>
      </c>
      <c r="M973">
        <f>VLOOKUP(SUBSTITUTE(J973,"'",""),Sheet1!L:M,2,FALSE)</f>
        <v>54820</v>
      </c>
    </row>
    <row r="974" spans="1:13" ht="13.5" customHeight="1" x14ac:dyDescent="0.4">
      <c r="A974" s="1">
        <v>45832</v>
      </c>
      <c r="B974" t="s">
        <v>2764</v>
      </c>
      <c r="C974">
        <v>8.66</v>
      </c>
      <c r="D974" s="2" t="s">
        <v>3517</v>
      </c>
      <c r="E974" t="s">
        <v>2764</v>
      </c>
      <c r="F974" t="s">
        <v>2766</v>
      </c>
      <c r="G974" s="2" t="s">
        <v>41</v>
      </c>
      <c r="H974">
        <v>10011</v>
      </c>
      <c r="I974" t="s">
        <v>16</v>
      </c>
      <c r="J974" t="s">
        <v>3518</v>
      </c>
      <c r="K974" t="s">
        <v>305</v>
      </c>
      <c r="L974" t="s">
        <v>4673</v>
      </c>
      <c r="M974">
        <f>VLOOKUP(SUBSTITUTE(J974,"'",""),Sheet1!L:M,2,FALSE)</f>
        <v>54820</v>
      </c>
    </row>
    <row r="975" spans="1:13" ht="13.5" customHeight="1" x14ac:dyDescent="0.4">
      <c r="A975" s="1">
        <v>45832</v>
      </c>
      <c r="B975" t="s">
        <v>3523</v>
      </c>
      <c r="C975">
        <v>40</v>
      </c>
      <c r="D975" s="2" t="s">
        <v>3524</v>
      </c>
      <c r="E975" t="s">
        <v>3523</v>
      </c>
      <c r="F975" s="2" t="s">
        <v>3525</v>
      </c>
      <c r="G975" s="2" t="s">
        <v>3526</v>
      </c>
      <c r="H975">
        <v>90230</v>
      </c>
      <c r="I975" t="s">
        <v>16</v>
      </c>
      <c r="J975" t="s">
        <v>3527</v>
      </c>
      <c r="K975" t="s">
        <v>2335</v>
      </c>
      <c r="L975" t="s">
        <v>4673</v>
      </c>
      <c r="M975">
        <f>VLOOKUP(SUBSTITUTE(J975,"'",""),Sheet1!L:M,2,FALSE)</f>
        <v>54820</v>
      </c>
    </row>
    <row r="976" spans="1:13" ht="13.5" customHeight="1" x14ac:dyDescent="0.4">
      <c r="A976" s="1">
        <v>45832</v>
      </c>
      <c r="B976" t="s">
        <v>2934</v>
      </c>
      <c r="C976">
        <v>12.79</v>
      </c>
      <c r="D976" s="2" t="s">
        <v>3521</v>
      </c>
      <c r="E976" t="s">
        <v>2934</v>
      </c>
      <c r="F976" t="s">
        <v>2936</v>
      </c>
      <c r="G976" s="2" t="s">
        <v>41</v>
      </c>
      <c r="H976">
        <v>10003</v>
      </c>
      <c r="I976" t="s">
        <v>16</v>
      </c>
      <c r="J976" t="s">
        <v>3522</v>
      </c>
      <c r="K976" t="s">
        <v>305</v>
      </c>
      <c r="L976" t="s">
        <v>4673</v>
      </c>
      <c r="M976">
        <f>VLOOKUP(SUBSTITUTE(J976,"'",""),Sheet1!L:M,2,FALSE)</f>
        <v>54820</v>
      </c>
    </row>
    <row r="977" spans="1:13" ht="13.5" customHeight="1" x14ac:dyDescent="0.4">
      <c r="A977" s="1">
        <v>45833</v>
      </c>
      <c r="B977" t="s">
        <v>448</v>
      </c>
      <c r="C977">
        <v>7.2</v>
      </c>
      <c r="D977" s="2" t="s">
        <v>807</v>
      </c>
      <c r="E977" t="s">
        <v>448</v>
      </c>
      <c r="F977" t="s">
        <v>29</v>
      </c>
      <c r="G977" t="e">
        <f>-
NY</f>
        <v>#NAME?</v>
      </c>
      <c r="H977">
        <v>11577</v>
      </c>
      <c r="I977" t="s">
        <v>16</v>
      </c>
      <c r="J977" t="s">
        <v>808</v>
      </c>
      <c r="K977" t="s">
        <v>31</v>
      </c>
      <c r="L977" t="s">
        <v>2047</v>
      </c>
      <c r="M977">
        <f>VLOOKUP(SUBSTITUTE(J977,"'",""),Sheet1!L:M,2,FALSE)</f>
        <v>61131</v>
      </c>
    </row>
    <row r="978" spans="1:13" ht="13.5" customHeight="1" x14ac:dyDescent="0.4">
      <c r="A978" s="1">
        <v>45833</v>
      </c>
      <c r="B978" t="s">
        <v>3406</v>
      </c>
      <c r="C978">
        <v>34.42</v>
      </c>
      <c r="D978" s="2" t="s">
        <v>3515</v>
      </c>
      <c r="E978" t="s">
        <v>3406</v>
      </c>
      <c r="F978" t="s">
        <v>3408</v>
      </c>
      <c r="G978" s="2" t="s">
        <v>41</v>
      </c>
      <c r="H978">
        <v>10012</v>
      </c>
      <c r="I978" t="s">
        <v>16</v>
      </c>
      <c r="J978" t="s">
        <v>3516</v>
      </c>
      <c r="K978" t="s">
        <v>1218</v>
      </c>
      <c r="L978" t="s">
        <v>4673</v>
      </c>
      <c r="M978">
        <f>VLOOKUP(SUBSTITUTE(J978,"'",""),Sheet1!L:M,2,FALSE)</f>
        <v>54820</v>
      </c>
    </row>
    <row r="979" spans="1:13" ht="13.5" customHeight="1" x14ac:dyDescent="0.4">
      <c r="A979" s="1">
        <v>45833</v>
      </c>
      <c r="B979" t="s">
        <v>809</v>
      </c>
      <c r="C979">
        <v>1011.02</v>
      </c>
      <c r="D979" s="2" t="s">
        <v>810</v>
      </c>
      <c r="E979" t="s">
        <v>809</v>
      </c>
      <c r="F979" s="2" t="s">
        <v>811</v>
      </c>
      <c r="H979">
        <v>75016</v>
      </c>
      <c r="I979" t="s">
        <v>761</v>
      </c>
      <c r="J979" t="s">
        <v>812</v>
      </c>
      <c r="K979" t="s">
        <v>50</v>
      </c>
      <c r="L979" t="s">
        <v>2047</v>
      </c>
      <c r="M979">
        <f>VLOOKUP(SUBSTITUTE(J979,"'",""),Sheet1!L:M,2,FALSE)</f>
        <v>54820</v>
      </c>
    </row>
    <row r="980" spans="1:13" ht="13.5" customHeight="1" x14ac:dyDescent="0.4">
      <c r="A980" s="1">
        <v>45834</v>
      </c>
      <c r="B980" t="s">
        <v>804</v>
      </c>
      <c r="C980">
        <v>10.99</v>
      </c>
      <c r="D980" s="2" t="s">
        <v>805</v>
      </c>
      <c r="E980" t="s">
        <v>804</v>
      </c>
      <c r="F980" t="s">
        <v>13</v>
      </c>
      <c r="G980" s="2" t="s">
        <v>14</v>
      </c>
      <c r="H980" t="s">
        <v>15</v>
      </c>
      <c r="I980" t="s">
        <v>16</v>
      </c>
      <c r="J980" t="s">
        <v>806</v>
      </c>
      <c r="K980" t="s">
        <v>18</v>
      </c>
      <c r="L980" t="s">
        <v>2047</v>
      </c>
      <c r="M980">
        <f>VLOOKUP(SUBSTITUTE(J980,"'",""),Sheet1!L:M,2,FALSE)</f>
        <v>54820</v>
      </c>
    </row>
    <row r="981" spans="1:13" ht="13.5" customHeight="1" x14ac:dyDescent="0.4">
      <c r="A981" s="1">
        <v>45834</v>
      </c>
      <c r="B981" t="s">
        <v>2592</v>
      </c>
      <c r="C981">
        <v>9</v>
      </c>
      <c r="D981" s="2" t="s">
        <v>3513</v>
      </c>
      <c r="E981" t="s">
        <v>2592</v>
      </c>
      <c r="F981" t="s">
        <v>2594</v>
      </c>
      <c r="G981" s="2" t="s">
        <v>41</v>
      </c>
      <c r="H981">
        <v>10012</v>
      </c>
      <c r="I981" t="s">
        <v>16</v>
      </c>
      <c r="J981" t="s">
        <v>3514</v>
      </c>
      <c r="K981" t="s">
        <v>1218</v>
      </c>
      <c r="L981" t="s">
        <v>4673</v>
      </c>
      <c r="M981">
        <f>VLOOKUP(SUBSTITUTE(J981,"'",""),Sheet1!L:M,2,FALSE)</f>
        <v>54820</v>
      </c>
    </row>
    <row r="982" spans="1:13" ht="13.5" customHeight="1" x14ac:dyDescent="0.4">
      <c r="A982" s="1">
        <v>45834</v>
      </c>
      <c r="B982" t="s">
        <v>3151</v>
      </c>
      <c r="C982">
        <v>77.02</v>
      </c>
      <c r="D982" s="2" t="s">
        <v>3505</v>
      </c>
      <c r="E982" t="s">
        <v>3151</v>
      </c>
      <c r="F982" t="s">
        <v>2743</v>
      </c>
      <c r="G982" s="2" t="s">
        <v>41</v>
      </c>
      <c r="H982">
        <v>10003</v>
      </c>
      <c r="I982" t="s">
        <v>16</v>
      </c>
      <c r="J982" t="s">
        <v>3506</v>
      </c>
      <c r="K982" t="s">
        <v>207</v>
      </c>
      <c r="L982" t="s">
        <v>4673</v>
      </c>
      <c r="M982">
        <f>VLOOKUP(SUBSTITUTE(J982,"'",""),Sheet1!L:M,2,FALSE)</f>
        <v>54820</v>
      </c>
    </row>
    <row r="983" spans="1:13" ht="13.5" customHeight="1" x14ac:dyDescent="0.4">
      <c r="A983" s="1">
        <v>45834</v>
      </c>
      <c r="B983" t="s">
        <v>3507</v>
      </c>
      <c r="C983">
        <v>400</v>
      </c>
      <c r="D983" s="2" t="s">
        <v>3508</v>
      </c>
      <c r="E983" t="s">
        <v>3507</v>
      </c>
      <c r="F983" s="2" t="s">
        <v>3509</v>
      </c>
      <c r="G983" s="2" t="s">
        <v>41</v>
      </c>
      <c r="H983">
        <v>10005</v>
      </c>
      <c r="I983" t="s">
        <v>16</v>
      </c>
      <c r="J983" t="s">
        <v>3510</v>
      </c>
      <c r="K983" t="s">
        <v>126</v>
      </c>
      <c r="L983" t="s">
        <v>4673</v>
      </c>
      <c r="M983">
        <f>VLOOKUP(SUBSTITUTE(J983,"'",""),Sheet1!L:M,2,FALSE)</f>
        <v>61215</v>
      </c>
    </row>
    <row r="984" spans="1:13" ht="13.5" customHeight="1" x14ac:dyDescent="0.4">
      <c r="A984" s="1">
        <v>45834</v>
      </c>
      <c r="B984" t="s">
        <v>1792</v>
      </c>
      <c r="C984">
        <v>16.05</v>
      </c>
      <c r="D984" s="2" t="s">
        <v>3497</v>
      </c>
      <c r="E984" t="s">
        <v>1792</v>
      </c>
      <c r="F984" t="s">
        <v>1794</v>
      </c>
      <c r="G984" s="2" t="s">
        <v>35</v>
      </c>
      <c r="H984">
        <v>94105</v>
      </c>
      <c r="I984" t="s">
        <v>16</v>
      </c>
      <c r="J984" t="s">
        <v>3498</v>
      </c>
      <c r="K984" t="s">
        <v>37</v>
      </c>
      <c r="L984" t="s">
        <v>4673</v>
      </c>
      <c r="M984">
        <f>VLOOKUP(SUBSTITUTE(J984,"'",""),Sheet1!L:M,2,FALSE)</f>
        <v>64100</v>
      </c>
    </row>
    <row r="985" spans="1:13" ht="13.5" customHeight="1" x14ac:dyDescent="0.4">
      <c r="A985" s="1">
        <v>45834</v>
      </c>
      <c r="B985" t="s">
        <v>2764</v>
      </c>
      <c r="C985">
        <v>7.57</v>
      </c>
      <c r="D985" s="2" t="s">
        <v>3495</v>
      </c>
      <c r="E985" t="s">
        <v>2764</v>
      </c>
      <c r="F985" t="s">
        <v>2766</v>
      </c>
      <c r="G985" s="2" t="s">
        <v>41</v>
      </c>
      <c r="H985">
        <v>10011</v>
      </c>
      <c r="I985" t="s">
        <v>16</v>
      </c>
      <c r="J985" t="s">
        <v>3496</v>
      </c>
      <c r="K985" t="s">
        <v>305</v>
      </c>
      <c r="L985" t="s">
        <v>4673</v>
      </c>
      <c r="M985">
        <f>VLOOKUP(SUBSTITUTE(J985,"'",""),Sheet1!L:M,2,FALSE)</f>
        <v>54820</v>
      </c>
    </row>
    <row r="986" spans="1:13" ht="13.5" customHeight="1" x14ac:dyDescent="0.4">
      <c r="A986" s="1">
        <v>45834</v>
      </c>
      <c r="B986" t="s">
        <v>3507</v>
      </c>
      <c r="C986">
        <v>400</v>
      </c>
      <c r="D986" s="2" t="s">
        <v>3511</v>
      </c>
      <c r="E986" t="s">
        <v>3507</v>
      </c>
      <c r="F986" s="2" t="s">
        <v>3509</v>
      </c>
      <c r="G986" s="2" t="s">
        <v>41</v>
      </c>
      <c r="H986">
        <v>10005</v>
      </c>
      <c r="I986" t="s">
        <v>16</v>
      </c>
      <c r="J986" t="s">
        <v>3512</v>
      </c>
      <c r="K986" t="s">
        <v>126</v>
      </c>
      <c r="L986" t="s">
        <v>4673</v>
      </c>
      <c r="M986">
        <f>VLOOKUP(SUBSTITUTE(J986,"'",""),Sheet1!L:M,2,FALSE)</f>
        <v>61215</v>
      </c>
    </row>
    <row r="987" spans="1:13" ht="13.5" customHeight="1" x14ac:dyDescent="0.4">
      <c r="A987" s="1">
        <v>45834</v>
      </c>
      <c r="B987" t="s">
        <v>2158</v>
      </c>
      <c r="C987">
        <v>200</v>
      </c>
      <c r="D987" s="2" t="s">
        <v>3503</v>
      </c>
      <c r="E987" t="s">
        <v>2158</v>
      </c>
      <c r="F987" s="2" t="s">
        <v>3032</v>
      </c>
      <c r="G987" s="2" t="s">
        <v>41</v>
      </c>
      <c r="H987">
        <v>10017</v>
      </c>
      <c r="I987" t="s">
        <v>16</v>
      </c>
      <c r="J987" t="s">
        <v>3504</v>
      </c>
      <c r="K987" t="s">
        <v>116</v>
      </c>
      <c r="L987" t="s">
        <v>4673</v>
      </c>
      <c r="M987">
        <f>VLOOKUP(SUBSTITUTE(J987,"'",""),Sheet1!L:M,2,FALSE)</f>
        <v>54820</v>
      </c>
    </row>
    <row r="988" spans="1:13" ht="13.5" customHeight="1" x14ac:dyDescent="0.4">
      <c r="A988" s="1">
        <v>45834</v>
      </c>
      <c r="B988" t="s">
        <v>3499</v>
      </c>
      <c r="C988">
        <v>184</v>
      </c>
      <c r="D988" s="2" t="s">
        <v>3500</v>
      </c>
      <c r="E988" t="s">
        <v>3499</v>
      </c>
      <c r="F988" s="2" t="s">
        <v>3501</v>
      </c>
      <c r="G988" s="2" t="s">
        <v>2786</v>
      </c>
      <c r="H988">
        <v>10016</v>
      </c>
      <c r="I988" t="s">
        <v>16</v>
      </c>
      <c r="J988" t="s">
        <v>3502</v>
      </c>
      <c r="K988" t="s">
        <v>110</v>
      </c>
      <c r="L988" t="s">
        <v>4673</v>
      </c>
      <c r="M988">
        <f>VLOOKUP(SUBSTITUTE(J988,"'",""),Sheet1!L:M,2,FALSE)</f>
        <v>67500</v>
      </c>
    </row>
    <row r="989" spans="1:13" ht="13.5" customHeight="1" x14ac:dyDescent="0.4">
      <c r="A989" s="1">
        <v>45835</v>
      </c>
      <c r="B989" t="s">
        <v>3490</v>
      </c>
      <c r="C989">
        <v>591</v>
      </c>
      <c r="D989" s="2" t="s">
        <v>3491</v>
      </c>
      <c r="E989" t="s">
        <v>3490</v>
      </c>
      <c r="F989" s="2" t="s">
        <v>3492</v>
      </c>
      <c r="G989" s="2" t="s">
        <v>41</v>
      </c>
      <c r="H989" t="s">
        <v>3493</v>
      </c>
      <c r="I989" t="s">
        <v>16</v>
      </c>
      <c r="J989" t="s">
        <v>3494</v>
      </c>
      <c r="K989" t="s">
        <v>2710</v>
      </c>
      <c r="L989" t="s">
        <v>4673</v>
      </c>
      <c r="M989">
        <f>VLOOKUP(SUBSTITUTE(J989,"'",""),Sheet1!L:M,2,FALSE)</f>
        <v>54820</v>
      </c>
    </row>
    <row r="990" spans="1:13" ht="13.5" customHeight="1" x14ac:dyDescent="0.4">
      <c r="A990" s="1">
        <v>45835</v>
      </c>
      <c r="B990" t="s">
        <v>2934</v>
      </c>
      <c r="C990">
        <v>12.79</v>
      </c>
      <c r="D990" s="2" t="s">
        <v>3484</v>
      </c>
      <c r="E990" t="s">
        <v>2934</v>
      </c>
      <c r="F990" t="s">
        <v>2936</v>
      </c>
      <c r="G990" s="2" t="s">
        <v>41</v>
      </c>
      <c r="H990">
        <v>10003</v>
      </c>
      <c r="I990" t="s">
        <v>16</v>
      </c>
      <c r="J990" t="s">
        <v>3485</v>
      </c>
      <c r="K990" t="s">
        <v>305</v>
      </c>
      <c r="L990" t="s">
        <v>4673</v>
      </c>
      <c r="M990">
        <f>VLOOKUP(SUBSTITUTE(J990,"'",""),Sheet1!L:M,2,FALSE)</f>
        <v>54820</v>
      </c>
    </row>
    <row r="991" spans="1:13" ht="13.5" customHeight="1" x14ac:dyDescent="0.4">
      <c r="A991" s="1">
        <v>45835</v>
      </c>
      <c r="B991" t="s">
        <v>2146</v>
      </c>
      <c r="C991">
        <v>41.72</v>
      </c>
      <c r="D991" s="2" t="s">
        <v>3482</v>
      </c>
      <c r="E991" t="s">
        <v>2146</v>
      </c>
      <c r="F991" t="s">
        <v>2148</v>
      </c>
      <c r="G991" s="2" t="s">
        <v>2149</v>
      </c>
      <c r="H991" s="3" t="s">
        <v>2150</v>
      </c>
      <c r="I991" t="s">
        <v>16</v>
      </c>
      <c r="J991" t="s">
        <v>3483</v>
      </c>
      <c r="K991" t="s">
        <v>1904</v>
      </c>
      <c r="L991" t="s">
        <v>4673</v>
      </c>
      <c r="M991">
        <f>VLOOKUP(SUBSTITUTE(J991,"'",""),Sheet1!L:M,2,FALSE)</f>
        <v>67500</v>
      </c>
    </row>
    <row r="992" spans="1:13" ht="13.5" customHeight="1" x14ac:dyDescent="0.4">
      <c r="A992" s="1">
        <v>45835</v>
      </c>
      <c r="B992" t="s">
        <v>3486</v>
      </c>
      <c r="C992">
        <v>23.43</v>
      </c>
      <c r="D992" s="2" t="s">
        <v>3487</v>
      </c>
      <c r="E992" t="s">
        <v>3486</v>
      </c>
      <c r="F992" t="s">
        <v>3488</v>
      </c>
      <c r="G992" s="2" t="s">
        <v>41</v>
      </c>
      <c r="H992">
        <v>10012</v>
      </c>
      <c r="I992" t="s">
        <v>16</v>
      </c>
      <c r="J992" t="s">
        <v>3489</v>
      </c>
      <c r="K992" t="s">
        <v>174</v>
      </c>
      <c r="L992" t="s">
        <v>4673</v>
      </c>
      <c r="M992">
        <f>VLOOKUP(SUBSTITUTE(J992,"'",""),Sheet1!L:M,2,FALSE)</f>
        <v>54820</v>
      </c>
    </row>
    <row r="993" spans="1:13" ht="13.5" customHeight="1" x14ac:dyDescent="0.4">
      <c r="A993" s="1">
        <v>45836</v>
      </c>
      <c r="B993" t="s">
        <v>3468</v>
      </c>
      <c r="C993">
        <v>904.55</v>
      </c>
      <c r="D993" s="2" t="s">
        <v>3469</v>
      </c>
      <c r="E993" t="s">
        <v>3468</v>
      </c>
      <c r="F993" s="2" t="s">
        <v>3470</v>
      </c>
      <c r="G993" s="2" t="s">
        <v>41</v>
      </c>
      <c r="H993">
        <v>10012</v>
      </c>
      <c r="I993" t="s">
        <v>16</v>
      </c>
      <c r="J993" t="s">
        <v>3471</v>
      </c>
      <c r="K993" t="s">
        <v>96</v>
      </c>
      <c r="L993" t="s">
        <v>4673</v>
      </c>
      <c r="M993">
        <f>VLOOKUP(SUBSTITUTE(J993,"'",""),Sheet1!L:M,2,FALSE)</f>
        <v>54820</v>
      </c>
    </row>
    <row r="994" spans="1:13" ht="13.5" customHeight="1" x14ac:dyDescent="0.4">
      <c r="A994" s="1">
        <v>45836</v>
      </c>
      <c r="B994" t="s">
        <v>605</v>
      </c>
      <c r="C994">
        <v>20.079999999999998</v>
      </c>
      <c r="D994" s="2" t="s">
        <v>802</v>
      </c>
      <c r="E994" t="s">
        <v>605</v>
      </c>
      <c r="F994" s="2" t="s">
        <v>607</v>
      </c>
      <c r="H994" t="s">
        <v>608</v>
      </c>
      <c r="I994" t="s">
        <v>609</v>
      </c>
      <c r="J994" t="s">
        <v>803</v>
      </c>
      <c r="K994" t="s">
        <v>483</v>
      </c>
      <c r="L994" t="s">
        <v>2047</v>
      </c>
      <c r="M994">
        <f>VLOOKUP(SUBSTITUTE(J994,"'",""),Sheet1!L:M,2,FALSE)</f>
        <v>61130</v>
      </c>
    </row>
    <row r="995" spans="1:13" ht="13.5" customHeight="1" x14ac:dyDescent="0.4">
      <c r="A995" s="1">
        <v>45836</v>
      </c>
      <c r="B995" t="s">
        <v>605</v>
      </c>
      <c r="C995">
        <v>3</v>
      </c>
      <c r="D995" s="2" t="s">
        <v>794</v>
      </c>
      <c r="E995" t="s">
        <v>605</v>
      </c>
      <c r="F995" s="2" t="s">
        <v>607</v>
      </c>
      <c r="H995" t="s">
        <v>608</v>
      </c>
      <c r="I995" t="s">
        <v>609</v>
      </c>
      <c r="J995" t="s">
        <v>795</v>
      </c>
      <c r="K995" t="s">
        <v>483</v>
      </c>
      <c r="L995" t="s">
        <v>2047</v>
      </c>
      <c r="M995">
        <f>VLOOKUP(SUBSTITUTE(J995,"'",""),Sheet1!L:M,2,FALSE)</f>
        <v>61130</v>
      </c>
    </row>
    <row r="996" spans="1:13" ht="13.5" customHeight="1" x14ac:dyDescent="0.4">
      <c r="A996" s="1">
        <v>45836</v>
      </c>
      <c r="B996" t="s">
        <v>605</v>
      </c>
      <c r="C996">
        <v>17.82</v>
      </c>
      <c r="D996" s="2" t="s">
        <v>798</v>
      </c>
      <c r="E996" t="s">
        <v>605</v>
      </c>
      <c r="F996" s="2" t="s">
        <v>607</v>
      </c>
      <c r="H996" t="s">
        <v>608</v>
      </c>
      <c r="I996" t="s">
        <v>609</v>
      </c>
      <c r="J996" t="s">
        <v>799</v>
      </c>
      <c r="K996" t="s">
        <v>483</v>
      </c>
      <c r="L996" t="s">
        <v>2047</v>
      </c>
      <c r="M996">
        <f>VLOOKUP(SUBSTITUTE(J996,"'",""),Sheet1!L:M,2,FALSE)</f>
        <v>61130</v>
      </c>
    </row>
    <row r="997" spans="1:13" ht="13.5" customHeight="1" x14ac:dyDescent="0.4">
      <c r="A997" s="1">
        <v>45836</v>
      </c>
      <c r="B997" t="s">
        <v>605</v>
      </c>
      <c r="C997">
        <v>17.82</v>
      </c>
      <c r="D997" s="2" t="s">
        <v>800</v>
      </c>
      <c r="E997" t="s">
        <v>605</v>
      </c>
      <c r="F997" s="2" t="s">
        <v>607</v>
      </c>
      <c r="H997" t="s">
        <v>608</v>
      </c>
      <c r="I997" t="s">
        <v>609</v>
      </c>
      <c r="J997" t="s">
        <v>801</v>
      </c>
      <c r="K997" t="s">
        <v>483</v>
      </c>
      <c r="L997" t="s">
        <v>2047</v>
      </c>
      <c r="M997">
        <f>VLOOKUP(SUBSTITUTE(J997,"'",""),Sheet1!L:M,2,FALSE)</f>
        <v>61130</v>
      </c>
    </row>
    <row r="998" spans="1:13" ht="13.5" customHeight="1" x14ac:dyDescent="0.4">
      <c r="A998" s="1">
        <v>45836</v>
      </c>
      <c r="B998" t="s">
        <v>605</v>
      </c>
      <c r="C998">
        <v>3</v>
      </c>
      <c r="D998" s="2" t="s">
        <v>796</v>
      </c>
      <c r="E998" t="s">
        <v>605</v>
      </c>
      <c r="F998" s="2" t="s">
        <v>607</v>
      </c>
      <c r="H998" t="s">
        <v>608</v>
      </c>
      <c r="I998" t="s">
        <v>609</v>
      </c>
      <c r="J998" t="s">
        <v>797</v>
      </c>
      <c r="K998" t="s">
        <v>483</v>
      </c>
      <c r="L998" t="s">
        <v>2047</v>
      </c>
      <c r="M998">
        <f>VLOOKUP(SUBSTITUTE(J998,"'",""),Sheet1!L:M,2,FALSE)</f>
        <v>61130</v>
      </c>
    </row>
    <row r="999" spans="1:13" ht="13.5" customHeight="1" x14ac:dyDescent="0.4">
      <c r="A999" s="1">
        <v>45836</v>
      </c>
      <c r="B999" t="s">
        <v>106</v>
      </c>
      <c r="C999">
        <v>61.91</v>
      </c>
      <c r="D999" s="2" t="s">
        <v>3480</v>
      </c>
      <c r="E999" t="s">
        <v>106</v>
      </c>
      <c r="F999" t="s">
        <v>108</v>
      </c>
      <c r="G999" s="2" t="s">
        <v>41</v>
      </c>
      <c r="H999">
        <v>10012</v>
      </c>
      <c r="I999" t="s">
        <v>16</v>
      </c>
      <c r="J999" t="s">
        <v>3481</v>
      </c>
      <c r="K999" t="s">
        <v>110</v>
      </c>
      <c r="L999" t="s">
        <v>4673</v>
      </c>
      <c r="M999">
        <f>VLOOKUP(SUBSTITUTE(J999,"'",""),Sheet1!L:M,2,FALSE)</f>
        <v>67500</v>
      </c>
    </row>
    <row r="1000" spans="1:13" ht="13.5" customHeight="1" x14ac:dyDescent="0.4">
      <c r="A1000" s="1">
        <v>45836</v>
      </c>
      <c r="B1000" t="s">
        <v>3472</v>
      </c>
      <c r="C1000">
        <v>9.17</v>
      </c>
      <c r="D1000" s="2" t="s">
        <v>3473</v>
      </c>
      <c r="E1000" t="s">
        <v>3472</v>
      </c>
      <c r="F1000" t="s">
        <v>2679</v>
      </c>
      <c r="G1000" s="2" t="s">
        <v>41</v>
      </c>
      <c r="H1000" t="s">
        <v>2680</v>
      </c>
      <c r="I1000" t="s">
        <v>16</v>
      </c>
      <c r="J1000" t="s">
        <v>3474</v>
      </c>
      <c r="K1000" t="s">
        <v>305</v>
      </c>
      <c r="L1000" t="s">
        <v>4673</v>
      </c>
      <c r="M1000">
        <f>VLOOKUP(SUBSTITUTE(J1000,"'",""),Sheet1!L:M,2,FALSE)</f>
        <v>54820</v>
      </c>
    </row>
    <row r="1001" spans="1:13" ht="13.5" customHeight="1" x14ac:dyDescent="0.4">
      <c r="A1001" s="1">
        <v>45836</v>
      </c>
      <c r="B1001" t="s">
        <v>2670</v>
      </c>
      <c r="C1001">
        <v>355.3</v>
      </c>
      <c r="D1001" s="2" t="s">
        <v>3466</v>
      </c>
      <c r="E1001" t="s">
        <v>2670</v>
      </c>
      <c r="F1001" s="2" t="s">
        <v>2672</v>
      </c>
      <c r="G1001" s="2" t="s">
        <v>41</v>
      </c>
      <c r="H1001" t="s">
        <v>2673</v>
      </c>
      <c r="I1001" t="s">
        <v>16</v>
      </c>
      <c r="J1001" t="s">
        <v>3467</v>
      </c>
      <c r="K1001" t="s">
        <v>110</v>
      </c>
      <c r="L1001" t="s">
        <v>4673</v>
      </c>
      <c r="M1001">
        <f>VLOOKUP(SUBSTITUTE(J1001,"'",""),Sheet1!L:M,2,FALSE)</f>
        <v>54820</v>
      </c>
    </row>
    <row r="1002" spans="1:13" ht="13.5" customHeight="1" x14ac:dyDescent="0.4">
      <c r="A1002" s="1">
        <v>45836</v>
      </c>
      <c r="B1002" t="s">
        <v>3475</v>
      </c>
      <c r="C1002">
        <v>250</v>
      </c>
      <c r="D1002" s="2" t="s">
        <v>3476</v>
      </c>
      <c r="E1002" t="s">
        <v>3475</v>
      </c>
      <c r="F1002" s="2" t="s">
        <v>3477</v>
      </c>
      <c r="G1002" s="2" t="s">
        <v>3000</v>
      </c>
      <c r="H1002">
        <v>90067</v>
      </c>
      <c r="I1002" t="s">
        <v>16</v>
      </c>
      <c r="J1002" t="s">
        <v>3478</v>
      </c>
      <c r="K1002" t="s">
        <v>3479</v>
      </c>
      <c r="L1002" t="s">
        <v>4673</v>
      </c>
      <c r="M1002">
        <f>VLOOKUP(SUBSTITUTE(J1002,"'",""),Sheet1!L:M,2,FALSE)</f>
        <v>54820</v>
      </c>
    </row>
    <row r="1003" spans="1:13" ht="13.5" customHeight="1" x14ac:dyDescent="0.4">
      <c r="A1003" s="1">
        <v>45837</v>
      </c>
      <c r="B1003" t="s">
        <v>605</v>
      </c>
      <c r="C1003">
        <v>30.69</v>
      </c>
      <c r="D1003" s="2" t="s">
        <v>790</v>
      </c>
      <c r="E1003" t="s">
        <v>605</v>
      </c>
      <c r="F1003" s="2" t="s">
        <v>607</v>
      </c>
      <c r="H1003" t="s">
        <v>608</v>
      </c>
      <c r="I1003" t="s">
        <v>609</v>
      </c>
      <c r="J1003" t="s">
        <v>791</v>
      </c>
      <c r="K1003" t="s">
        <v>483</v>
      </c>
      <c r="L1003" t="s">
        <v>2047</v>
      </c>
      <c r="M1003">
        <f>VLOOKUP(SUBSTITUTE(J1003,"'",""),Sheet1!L:M,2,FALSE)</f>
        <v>61130</v>
      </c>
    </row>
    <row r="1004" spans="1:13" ht="13.5" customHeight="1" x14ac:dyDescent="0.4">
      <c r="A1004" s="1">
        <v>45837</v>
      </c>
      <c r="B1004" t="s">
        <v>605</v>
      </c>
      <c r="C1004">
        <v>17.760000000000002</v>
      </c>
      <c r="D1004" s="2" t="s">
        <v>786</v>
      </c>
      <c r="E1004" t="s">
        <v>605</v>
      </c>
      <c r="F1004" s="2" t="s">
        <v>607</v>
      </c>
      <c r="H1004" t="s">
        <v>608</v>
      </c>
      <c r="I1004" t="s">
        <v>609</v>
      </c>
      <c r="J1004" t="s">
        <v>787</v>
      </c>
      <c r="K1004" t="s">
        <v>483</v>
      </c>
      <c r="L1004" t="s">
        <v>2047</v>
      </c>
      <c r="M1004">
        <f>VLOOKUP(SUBSTITUTE(J1004,"'",""),Sheet1!L:M,2,FALSE)</f>
        <v>61130</v>
      </c>
    </row>
    <row r="1005" spans="1:13" ht="13.5" customHeight="1" x14ac:dyDescent="0.4">
      <c r="A1005" s="1">
        <v>45837</v>
      </c>
      <c r="B1005" t="s">
        <v>605</v>
      </c>
      <c r="C1005">
        <v>3</v>
      </c>
      <c r="D1005" s="2" t="s">
        <v>784</v>
      </c>
      <c r="E1005" t="s">
        <v>605</v>
      </c>
      <c r="F1005" s="2" t="s">
        <v>607</v>
      </c>
      <c r="H1005" t="s">
        <v>608</v>
      </c>
      <c r="I1005" t="s">
        <v>609</v>
      </c>
      <c r="J1005" t="s">
        <v>785</v>
      </c>
      <c r="K1005" t="s">
        <v>483</v>
      </c>
      <c r="L1005" t="s">
        <v>2047</v>
      </c>
      <c r="M1005">
        <f>VLOOKUP(SUBSTITUTE(J1005,"'",""),Sheet1!L:M,2,FALSE)</f>
        <v>61130</v>
      </c>
    </row>
    <row r="1006" spans="1:13" ht="13.5" customHeight="1" x14ac:dyDescent="0.4">
      <c r="A1006" s="1">
        <v>45837</v>
      </c>
      <c r="B1006" t="s">
        <v>605</v>
      </c>
      <c r="C1006">
        <v>34.159999999999997</v>
      </c>
      <c r="D1006" s="2" t="s">
        <v>792</v>
      </c>
      <c r="E1006" t="s">
        <v>605</v>
      </c>
      <c r="F1006" s="2" t="s">
        <v>607</v>
      </c>
      <c r="H1006" t="s">
        <v>608</v>
      </c>
      <c r="I1006" t="s">
        <v>609</v>
      </c>
      <c r="J1006" t="s">
        <v>793</v>
      </c>
      <c r="K1006" t="s">
        <v>483</v>
      </c>
      <c r="L1006" t="s">
        <v>2047</v>
      </c>
      <c r="M1006">
        <f>VLOOKUP(SUBSTITUTE(J1006,"'",""),Sheet1!L:M,2,FALSE)</f>
        <v>61130</v>
      </c>
    </row>
    <row r="1007" spans="1:13" ht="13.5" customHeight="1" x14ac:dyDescent="0.4">
      <c r="A1007" s="1">
        <v>45837</v>
      </c>
      <c r="B1007" t="s">
        <v>605</v>
      </c>
      <c r="C1007">
        <v>28.34</v>
      </c>
      <c r="D1007" s="2" t="s">
        <v>788</v>
      </c>
      <c r="E1007" t="s">
        <v>605</v>
      </c>
      <c r="F1007" s="2" t="s">
        <v>607</v>
      </c>
      <c r="H1007" t="s">
        <v>608</v>
      </c>
      <c r="I1007" t="s">
        <v>609</v>
      </c>
      <c r="J1007" t="s">
        <v>789</v>
      </c>
      <c r="K1007" t="s">
        <v>483</v>
      </c>
      <c r="L1007" t="s">
        <v>2047</v>
      </c>
      <c r="M1007">
        <f>VLOOKUP(SUBSTITUTE(J1007,"'",""),Sheet1!L:M,2,FALSE)</f>
        <v>61130</v>
      </c>
    </row>
    <row r="1008" spans="1:13" ht="13.5" customHeight="1" x14ac:dyDescent="0.4">
      <c r="A1008" s="1">
        <v>45837</v>
      </c>
      <c r="B1008" t="s">
        <v>3461</v>
      </c>
      <c r="C1008">
        <v>17.2</v>
      </c>
      <c r="D1008" s="2" t="s">
        <v>3462</v>
      </c>
      <c r="E1008" t="s">
        <v>3461</v>
      </c>
      <c r="F1008" t="s">
        <v>3463</v>
      </c>
      <c r="G1008" s="2" t="s">
        <v>41</v>
      </c>
      <c r="H1008" t="s">
        <v>3464</v>
      </c>
      <c r="I1008" t="s">
        <v>16</v>
      </c>
      <c r="J1008" t="s">
        <v>3465</v>
      </c>
      <c r="K1008" t="s">
        <v>305</v>
      </c>
      <c r="L1008" t="s">
        <v>4673</v>
      </c>
      <c r="M1008">
        <f>VLOOKUP(SUBSTITUTE(J1008,"'",""),Sheet1!L:M,2,FALSE)</f>
        <v>54820</v>
      </c>
    </row>
    <row r="1009" spans="1:13" ht="13.5" customHeight="1" x14ac:dyDescent="0.4">
      <c r="A1009" s="1">
        <v>45838</v>
      </c>
      <c r="B1009" t="s">
        <v>605</v>
      </c>
      <c r="C1009">
        <v>42.46</v>
      </c>
      <c r="D1009" s="2" t="s">
        <v>778</v>
      </c>
      <c r="E1009" t="s">
        <v>605</v>
      </c>
      <c r="F1009" s="2" t="s">
        <v>607</v>
      </c>
      <c r="H1009" t="s">
        <v>608</v>
      </c>
      <c r="I1009" t="s">
        <v>609</v>
      </c>
      <c r="J1009" t="s">
        <v>779</v>
      </c>
      <c r="K1009" t="s">
        <v>483</v>
      </c>
      <c r="L1009" t="s">
        <v>2047</v>
      </c>
      <c r="M1009">
        <f>VLOOKUP(SUBSTITUTE(J1009,"'",""),Sheet1!L:M,2,FALSE)</f>
        <v>61130</v>
      </c>
    </row>
    <row r="1010" spans="1:13" ht="13.5" customHeight="1" x14ac:dyDescent="0.4">
      <c r="A1010" s="1">
        <v>45838</v>
      </c>
      <c r="B1010" t="s">
        <v>605</v>
      </c>
      <c r="C1010">
        <v>36.15</v>
      </c>
      <c r="D1010" s="2" t="s">
        <v>776</v>
      </c>
      <c r="E1010" t="s">
        <v>605</v>
      </c>
      <c r="F1010" s="2" t="s">
        <v>607</v>
      </c>
      <c r="H1010" t="s">
        <v>608</v>
      </c>
      <c r="I1010" t="s">
        <v>609</v>
      </c>
      <c r="J1010" t="s">
        <v>777</v>
      </c>
      <c r="K1010" t="s">
        <v>483</v>
      </c>
      <c r="L1010" t="s">
        <v>2047</v>
      </c>
      <c r="M1010">
        <f>VLOOKUP(SUBSTITUTE(J1010,"'",""),Sheet1!L:M,2,FALSE)</f>
        <v>61130</v>
      </c>
    </row>
    <row r="1011" spans="1:13" ht="13.5" customHeight="1" x14ac:dyDescent="0.4">
      <c r="A1011" s="1">
        <v>45838</v>
      </c>
      <c r="B1011" t="s">
        <v>605</v>
      </c>
      <c r="C1011">
        <v>44.67</v>
      </c>
      <c r="D1011" s="2" t="s">
        <v>780</v>
      </c>
      <c r="E1011" t="s">
        <v>605</v>
      </c>
      <c r="F1011" s="2" t="s">
        <v>607</v>
      </c>
      <c r="H1011" t="s">
        <v>608</v>
      </c>
      <c r="I1011" t="s">
        <v>609</v>
      </c>
      <c r="J1011" t="s">
        <v>781</v>
      </c>
      <c r="K1011" t="s">
        <v>483</v>
      </c>
      <c r="L1011" t="s">
        <v>2047</v>
      </c>
      <c r="M1011">
        <f>VLOOKUP(SUBSTITUTE(J1011,"'",""),Sheet1!L:M,2,FALSE)</f>
        <v>61130</v>
      </c>
    </row>
    <row r="1012" spans="1:13" ht="13.5" customHeight="1" x14ac:dyDescent="0.4">
      <c r="A1012" s="1">
        <v>45838</v>
      </c>
      <c r="B1012" t="s">
        <v>605</v>
      </c>
      <c r="C1012">
        <v>5.01</v>
      </c>
      <c r="D1012" s="2" t="s">
        <v>772</v>
      </c>
      <c r="E1012" t="s">
        <v>605</v>
      </c>
      <c r="F1012" s="2" t="s">
        <v>607</v>
      </c>
      <c r="H1012" t="s">
        <v>608</v>
      </c>
      <c r="I1012" t="s">
        <v>609</v>
      </c>
      <c r="J1012" t="s">
        <v>773</v>
      </c>
      <c r="K1012" t="s">
        <v>483</v>
      </c>
      <c r="L1012" t="s">
        <v>2047</v>
      </c>
      <c r="M1012">
        <f>VLOOKUP(SUBSTITUTE(J1012,"'",""),Sheet1!L:M,2,FALSE)</f>
        <v>61130</v>
      </c>
    </row>
    <row r="1013" spans="1:13" ht="13.5" customHeight="1" x14ac:dyDescent="0.4">
      <c r="A1013" s="1">
        <v>45838</v>
      </c>
      <c r="B1013" t="s">
        <v>605</v>
      </c>
      <c r="C1013">
        <v>5</v>
      </c>
      <c r="D1013" s="2" t="s">
        <v>770</v>
      </c>
      <c r="E1013" t="s">
        <v>605</v>
      </c>
      <c r="F1013" s="2" t="s">
        <v>607</v>
      </c>
      <c r="H1013" t="s">
        <v>608</v>
      </c>
      <c r="I1013" t="s">
        <v>609</v>
      </c>
      <c r="J1013" t="s">
        <v>771</v>
      </c>
      <c r="K1013" t="s">
        <v>483</v>
      </c>
      <c r="L1013" t="s">
        <v>2047</v>
      </c>
      <c r="M1013">
        <f>VLOOKUP(SUBSTITUTE(J1013,"'",""),Sheet1!L:M,2,FALSE)</f>
        <v>61130</v>
      </c>
    </row>
    <row r="1014" spans="1:13" ht="13.5" customHeight="1" x14ac:dyDescent="0.4">
      <c r="A1014" s="1">
        <v>45838</v>
      </c>
      <c r="B1014" t="s">
        <v>605</v>
      </c>
      <c r="C1014">
        <v>72.47</v>
      </c>
      <c r="D1014" s="2" t="s">
        <v>782</v>
      </c>
      <c r="E1014" t="s">
        <v>605</v>
      </c>
      <c r="F1014" s="2" t="s">
        <v>607</v>
      </c>
      <c r="H1014" t="s">
        <v>608</v>
      </c>
      <c r="I1014" t="s">
        <v>609</v>
      </c>
      <c r="J1014" t="s">
        <v>783</v>
      </c>
      <c r="K1014" t="s">
        <v>483</v>
      </c>
      <c r="L1014" t="s">
        <v>2047</v>
      </c>
      <c r="M1014">
        <f>VLOOKUP(SUBSTITUTE(J1014,"'",""),Sheet1!L:M,2,FALSE)</f>
        <v>61130</v>
      </c>
    </row>
    <row r="1015" spans="1:13" ht="13.5" customHeight="1" x14ac:dyDescent="0.4">
      <c r="A1015" s="1">
        <v>45838</v>
      </c>
      <c r="B1015" t="s">
        <v>764</v>
      </c>
      <c r="C1015">
        <v>99.93</v>
      </c>
      <c r="D1015" s="2" t="s">
        <v>765</v>
      </c>
      <c r="E1015" t="s">
        <v>764</v>
      </c>
      <c r="F1015" s="2" t="s">
        <v>766</v>
      </c>
      <c r="H1015">
        <v>75001</v>
      </c>
      <c r="I1015" t="s">
        <v>761</v>
      </c>
      <c r="J1015" t="s">
        <v>767</v>
      </c>
      <c r="K1015" t="s">
        <v>532</v>
      </c>
      <c r="L1015" t="s">
        <v>2047</v>
      </c>
      <c r="M1015">
        <f>VLOOKUP(SUBSTITUTE(J1015,"'",""),Sheet1!L:M,2,FALSE)</f>
        <v>54820</v>
      </c>
    </row>
    <row r="1016" spans="1:13" ht="13.5" customHeight="1" x14ac:dyDescent="0.4">
      <c r="A1016" s="1">
        <v>45838</v>
      </c>
      <c r="B1016" t="s">
        <v>764</v>
      </c>
      <c r="C1016">
        <v>99.93</v>
      </c>
      <c r="D1016" s="2" t="s">
        <v>768</v>
      </c>
      <c r="E1016" t="s">
        <v>764</v>
      </c>
      <c r="F1016" s="2" t="s">
        <v>766</v>
      </c>
      <c r="H1016">
        <v>75001</v>
      </c>
      <c r="I1016" t="s">
        <v>761</v>
      </c>
      <c r="J1016" t="s">
        <v>769</v>
      </c>
      <c r="K1016" t="s">
        <v>532</v>
      </c>
      <c r="L1016" t="s">
        <v>2047</v>
      </c>
      <c r="M1016">
        <f>VLOOKUP(SUBSTITUTE(J1016,"'",""),Sheet1!L:M,2,FALSE)</f>
        <v>54820</v>
      </c>
    </row>
    <row r="1017" spans="1:13" ht="13.5" customHeight="1" x14ac:dyDescent="0.4">
      <c r="A1017" s="1">
        <v>45838</v>
      </c>
      <c r="B1017" t="s">
        <v>605</v>
      </c>
      <c r="C1017">
        <v>32.36</v>
      </c>
      <c r="D1017" s="2" t="s">
        <v>774</v>
      </c>
      <c r="E1017" t="s">
        <v>605</v>
      </c>
      <c r="F1017" s="2" t="s">
        <v>607</v>
      </c>
      <c r="H1017" t="s">
        <v>608</v>
      </c>
      <c r="I1017" t="s">
        <v>609</v>
      </c>
      <c r="J1017" t="s">
        <v>775</v>
      </c>
      <c r="K1017" t="s">
        <v>483</v>
      </c>
      <c r="L1017" t="s">
        <v>2047</v>
      </c>
      <c r="M1017">
        <f>VLOOKUP(SUBSTITUTE(J1017,"'",""),Sheet1!L:M,2,FALSE)</f>
        <v>61130</v>
      </c>
    </row>
    <row r="1018" spans="1:13" ht="13.5" customHeight="1" x14ac:dyDescent="0.4">
      <c r="A1018" s="1">
        <v>45838</v>
      </c>
      <c r="B1018" t="s">
        <v>2934</v>
      </c>
      <c r="C1018">
        <v>12.79</v>
      </c>
      <c r="D1018" s="2" t="s">
        <v>3457</v>
      </c>
      <c r="E1018" t="s">
        <v>2934</v>
      </c>
      <c r="F1018" t="s">
        <v>2936</v>
      </c>
      <c r="G1018" s="2" t="s">
        <v>41</v>
      </c>
      <c r="H1018">
        <v>10003</v>
      </c>
      <c r="I1018" t="s">
        <v>16</v>
      </c>
      <c r="J1018" t="s">
        <v>3458</v>
      </c>
      <c r="K1018" t="s">
        <v>305</v>
      </c>
      <c r="L1018" t="s">
        <v>4673</v>
      </c>
      <c r="M1018">
        <f>VLOOKUP(SUBSTITUTE(J1018,"'",""),Sheet1!L:M,2,FALSE)</f>
        <v>54820</v>
      </c>
    </row>
    <row r="1019" spans="1:13" ht="13.5" customHeight="1" x14ac:dyDescent="0.4">
      <c r="A1019" s="1">
        <v>45838</v>
      </c>
      <c r="B1019" t="s">
        <v>758</v>
      </c>
      <c r="C1019">
        <v>94.02</v>
      </c>
      <c r="D1019" s="2" t="s">
        <v>759</v>
      </c>
      <c r="E1019" t="s">
        <v>758</v>
      </c>
      <c r="F1019" s="2" t="s">
        <v>760</v>
      </c>
      <c r="H1019">
        <v>78000</v>
      </c>
      <c r="I1019" t="s">
        <v>761</v>
      </c>
      <c r="J1019" t="s">
        <v>762</v>
      </c>
      <c r="K1019" t="s">
        <v>763</v>
      </c>
      <c r="L1019" t="s">
        <v>2047</v>
      </c>
      <c r="M1019">
        <f>VLOOKUP(SUBSTITUTE(J1019,"'",""),Sheet1!L:M,2,FALSE)</f>
        <v>54820</v>
      </c>
    </row>
    <row r="1020" spans="1:13" ht="13.5" customHeight="1" x14ac:dyDescent="0.4">
      <c r="A1020" s="1">
        <v>45838</v>
      </c>
      <c r="B1020" t="s">
        <v>2240</v>
      </c>
      <c r="C1020">
        <v>81.33</v>
      </c>
      <c r="D1020" s="2" t="s">
        <v>3459</v>
      </c>
      <c r="E1020" t="s">
        <v>2240</v>
      </c>
      <c r="F1020" t="s">
        <v>2242</v>
      </c>
      <c r="G1020" s="2" t="s">
        <v>41</v>
      </c>
      <c r="H1020">
        <v>10003</v>
      </c>
      <c r="I1020" t="s">
        <v>16</v>
      </c>
      <c r="J1020" t="s">
        <v>3460</v>
      </c>
      <c r="K1020" t="s">
        <v>1218</v>
      </c>
      <c r="L1020" t="s">
        <v>4673</v>
      </c>
      <c r="M1020">
        <f>VLOOKUP(SUBSTITUTE(J1020,"'",""),Sheet1!L:M,2,FALSE)</f>
        <v>54820</v>
      </c>
    </row>
    <row r="1021" spans="1:13" ht="13.5" customHeight="1" x14ac:dyDescent="0.4">
      <c r="A1021" s="1">
        <v>45839</v>
      </c>
      <c r="B1021" t="s">
        <v>2429</v>
      </c>
      <c r="C1021">
        <v>1538.74</v>
      </c>
      <c r="D1021" s="2" t="s">
        <v>3453</v>
      </c>
      <c r="E1021" t="s">
        <v>2429</v>
      </c>
      <c r="F1021" t="s">
        <v>13</v>
      </c>
      <c r="G1021" s="2" t="s">
        <v>14</v>
      </c>
      <c r="H1021">
        <v>98101</v>
      </c>
      <c r="I1021" t="s">
        <v>16</v>
      </c>
      <c r="J1021" t="s">
        <v>3454</v>
      </c>
      <c r="K1021" t="s">
        <v>18</v>
      </c>
      <c r="L1021" t="s">
        <v>4673</v>
      </c>
      <c r="M1021">
        <f>VLOOKUP(SUBSTITUTE(J1021,"'",""),Sheet1!L:M,2,FALSE)</f>
        <v>64101</v>
      </c>
    </row>
    <row r="1022" spans="1:13" ht="13.5" customHeight="1" x14ac:dyDescent="0.4">
      <c r="A1022" s="1">
        <v>45839</v>
      </c>
      <c r="B1022" t="s">
        <v>605</v>
      </c>
      <c r="C1022">
        <v>42.46</v>
      </c>
      <c r="D1022" s="2" t="s">
        <v>752</v>
      </c>
      <c r="E1022" t="s">
        <v>605</v>
      </c>
      <c r="F1022" s="2" t="s">
        <v>607</v>
      </c>
      <c r="H1022" t="s">
        <v>608</v>
      </c>
      <c r="I1022" t="s">
        <v>609</v>
      </c>
      <c r="J1022" t="s">
        <v>753</v>
      </c>
      <c r="K1022" t="s">
        <v>483</v>
      </c>
      <c r="L1022" t="s">
        <v>2047</v>
      </c>
      <c r="M1022">
        <f>VLOOKUP(SUBSTITUTE(J1022,"'",""),Sheet1!L:M,2,FALSE)</f>
        <v>61130</v>
      </c>
    </row>
    <row r="1023" spans="1:13" ht="13.5" customHeight="1" x14ac:dyDescent="0.4">
      <c r="A1023" s="1">
        <v>45839</v>
      </c>
      <c r="B1023" t="s">
        <v>605</v>
      </c>
      <c r="C1023">
        <v>47.67</v>
      </c>
      <c r="D1023" s="2" t="s">
        <v>754</v>
      </c>
      <c r="E1023" t="s">
        <v>605</v>
      </c>
      <c r="F1023" s="2" t="s">
        <v>607</v>
      </c>
      <c r="H1023" t="s">
        <v>608</v>
      </c>
      <c r="I1023" t="s">
        <v>609</v>
      </c>
      <c r="J1023" t="s">
        <v>755</v>
      </c>
      <c r="K1023" t="s">
        <v>483</v>
      </c>
      <c r="L1023" t="s">
        <v>2047</v>
      </c>
      <c r="M1023">
        <f>VLOOKUP(SUBSTITUTE(J1023,"'",""),Sheet1!L:M,2,FALSE)</f>
        <v>61130</v>
      </c>
    </row>
    <row r="1024" spans="1:13" ht="13.5" customHeight="1" x14ac:dyDescent="0.4">
      <c r="A1024" s="1">
        <v>45839</v>
      </c>
      <c r="B1024" t="s">
        <v>605</v>
      </c>
      <c r="C1024">
        <v>27.56</v>
      </c>
      <c r="D1024" s="2" t="s">
        <v>748</v>
      </c>
      <c r="E1024" t="s">
        <v>605</v>
      </c>
      <c r="F1024" s="2" t="s">
        <v>607</v>
      </c>
      <c r="H1024" t="s">
        <v>608</v>
      </c>
      <c r="I1024" t="s">
        <v>609</v>
      </c>
      <c r="J1024" t="s">
        <v>749</v>
      </c>
      <c r="K1024" t="s">
        <v>483</v>
      </c>
      <c r="L1024" t="s">
        <v>2047</v>
      </c>
      <c r="M1024">
        <f>VLOOKUP(SUBSTITUTE(J1024,"'",""),Sheet1!L:M,2,FALSE)</f>
        <v>61130</v>
      </c>
    </row>
    <row r="1025" spans="1:13" ht="13.5" customHeight="1" x14ac:dyDescent="0.4">
      <c r="A1025" s="1">
        <v>45839</v>
      </c>
      <c r="B1025" t="s">
        <v>234</v>
      </c>
      <c r="C1025">
        <v>232.44</v>
      </c>
      <c r="D1025" s="2" t="s">
        <v>756</v>
      </c>
      <c r="E1025" t="s">
        <v>236</v>
      </c>
      <c r="F1025" t="s">
        <v>237</v>
      </c>
      <c r="G1025" s="2" t="s">
        <v>238</v>
      </c>
      <c r="H1025" t="s">
        <v>239</v>
      </c>
      <c r="I1025" t="s">
        <v>16</v>
      </c>
      <c r="J1025" t="s">
        <v>757</v>
      </c>
      <c r="K1025" t="s">
        <v>90</v>
      </c>
      <c r="L1025" t="s">
        <v>2047</v>
      </c>
      <c r="M1025">
        <f>VLOOKUP(SUBSTITUTE(J1025,"'",""),Sheet1!L:M,2,FALSE)</f>
        <v>65700</v>
      </c>
    </row>
    <row r="1026" spans="1:13" ht="13.5" customHeight="1" x14ac:dyDescent="0.4">
      <c r="A1026" s="1">
        <v>45839</v>
      </c>
      <c r="B1026" t="s">
        <v>605</v>
      </c>
      <c r="C1026">
        <v>32.78</v>
      </c>
      <c r="D1026" s="2" t="s">
        <v>750</v>
      </c>
      <c r="E1026" t="s">
        <v>605</v>
      </c>
      <c r="F1026" s="2" t="s">
        <v>607</v>
      </c>
      <c r="H1026" t="s">
        <v>608</v>
      </c>
      <c r="I1026" t="s">
        <v>609</v>
      </c>
      <c r="J1026" t="s">
        <v>751</v>
      </c>
      <c r="K1026" t="s">
        <v>483</v>
      </c>
      <c r="L1026" t="s">
        <v>2047</v>
      </c>
      <c r="M1026">
        <f>VLOOKUP(SUBSTITUTE(J1026,"'",""),Sheet1!L:M,2,FALSE)</f>
        <v>61130</v>
      </c>
    </row>
    <row r="1027" spans="1:13" ht="13.5" customHeight="1" x14ac:dyDescent="0.4">
      <c r="A1027" s="1">
        <v>45839</v>
      </c>
      <c r="B1027" t="s">
        <v>738</v>
      </c>
      <c r="C1027">
        <v>82</v>
      </c>
      <c r="D1027" s="2" t="s">
        <v>746</v>
      </c>
      <c r="E1027" t="s">
        <v>738</v>
      </c>
      <c r="F1027" t="s">
        <v>740</v>
      </c>
      <c r="G1027" t="s">
        <v>741</v>
      </c>
      <c r="H1027" s="3" t="s">
        <v>742</v>
      </c>
      <c r="I1027" t="s">
        <v>16</v>
      </c>
      <c r="J1027" t="s">
        <v>747</v>
      </c>
      <c r="K1027" t="s">
        <v>682</v>
      </c>
      <c r="L1027" t="s">
        <v>2047</v>
      </c>
      <c r="M1027">
        <f>VLOOKUP(SUBSTITUTE(J1027,"'",""),Sheet1!L:M,2,FALSE)</f>
        <v>54820</v>
      </c>
    </row>
    <row r="1028" spans="1:13" ht="13.5" customHeight="1" x14ac:dyDescent="0.4">
      <c r="A1028" s="1">
        <v>45839</v>
      </c>
      <c r="B1028" t="s">
        <v>738</v>
      </c>
      <c r="C1028">
        <v>4.45</v>
      </c>
      <c r="D1028" s="2" t="s">
        <v>739</v>
      </c>
      <c r="E1028" t="s">
        <v>738</v>
      </c>
      <c r="F1028" t="s">
        <v>740</v>
      </c>
      <c r="G1028" t="s">
        <v>741</v>
      </c>
      <c r="H1028" s="3" t="s">
        <v>742</v>
      </c>
      <c r="I1028" t="s">
        <v>16</v>
      </c>
      <c r="J1028" t="s">
        <v>743</v>
      </c>
      <c r="K1028" t="s">
        <v>682</v>
      </c>
      <c r="L1028" t="s">
        <v>2047</v>
      </c>
      <c r="M1028">
        <f>VLOOKUP(SUBSTITUTE(J1028,"'",""),Sheet1!L:M,2,FALSE)</f>
        <v>54820</v>
      </c>
    </row>
    <row r="1029" spans="1:13" ht="13.5" customHeight="1" x14ac:dyDescent="0.4">
      <c r="A1029" s="1">
        <v>45839</v>
      </c>
      <c r="B1029" t="s">
        <v>738</v>
      </c>
      <c r="C1029">
        <v>12.2</v>
      </c>
      <c r="D1029" s="2" t="s">
        <v>744</v>
      </c>
      <c r="E1029" t="s">
        <v>738</v>
      </c>
      <c r="F1029" t="s">
        <v>740</v>
      </c>
      <c r="G1029" t="s">
        <v>741</v>
      </c>
      <c r="H1029" s="3" t="s">
        <v>742</v>
      </c>
      <c r="I1029" t="s">
        <v>16</v>
      </c>
      <c r="J1029" t="s">
        <v>745</v>
      </c>
      <c r="K1029" t="s">
        <v>682</v>
      </c>
      <c r="L1029" t="s">
        <v>2047</v>
      </c>
      <c r="M1029">
        <f>VLOOKUP(SUBSTITUTE(J1029,"'",""),Sheet1!L:M,2,FALSE)</f>
        <v>54820</v>
      </c>
    </row>
    <row r="1030" spans="1:13" ht="13.5" customHeight="1" x14ac:dyDescent="0.4">
      <c r="A1030" s="1">
        <v>45839</v>
      </c>
      <c r="B1030" t="s">
        <v>2934</v>
      </c>
      <c r="C1030">
        <v>12.79</v>
      </c>
      <c r="D1030" s="2" t="s">
        <v>3455</v>
      </c>
      <c r="E1030" t="s">
        <v>2934</v>
      </c>
      <c r="F1030" t="s">
        <v>2936</v>
      </c>
      <c r="G1030" s="2" t="s">
        <v>41</v>
      </c>
      <c r="H1030">
        <v>10003</v>
      </c>
      <c r="I1030" t="s">
        <v>16</v>
      </c>
      <c r="J1030" t="s">
        <v>3456</v>
      </c>
      <c r="K1030" t="s">
        <v>305</v>
      </c>
      <c r="L1030" t="s">
        <v>4673</v>
      </c>
      <c r="M1030">
        <f>VLOOKUP(SUBSTITUTE(J1030,"'",""),Sheet1!L:M,2,FALSE)</f>
        <v>54820</v>
      </c>
    </row>
    <row r="1031" spans="1:13" ht="13.5" customHeight="1" x14ac:dyDescent="0.4">
      <c r="A1031" s="1">
        <v>45839</v>
      </c>
      <c r="B1031" t="s">
        <v>2764</v>
      </c>
      <c r="C1031">
        <v>7.84</v>
      </c>
      <c r="D1031" s="2" t="s">
        <v>3451</v>
      </c>
      <c r="E1031" t="s">
        <v>2764</v>
      </c>
      <c r="F1031" t="s">
        <v>2766</v>
      </c>
      <c r="G1031" s="2" t="s">
        <v>41</v>
      </c>
      <c r="H1031">
        <v>10011</v>
      </c>
      <c r="I1031" t="s">
        <v>16</v>
      </c>
      <c r="J1031" t="s">
        <v>3452</v>
      </c>
      <c r="K1031" t="s">
        <v>305</v>
      </c>
      <c r="L1031" t="s">
        <v>4673</v>
      </c>
      <c r="M1031">
        <f>VLOOKUP(SUBSTITUTE(J1031,"'",""),Sheet1!L:M,2,FALSE)</f>
        <v>54820</v>
      </c>
    </row>
    <row r="1032" spans="1:13" ht="13.5" customHeight="1" x14ac:dyDescent="0.4">
      <c r="A1032" s="1">
        <v>45840</v>
      </c>
      <c r="B1032" t="s">
        <v>605</v>
      </c>
      <c r="C1032">
        <v>31.18</v>
      </c>
      <c r="D1032" s="2" t="s">
        <v>734</v>
      </c>
      <c r="E1032" t="s">
        <v>605</v>
      </c>
      <c r="F1032" s="2" t="s">
        <v>607</v>
      </c>
      <c r="H1032" t="s">
        <v>608</v>
      </c>
      <c r="I1032" t="s">
        <v>609</v>
      </c>
      <c r="J1032" t="s">
        <v>735</v>
      </c>
      <c r="K1032" t="s">
        <v>483</v>
      </c>
      <c r="L1032" t="s">
        <v>2047</v>
      </c>
      <c r="M1032">
        <f>VLOOKUP(SUBSTITUTE(J1032,"'",""),Sheet1!L:M,2,FALSE)</f>
        <v>61130</v>
      </c>
    </row>
    <row r="1033" spans="1:13" ht="13.5" customHeight="1" x14ac:dyDescent="0.4">
      <c r="A1033" s="1">
        <v>45840</v>
      </c>
      <c r="B1033" t="s">
        <v>605</v>
      </c>
      <c r="C1033">
        <v>22.3</v>
      </c>
      <c r="D1033" s="2" t="s">
        <v>730</v>
      </c>
      <c r="E1033" t="s">
        <v>605</v>
      </c>
      <c r="F1033" s="2" t="s">
        <v>607</v>
      </c>
      <c r="H1033" t="s">
        <v>608</v>
      </c>
      <c r="I1033" t="s">
        <v>609</v>
      </c>
      <c r="J1033" t="s">
        <v>731</v>
      </c>
      <c r="K1033" t="s">
        <v>483</v>
      </c>
      <c r="L1033" t="s">
        <v>2047</v>
      </c>
      <c r="M1033">
        <f>VLOOKUP(SUBSTITUTE(J1033,"'",""),Sheet1!L:M,2,FALSE)</f>
        <v>61130</v>
      </c>
    </row>
    <row r="1034" spans="1:13" ht="13.5" customHeight="1" x14ac:dyDescent="0.4">
      <c r="A1034" s="1">
        <v>45840</v>
      </c>
      <c r="B1034" t="s">
        <v>605</v>
      </c>
      <c r="C1034">
        <v>36.590000000000003</v>
      </c>
      <c r="D1034" s="2" t="s">
        <v>736</v>
      </c>
      <c r="E1034" t="s">
        <v>605</v>
      </c>
      <c r="F1034" s="2" t="s">
        <v>607</v>
      </c>
      <c r="H1034" t="s">
        <v>608</v>
      </c>
      <c r="I1034" t="s">
        <v>609</v>
      </c>
      <c r="J1034" t="s">
        <v>737</v>
      </c>
      <c r="K1034" t="s">
        <v>483</v>
      </c>
      <c r="L1034" t="s">
        <v>2047</v>
      </c>
      <c r="M1034">
        <f>VLOOKUP(SUBSTITUTE(J1034,"'",""),Sheet1!L:M,2,FALSE)</f>
        <v>61130</v>
      </c>
    </row>
    <row r="1035" spans="1:13" ht="13.5" customHeight="1" x14ac:dyDescent="0.4">
      <c r="A1035" s="1">
        <v>45840</v>
      </c>
      <c r="B1035" t="s">
        <v>605</v>
      </c>
      <c r="C1035">
        <v>23.74</v>
      </c>
      <c r="D1035" s="2" t="s">
        <v>732</v>
      </c>
      <c r="E1035" t="s">
        <v>605</v>
      </c>
      <c r="F1035" s="2" t="s">
        <v>607</v>
      </c>
      <c r="H1035" t="s">
        <v>608</v>
      </c>
      <c r="I1035" t="s">
        <v>609</v>
      </c>
      <c r="J1035" t="s">
        <v>733</v>
      </c>
      <c r="K1035" t="s">
        <v>483</v>
      </c>
      <c r="L1035" t="s">
        <v>2047</v>
      </c>
      <c r="M1035">
        <f>VLOOKUP(SUBSTITUTE(J1035,"'",""),Sheet1!L:M,2,FALSE)</f>
        <v>61130</v>
      </c>
    </row>
    <row r="1036" spans="1:13" ht="13.5" customHeight="1" x14ac:dyDescent="0.4">
      <c r="A1036" s="1">
        <v>45840</v>
      </c>
      <c r="B1036" t="s">
        <v>213</v>
      </c>
      <c r="C1036">
        <v>21.4</v>
      </c>
      <c r="D1036" s="2" t="s">
        <v>726</v>
      </c>
      <c r="E1036" t="s">
        <v>213</v>
      </c>
      <c r="F1036" s="2" t="s">
        <v>215</v>
      </c>
      <c r="G1036" s="2" t="s">
        <v>216</v>
      </c>
      <c r="H1036" s="3" t="s">
        <v>217</v>
      </c>
      <c r="I1036" t="s">
        <v>16</v>
      </c>
      <c r="J1036" t="s">
        <v>727</v>
      </c>
      <c r="K1036" t="s">
        <v>188</v>
      </c>
      <c r="L1036" t="s">
        <v>2047</v>
      </c>
      <c r="M1036">
        <f>VLOOKUP(SUBSTITUTE(J1036,"'",""),Sheet1!L:M,2,FALSE)</f>
        <v>64100</v>
      </c>
    </row>
    <row r="1037" spans="1:13" ht="13.5" customHeight="1" x14ac:dyDescent="0.4">
      <c r="A1037" s="1">
        <v>45840</v>
      </c>
      <c r="B1037" t="s">
        <v>2934</v>
      </c>
      <c r="C1037">
        <v>12.79</v>
      </c>
      <c r="D1037" s="2" t="s">
        <v>3444</v>
      </c>
      <c r="E1037" t="s">
        <v>2934</v>
      </c>
      <c r="F1037" t="s">
        <v>2936</v>
      </c>
      <c r="G1037" s="2" t="s">
        <v>41</v>
      </c>
      <c r="H1037">
        <v>10003</v>
      </c>
      <c r="I1037" t="s">
        <v>16</v>
      </c>
      <c r="J1037" t="s">
        <v>3445</v>
      </c>
      <c r="K1037" t="s">
        <v>305</v>
      </c>
      <c r="L1037" t="s">
        <v>4673</v>
      </c>
      <c r="M1037">
        <f>VLOOKUP(SUBSTITUTE(J1037,"'",""),Sheet1!L:M,2,FALSE)</f>
        <v>54820</v>
      </c>
    </row>
    <row r="1038" spans="1:13" ht="13.5" customHeight="1" x14ac:dyDescent="0.4">
      <c r="A1038" s="1">
        <v>45840</v>
      </c>
      <c r="B1038" t="s">
        <v>448</v>
      </c>
      <c r="C1038">
        <v>18.309999999999999</v>
      </c>
      <c r="D1038" s="2" t="s">
        <v>724</v>
      </c>
      <c r="E1038" t="s">
        <v>448</v>
      </c>
      <c r="F1038" t="s">
        <v>29</v>
      </c>
      <c r="G1038" t="e">
        <f>-
NY</f>
        <v>#NAME?</v>
      </c>
      <c r="H1038">
        <v>11577</v>
      </c>
      <c r="I1038" t="s">
        <v>16</v>
      </c>
      <c r="J1038" t="s">
        <v>725</v>
      </c>
      <c r="K1038" t="s">
        <v>31</v>
      </c>
      <c r="L1038" t="s">
        <v>2047</v>
      </c>
      <c r="M1038">
        <f>VLOOKUP(SUBSTITUTE(J1038,"'",""),Sheet1!L:M,2,FALSE)</f>
        <v>61131</v>
      </c>
    </row>
    <row r="1039" spans="1:13" ht="13.5" customHeight="1" x14ac:dyDescent="0.4">
      <c r="A1039" s="1">
        <v>45840</v>
      </c>
      <c r="B1039" t="s">
        <v>222</v>
      </c>
      <c r="C1039">
        <v>79</v>
      </c>
      <c r="D1039" s="2" t="s">
        <v>728</v>
      </c>
      <c r="E1039" t="s">
        <v>222</v>
      </c>
      <c r="F1039" t="s">
        <v>224</v>
      </c>
      <c r="G1039" s="2" t="s">
        <v>35</v>
      </c>
      <c r="H1039">
        <v>94104</v>
      </c>
      <c r="I1039" t="s">
        <v>16</v>
      </c>
      <c r="J1039" t="s">
        <v>729</v>
      </c>
      <c r="K1039" t="s">
        <v>37</v>
      </c>
      <c r="L1039" t="s">
        <v>2047</v>
      </c>
      <c r="M1039">
        <f>VLOOKUP(SUBSTITUTE(J1039,"'",""),Sheet1!L:M,2,FALSE)</f>
        <v>64200</v>
      </c>
    </row>
    <row r="1040" spans="1:13" ht="13.5" customHeight="1" x14ac:dyDescent="0.4">
      <c r="A1040" s="1">
        <v>45840</v>
      </c>
      <c r="B1040" t="s">
        <v>3446</v>
      </c>
      <c r="C1040">
        <v>102.72</v>
      </c>
      <c r="D1040" s="2" t="s">
        <v>3447</v>
      </c>
      <c r="E1040" t="s">
        <v>3446</v>
      </c>
      <c r="F1040" s="2" t="s">
        <v>3448</v>
      </c>
      <c r="G1040" s="2" t="s">
        <v>3449</v>
      </c>
      <c r="H1040">
        <v>11105</v>
      </c>
      <c r="I1040" t="s">
        <v>16</v>
      </c>
      <c r="J1040" t="s">
        <v>3450</v>
      </c>
      <c r="K1040" t="s">
        <v>18</v>
      </c>
      <c r="L1040" t="s">
        <v>4673</v>
      </c>
      <c r="M1040">
        <f>VLOOKUP(SUBSTITUTE(J1040,"'",""),Sheet1!L:M,2,FALSE)</f>
        <v>54820</v>
      </c>
    </row>
    <row r="1041" spans="1:13" ht="13.5" customHeight="1" x14ac:dyDescent="0.4">
      <c r="A1041" s="1">
        <v>45841</v>
      </c>
      <c r="B1041" t="s">
        <v>605</v>
      </c>
      <c r="C1041">
        <v>33.590000000000003</v>
      </c>
      <c r="D1041" s="2" t="s">
        <v>720</v>
      </c>
      <c r="E1041" t="s">
        <v>605</v>
      </c>
      <c r="F1041" s="2" t="s">
        <v>607</v>
      </c>
      <c r="H1041" t="s">
        <v>608</v>
      </c>
      <c r="I1041" t="s">
        <v>609</v>
      </c>
      <c r="J1041" t="s">
        <v>721</v>
      </c>
      <c r="K1041" t="s">
        <v>483</v>
      </c>
      <c r="L1041" t="s">
        <v>2047</v>
      </c>
      <c r="M1041">
        <f>VLOOKUP(SUBSTITUTE(J1041,"'",""),Sheet1!L:M,2,FALSE)</f>
        <v>61130</v>
      </c>
    </row>
    <row r="1042" spans="1:13" ht="13.5" customHeight="1" x14ac:dyDescent="0.4">
      <c r="A1042" s="1">
        <v>45841</v>
      </c>
      <c r="B1042" t="s">
        <v>605</v>
      </c>
      <c r="C1042">
        <v>156.62</v>
      </c>
      <c r="D1042" s="2" t="s">
        <v>722</v>
      </c>
      <c r="E1042" t="s">
        <v>605</v>
      </c>
      <c r="F1042" s="2" t="s">
        <v>607</v>
      </c>
      <c r="H1042" t="s">
        <v>608</v>
      </c>
      <c r="I1042" t="s">
        <v>609</v>
      </c>
      <c r="J1042" t="s">
        <v>723</v>
      </c>
      <c r="K1042" t="s">
        <v>483</v>
      </c>
      <c r="L1042" t="s">
        <v>2047</v>
      </c>
      <c r="M1042">
        <f>VLOOKUP(SUBSTITUTE(J1042,"'",""),Sheet1!L:M,2,FALSE)</f>
        <v>61130</v>
      </c>
    </row>
    <row r="1043" spans="1:13" ht="13.5" customHeight="1" x14ac:dyDescent="0.4">
      <c r="A1043" s="1">
        <v>45841</v>
      </c>
      <c r="B1043" t="s">
        <v>153</v>
      </c>
      <c r="C1043">
        <v>25.84</v>
      </c>
      <c r="D1043" s="2" t="s">
        <v>718</v>
      </c>
      <c r="E1043" t="s">
        <v>153</v>
      </c>
      <c r="F1043" t="s">
        <v>155</v>
      </c>
      <c r="G1043" s="2" t="s">
        <v>156</v>
      </c>
      <c r="H1043">
        <v>98052</v>
      </c>
      <c r="I1043" t="s">
        <v>16</v>
      </c>
      <c r="J1043" t="s">
        <v>719</v>
      </c>
      <c r="K1043" t="s">
        <v>96</v>
      </c>
      <c r="L1043" t="s">
        <v>2047</v>
      </c>
      <c r="M1043">
        <f>VLOOKUP(SUBSTITUTE(J1043,"'",""),Sheet1!L:M,2,FALSE)</f>
        <v>64100</v>
      </c>
    </row>
    <row r="1044" spans="1:13" ht="13.5" customHeight="1" x14ac:dyDescent="0.4">
      <c r="A1044" s="1">
        <v>45841</v>
      </c>
      <c r="B1044" t="s">
        <v>2400</v>
      </c>
      <c r="C1044">
        <v>21.39</v>
      </c>
      <c r="D1044" s="2" t="s">
        <v>2401</v>
      </c>
      <c r="E1044" t="s">
        <v>2400</v>
      </c>
      <c r="F1044" t="s">
        <v>2402</v>
      </c>
      <c r="G1044" s="2" t="s">
        <v>41</v>
      </c>
      <c r="H1044">
        <v>10019</v>
      </c>
      <c r="I1044" t="s">
        <v>16</v>
      </c>
      <c r="J1044" t="s">
        <v>3441</v>
      </c>
      <c r="K1044" t="s">
        <v>110</v>
      </c>
      <c r="L1044" t="s">
        <v>4673</v>
      </c>
      <c r="M1044">
        <f>VLOOKUP(SUBSTITUTE(J1044,"'",""),Sheet1!L:M,2,FALSE)</f>
        <v>67500</v>
      </c>
    </row>
    <row r="1045" spans="1:13" ht="13.5" customHeight="1" x14ac:dyDescent="0.4">
      <c r="A1045" s="1">
        <v>45841</v>
      </c>
      <c r="B1045" t="s">
        <v>2764</v>
      </c>
      <c r="C1045">
        <v>12.25</v>
      </c>
      <c r="D1045" s="2" t="s">
        <v>3439</v>
      </c>
      <c r="E1045" t="s">
        <v>2764</v>
      </c>
      <c r="F1045" t="s">
        <v>2766</v>
      </c>
      <c r="G1045" s="2" t="s">
        <v>41</v>
      </c>
      <c r="H1045">
        <v>10011</v>
      </c>
      <c r="I1045" t="s">
        <v>16</v>
      </c>
      <c r="J1045" t="s">
        <v>3440</v>
      </c>
      <c r="K1045" t="s">
        <v>305</v>
      </c>
      <c r="L1045" t="s">
        <v>4673</v>
      </c>
      <c r="M1045">
        <f>VLOOKUP(SUBSTITUTE(J1045,"'",""),Sheet1!L:M,2,FALSE)</f>
        <v>54820</v>
      </c>
    </row>
    <row r="1046" spans="1:13" ht="13.5" customHeight="1" x14ac:dyDescent="0.4">
      <c r="A1046" s="1">
        <v>45841</v>
      </c>
      <c r="B1046" t="s">
        <v>3151</v>
      </c>
      <c r="C1046">
        <v>88.89</v>
      </c>
      <c r="D1046" s="2" t="s">
        <v>3442</v>
      </c>
      <c r="E1046" t="s">
        <v>3151</v>
      </c>
      <c r="F1046" t="s">
        <v>2743</v>
      </c>
      <c r="G1046" s="2" t="s">
        <v>41</v>
      </c>
      <c r="H1046">
        <v>10003</v>
      </c>
      <c r="I1046" t="s">
        <v>16</v>
      </c>
      <c r="J1046" t="s">
        <v>3443</v>
      </c>
      <c r="K1046" t="s">
        <v>207</v>
      </c>
      <c r="L1046" t="s">
        <v>4673</v>
      </c>
      <c r="M1046">
        <f>VLOOKUP(SUBSTITUTE(J1046,"'",""),Sheet1!L:M,2,FALSE)</f>
        <v>54820</v>
      </c>
    </row>
    <row r="1047" spans="1:13" ht="13.5" customHeight="1" x14ac:dyDescent="0.4">
      <c r="A1047" s="1">
        <v>45842</v>
      </c>
      <c r="B1047" t="s">
        <v>605</v>
      </c>
      <c r="C1047">
        <v>30.35</v>
      </c>
      <c r="D1047" s="2" t="s">
        <v>712</v>
      </c>
      <c r="E1047" t="s">
        <v>605</v>
      </c>
      <c r="F1047" s="2" t="s">
        <v>607</v>
      </c>
      <c r="H1047" t="s">
        <v>608</v>
      </c>
      <c r="I1047" t="s">
        <v>609</v>
      </c>
      <c r="J1047" t="s">
        <v>713</v>
      </c>
      <c r="K1047" t="s">
        <v>483</v>
      </c>
      <c r="L1047" t="s">
        <v>2047</v>
      </c>
      <c r="M1047">
        <f>VLOOKUP(SUBSTITUTE(J1047,"'",""),Sheet1!L:M,2,FALSE)</f>
        <v>61130</v>
      </c>
    </row>
    <row r="1048" spans="1:13" ht="13.5" customHeight="1" x14ac:dyDescent="0.4">
      <c r="A1048" s="1">
        <v>45842</v>
      </c>
      <c r="B1048" t="s">
        <v>605</v>
      </c>
      <c r="C1048">
        <v>26.89</v>
      </c>
      <c r="D1048" s="2" t="s">
        <v>710</v>
      </c>
      <c r="E1048" t="s">
        <v>605</v>
      </c>
      <c r="F1048" s="2" t="s">
        <v>607</v>
      </c>
      <c r="H1048" t="s">
        <v>608</v>
      </c>
      <c r="I1048" t="s">
        <v>609</v>
      </c>
      <c r="J1048" t="s">
        <v>711</v>
      </c>
      <c r="K1048" t="s">
        <v>483</v>
      </c>
      <c r="L1048" t="s">
        <v>2047</v>
      </c>
      <c r="M1048">
        <f>VLOOKUP(SUBSTITUTE(J1048,"'",""),Sheet1!L:M,2,FALSE)</f>
        <v>61130</v>
      </c>
    </row>
    <row r="1049" spans="1:13" ht="13.5" customHeight="1" x14ac:dyDescent="0.4">
      <c r="A1049" s="1">
        <v>45842</v>
      </c>
      <c r="B1049" t="s">
        <v>605</v>
      </c>
      <c r="C1049">
        <v>5</v>
      </c>
      <c r="D1049" s="2" t="s">
        <v>708</v>
      </c>
      <c r="E1049" t="s">
        <v>605</v>
      </c>
      <c r="F1049" s="2" t="s">
        <v>607</v>
      </c>
      <c r="H1049" t="s">
        <v>608</v>
      </c>
      <c r="I1049" t="s">
        <v>609</v>
      </c>
      <c r="J1049" t="s">
        <v>709</v>
      </c>
      <c r="K1049" t="s">
        <v>483</v>
      </c>
      <c r="L1049" t="s">
        <v>2047</v>
      </c>
      <c r="M1049">
        <f>VLOOKUP(SUBSTITUTE(J1049,"'",""),Sheet1!L:M,2,FALSE)</f>
        <v>61130</v>
      </c>
    </row>
    <row r="1050" spans="1:13" ht="13.5" customHeight="1" x14ac:dyDescent="0.4">
      <c r="A1050" s="1">
        <v>45842</v>
      </c>
      <c r="B1050" t="s">
        <v>196</v>
      </c>
      <c r="C1050">
        <v>7.99</v>
      </c>
      <c r="D1050" s="2" t="s">
        <v>197</v>
      </c>
      <c r="E1050" t="s">
        <v>196</v>
      </c>
      <c r="F1050" t="s">
        <v>198</v>
      </c>
      <c r="G1050" s="2" t="s">
        <v>199</v>
      </c>
      <c r="H1050">
        <v>91608</v>
      </c>
      <c r="I1050" t="s">
        <v>16</v>
      </c>
      <c r="J1050" t="s">
        <v>707</v>
      </c>
      <c r="K1050" t="s">
        <v>201</v>
      </c>
      <c r="L1050" t="s">
        <v>2047</v>
      </c>
      <c r="M1050">
        <f>VLOOKUP(SUBSTITUTE(J1050,"'",""),Sheet1!L:M,2,FALSE)</f>
        <v>54820</v>
      </c>
    </row>
    <row r="1051" spans="1:13" ht="13.5" customHeight="1" x14ac:dyDescent="0.4">
      <c r="A1051" s="1">
        <v>45842</v>
      </c>
      <c r="B1051" t="s">
        <v>3428</v>
      </c>
      <c r="C1051">
        <v>42.79</v>
      </c>
      <c r="D1051" s="2" t="s">
        <v>3429</v>
      </c>
      <c r="E1051" t="s">
        <v>3428</v>
      </c>
      <c r="F1051" t="s">
        <v>3430</v>
      </c>
      <c r="G1051" s="2" t="s">
        <v>3431</v>
      </c>
      <c r="H1051">
        <v>94065</v>
      </c>
      <c r="I1051" t="s">
        <v>16</v>
      </c>
      <c r="J1051" t="s">
        <v>3432</v>
      </c>
      <c r="K1051" t="s">
        <v>188</v>
      </c>
      <c r="L1051" t="s">
        <v>4673</v>
      </c>
      <c r="M1051">
        <f>VLOOKUP(SUBSTITUTE(J1051,"'",""),Sheet1!L:M,2,FALSE)</f>
        <v>54820</v>
      </c>
    </row>
    <row r="1052" spans="1:13" ht="13.5" customHeight="1" x14ac:dyDescent="0.4">
      <c r="A1052" s="1">
        <v>45842</v>
      </c>
      <c r="B1052" t="s">
        <v>605</v>
      </c>
      <c r="C1052">
        <v>78.45</v>
      </c>
      <c r="D1052" s="2" t="s">
        <v>716</v>
      </c>
      <c r="E1052" t="s">
        <v>605</v>
      </c>
      <c r="F1052" s="2" t="s">
        <v>607</v>
      </c>
      <c r="H1052" t="s">
        <v>608</v>
      </c>
      <c r="I1052" t="s">
        <v>609</v>
      </c>
      <c r="J1052" t="s">
        <v>717</v>
      </c>
      <c r="K1052" t="s">
        <v>483</v>
      </c>
      <c r="L1052" t="s">
        <v>2047</v>
      </c>
      <c r="M1052">
        <f>VLOOKUP(SUBSTITUTE(J1052,"'",""),Sheet1!L:M,2,FALSE)</f>
        <v>61130</v>
      </c>
    </row>
    <row r="1053" spans="1:13" ht="13.5" customHeight="1" x14ac:dyDescent="0.4">
      <c r="A1053" s="1">
        <v>45842</v>
      </c>
      <c r="B1053" t="s">
        <v>605</v>
      </c>
      <c r="C1053">
        <v>66.27</v>
      </c>
      <c r="D1053" s="2" t="s">
        <v>714</v>
      </c>
      <c r="E1053" t="s">
        <v>605</v>
      </c>
      <c r="F1053" s="2" t="s">
        <v>607</v>
      </c>
      <c r="H1053" t="s">
        <v>608</v>
      </c>
      <c r="I1053" t="s">
        <v>609</v>
      </c>
      <c r="J1053" t="s">
        <v>715</v>
      </c>
      <c r="K1053" t="s">
        <v>483</v>
      </c>
      <c r="L1053" t="s">
        <v>2047</v>
      </c>
      <c r="M1053">
        <f>VLOOKUP(SUBSTITUTE(J1053,"'",""),Sheet1!L:M,2,FALSE)</f>
        <v>61130</v>
      </c>
    </row>
    <row r="1054" spans="1:13" ht="13.5" customHeight="1" x14ac:dyDescent="0.4">
      <c r="A1054" s="1">
        <v>45842</v>
      </c>
      <c r="B1054" t="s">
        <v>3433</v>
      </c>
      <c r="C1054">
        <v>10.8</v>
      </c>
      <c r="D1054" s="2" t="s">
        <v>3434</v>
      </c>
      <c r="E1054" t="s">
        <v>3433</v>
      </c>
      <c r="F1054" t="s">
        <v>3435</v>
      </c>
      <c r="G1054" s="2" t="s">
        <v>41</v>
      </c>
      <c r="H1054">
        <v>10012</v>
      </c>
      <c r="I1054" t="s">
        <v>16</v>
      </c>
      <c r="J1054" t="s">
        <v>3436</v>
      </c>
      <c r="K1054" t="s">
        <v>305</v>
      </c>
      <c r="L1054" t="s">
        <v>4673</v>
      </c>
      <c r="M1054">
        <f>VLOOKUP(SUBSTITUTE(J1054,"'",""),Sheet1!L:M,2,FALSE)</f>
        <v>54820</v>
      </c>
    </row>
    <row r="1055" spans="1:13" ht="13.5" customHeight="1" x14ac:dyDescent="0.4">
      <c r="A1055" s="1">
        <v>45842</v>
      </c>
      <c r="B1055" t="s">
        <v>2393</v>
      </c>
      <c r="C1055">
        <v>9.9499999999999993</v>
      </c>
      <c r="D1055" s="2" t="s">
        <v>3424</v>
      </c>
      <c r="E1055" t="s">
        <v>2393</v>
      </c>
      <c r="F1055" s="2" t="s">
        <v>2395</v>
      </c>
      <c r="G1055" s="2" t="s">
        <v>2396</v>
      </c>
      <c r="H1055">
        <v>55331</v>
      </c>
      <c r="I1055" t="s">
        <v>16</v>
      </c>
      <c r="J1055" t="s">
        <v>3425</v>
      </c>
      <c r="K1055" t="s">
        <v>37</v>
      </c>
      <c r="L1055" t="s">
        <v>4673</v>
      </c>
      <c r="M1055">
        <f>VLOOKUP(SUBSTITUTE(J1055,"'",""),Sheet1!L:M,2,FALSE)</f>
        <v>54820</v>
      </c>
    </row>
    <row r="1056" spans="1:13" ht="13.5" customHeight="1" x14ac:dyDescent="0.4">
      <c r="A1056" s="1">
        <v>45842</v>
      </c>
      <c r="B1056" t="s">
        <v>153</v>
      </c>
      <c r="C1056">
        <v>25.84</v>
      </c>
      <c r="D1056" s="2" t="s">
        <v>705</v>
      </c>
      <c r="E1056" t="s">
        <v>153</v>
      </c>
      <c r="F1056" t="s">
        <v>155</v>
      </c>
      <c r="G1056" s="2" t="s">
        <v>156</v>
      </c>
      <c r="H1056">
        <v>98052</v>
      </c>
      <c r="I1056" t="s">
        <v>16</v>
      </c>
      <c r="J1056" t="s">
        <v>706</v>
      </c>
      <c r="K1056" t="s">
        <v>96</v>
      </c>
      <c r="L1056" t="s">
        <v>2047</v>
      </c>
      <c r="M1056">
        <f>VLOOKUP(SUBSTITUTE(J1056,"'",""),Sheet1!L:M,2,FALSE)</f>
        <v>64100</v>
      </c>
    </row>
    <row r="1057" spans="1:13" ht="13.5" customHeight="1" x14ac:dyDescent="0.4">
      <c r="A1057" s="1">
        <v>45842</v>
      </c>
      <c r="B1057" t="s">
        <v>165</v>
      </c>
      <c r="C1057">
        <v>42.8</v>
      </c>
      <c r="D1057" s="2" t="s">
        <v>3416</v>
      </c>
      <c r="E1057" t="s">
        <v>165</v>
      </c>
      <c r="F1057" s="2" t="s">
        <v>167</v>
      </c>
      <c r="G1057" s="2" t="s">
        <v>87</v>
      </c>
      <c r="H1057">
        <v>75202</v>
      </c>
      <c r="I1057" t="s">
        <v>16</v>
      </c>
      <c r="J1057" t="s">
        <v>3417</v>
      </c>
      <c r="K1057" t="s">
        <v>96</v>
      </c>
      <c r="L1057" t="s">
        <v>4673</v>
      </c>
      <c r="M1057">
        <f>VLOOKUP(SUBSTITUTE(J1057,"'",""),Sheet1!L:M,2,FALSE)</f>
        <v>64100</v>
      </c>
    </row>
    <row r="1058" spans="1:13" ht="13.5" customHeight="1" x14ac:dyDescent="0.4">
      <c r="A1058" s="1">
        <v>45842</v>
      </c>
      <c r="B1058" t="s">
        <v>165</v>
      </c>
      <c r="C1058">
        <v>32.07</v>
      </c>
      <c r="D1058" s="2" t="s">
        <v>3414</v>
      </c>
      <c r="E1058" t="s">
        <v>165</v>
      </c>
      <c r="F1058" s="2" t="s">
        <v>167</v>
      </c>
      <c r="G1058" s="2" t="s">
        <v>87</v>
      </c>
      <c r="H1058">
        <v>75202</v>
      </c>
      <c r="I1058" t="s">
        <v>16</v>
      </c>
      <c r="J1058" t="s">
        <v>3415</v>
      </c>
      <c r="K1058" t="s">
        <v>96</v>
      </c>
      <c r="L1058" t="s">
        <v>4673</v>
      </c>
      <c r="M1058">
        <f>VLOOKUP(SUBSTITUTE(J1058,"'",""),Sheet1!L:M,2,FALSE)</f>
        <v>64100</v>
      </c>
    </row>
    <row r="1059" spans="1:13" ht="13.5" customHeight="1" x14ac:dyDescent="0.4">
      <c r="A1059" s="1">
        <v>45842</v>
      </c>
      <c r="B1059" t="s">
        <v>165</v>
      </c>
      <c r="C1059">
        <v>25.68</v>
      </c>
      <c r="D1059" s="2" t="s">
        <v>3412</v>
      </c>
      <c r="E1059" t="s">
        <v>165</v>
      </c>
      <c r="F1059" s="2" t="s">
        <v>167</v>
      </c>
      <c r="G1059" s="2" t="s">
        <v>87</v>
      </c>
      <c r="H1059">
        <v>75202</v>
      </c>
      <c r="I1059" t="s">
        <v>16</v>
      </c>
      <c r="J1059" t="s">
        <v>3413</v>
      </c>
      <c r="K1059" t="s">
        <v>96</v>
      </c>
      <c r="L1059" t="s">
        <v>4673</v>
      </c>
      <c r="M1059">
        <f>VLOOKUP(SUBSTITUTE(J1059,"'",""),Sheet1!L:M,2,FALSE)</f>
        <v>64100</v>
      </c>
    </row>
    <row r="1060" spans="1:13" ht="13.5" customHeight="1" x14ac:dyDescent="0.4">
      <c r="A1060" s="1">
        <v>45842</v>
      </c>
      <c r="B1060" t="s">
        <v>165</v>
      </c>
      <c r="C1060">
        <v>68.48</v>
      </c>
      <c r="D1060" s="2" t="s">
        <v>3418</v>
      </c>
      <c r="E1060" t="s">
        <v>165</v>
      </c>
      <c r="F1060" s="2" t="s">
        <v>167</v>
      </c>
      <c r="G1060" s="2" t="s">
        <v>87</v>
      </c>
      <c r="H1060">
        <v>75202</v>
      </c>
      <c r="I1060" t="s">
        <v>16</v>
      </c>
      <c r="J1060" t="s">
        <v>3419</v>
      </c>
      <c r="K1060" t="s">
        <v>96</v>
      </c>
      <c r="L1060" t="s">
        <v>4673</v>
      </c>
      <c r="M1060">
        <f>VLOOKUP(SUBSTITUTE(J1060,"'",""),Sheet1!L:M,2,FALSE)</f>
        <v>64100</v>
      </c>
    </row>
    <row r="1061" spans="1:13" ht="13.5" customHeight="1" x14ac:dyDescent="0.4">
      <c r="A1061" s="1">
        <v>45842</v>
      </c>
      <c r="B1061" t="s">
        <v>2390</v>
      </c>
      <c r="C1061">
        <v>21.4</v>
      </c>
      <c r="D1061" s="2" t="s">
        <v>3422</v>
      </c>
      <c r="E1061" t="s">
        <v>2390</v>
      </c>
      <c r="F1061" s="2" t="s">
        <v>167</v>
      </c>
      <c r="G1061" s="2" t="s">
        <v>87</v>
      </c>
      <c r="H1061">
        <v>75202</v>
      </c>
      <c r="I1061" t="s">
        <v>16</v>
      </c>
      <c r="J1061" t="s">
        <v>3423</v>
      </c>
      <c r="K1061" t="s">
        <v>96</v>
      </c>
      <c r="L1061" t="s">
        <v>4673</v>
      </c>
      <c r="M1061">
        <f>VLOOKUP(SUBSTITUTE(J1061,"'",""),Sheet1!L:M,2,FALSE)</f>
        <v>64100</v>
      </c>
    </row>
    <row r="1062" spans="1:13" ht="13.5" customHeight="1" x14ac:dyDescent="0.4">
      <c r="A1062" s="1">
        <v>45842</v>
      </c>
      <c r="B1062" t="s">
        <v>165</v>
      </c>
      <c r="C1062">
        <v>289.06</v>
      </c>
      <c r="D1062" s="2" t="s">
        <v>3420</v>
      </c>
      <c r="E1062" t="s">
        <v>165</v>
      </c>
      <c r="F1062" s="2" t="s">
        <v>167</v>
      </c>
      <c r="G1062" s="2" t="s">
        <v>87</v>
      </c>
      <c r="H1062">
        <v>75202</v>
      </c>
      <c r="I1062" t="s">
        <v>16</v>
      </c>
      <c r="J1062" t="s">
        <v>3421</v>
      </c>
      <c r="K1062" t="s">
        <v>96</v>
      </c>
      <c r="L1062" t="s">
        <v>4673</v>
      </c>
      <c r="M1062">
        <f>VLOOKUP(SUBSTITUTE(J1062,"'",""),Sheet1!L:M,2,FALSE)</f>
        <v>64100</v>
      </c>
    </row>
    <row r="1063" spans="1:13" ht="13.5" customHeight="1" x14ac:dyDescent="0.4">
      <c r="A1063" s="1">
        <v>45842</v>
      </c>
      <c r="B1063" t="s">
        <v>2142</v>
      </c>
      <c r="C1063">
        <v>68.37</v>
      </c>
      <c r="D1063" s="2" t="s">
        <v>3426</v>
      </c>
      <c r="E1063" t="s">
        <v>2142</v>
      </c>
      <c r="F1063" t="s">
        <v>2144</v>
      </c>
      <c r="G1063" s="2" t="s">
        <v>41</v>
      </c>
      <c r="H1063">
        <v>10012</v>
      </c>
      <c r="I1063" t="s">
        <v>16</v>
      </c>
      <c r="J1063" t="s">
        <v>3427</v>
      </c>
      <c r="K1063" t="s">
        <v>1304</v>
      </c>
      <c r="L1063" t="s">
        <v>4673</v>
      </c>
      <c r="M1063">
        <f>VLOOKUP(SUBSTITUTE(J1063,"'",""),Sheet1!L:M,2,FALSE)</f>
        <v>54820</v>
      </c>
    </row>
    <row r="1064" spans="1:13" ht="13.5" customHeight="1" x14ac:dyDescent="0.4">
      <c r="A1064" s="1">
        <v>45842</v>
      </c>
      <c r="B1064" t="s">
        <v>2340</v>
      </c>
      <c r="C1064">
        <v>17.04</v>
      </c>
      <c r="D1064" s="2" t="s">
        <v>3437</v>
      </c>
      <c r="E1064" t="s">
        <v>2340</v>
      </c>
      <c r="F1064" s="2" t="s">
        <v>2342</v>
      </c>
      <c r="G1064" s="2" t="s">
        <v>14</v>
      </c>
      <c r="H1064">
        <v>98119</v>
      </c>
      <c r="I1064" t="s">
        <v>16</v>
      </c>
      <c r="J1064" t="s">
        <v>3438</v>
      </c>
      <c r="K1064" t="s">
        <v>96</v>
      </c>
      <c r="L1064" t="s">
        <v>4673</v>
      </c>
      <c r="M1064">
        <f>VLOOKUP(SUBSTITUTE(J1064,"'",""),Sheet1!L:M,2,FALSE)</f>
        <v>65700</v>
      </c>
    </row>
    <row r="1065" spans="1:13" ht="13.5" customHeight="1" x14ac:dyDescent="0.4">
      <c r="A1065" s="1">
        <v>45843</v>
      </c>
      <c r="B1065" t="s">
        <v>695</v>
      </c>
      <c r="C1065">
        <v>1783.27</v>
      </c>
      <c r="D1065" s="2" t="s">
        <v>696</v>
      </c>
      <c r="E1065" t="s">
        <v>695</v>
      </c>
      <c r="F1065" s="2" t="s">
        <v>697</v>
      </c>
      <c r="H1065" s="3" t="s">
        <v>673</v>
      </c>
      <c r="I1065" t="s">
        <v>596</v>
      </c>
      <c r="J1065" t="s">
        <v>698</v>
      </c>
      <c r="K1065" t="s">
        <v>50</v>
      </c>
      <c r="L1065" t="s">
        <v>2047</v>
      </c>
      <c r="M1065">
        <f>VLOOKUP(SUBSTITUTE(J1065,"'",""),Sheet1!L:M,2,FALSE)</f>
        <v>54820</v>
      </c>
    </row>
    <row r="1066" spans="1:13" ht="13.5" customHeight="1" x14ac:dyDescent="0.4">
      <c r="A1066" s="1">
        <v>45843</v>
      </c>
      <c r="B1066" t="s">
        <v>699</v>
      </c>
      <c r="C1066">
        <v>458.59</v>
      </c>
      <c r="D1066" s="2" t="s">
        <v>700</v>
      </c>
      <c r="E1066" t="s">
        <v>699</v>
      </c>
      <c r="F1066" s="2" t="s">
        <v>701</v>
      </c>
      <c r="H1066" s="3" t="s">
        <v>673</v>
      </c>
      <c r="I1066" t="s">
        <v>596</v>
      </c>
      <c r="J1066" t="s">
        <v>702</v>
      </c>
      <c r="K1066" t="s">
        <v>50</v>
      </c>
      <c r="L1066" t="s">
        <v>2047</v>
      </c>
      <c r="M1066">
        <f>VLOOKUP(SUBSTITUTE(J1066,"'",""),Sheet1!L:M,2,FALSE)</f>
        <v>54820</v>
      </c>
    </row>
    <row r="1067" spans="1:13" ht="13.5" customHeight="1" x14ac:dyDescent="0.4">
      <c r="A1067" s="1">
        <v>45843</v>
      </c>
      <c r="B1067" t="s">
        <v>517</v>
      </c>
      <c r="C1067">
        <v>4</v>
      </c>
      <c r="D1067" s="2" t="s">
        <v>693</v>
      </c>
      <c r="E1067" t="s">
        <v>517</v>
      </c>
      <c r="F1067" t="s">
        <v>519</v>
      </c>
      <c r="G1067" s="2" t="s">
        <v>35</v>
      </c>
      <c r="H1067">
        <v>94107</v>
      </c>
      <c r="I1067" t="s">
        <v>16</v>
      </c>
      <c r="J1067" t="s">
        <v>694</v>
      </c>
      <c r="K1067" t="s">
        <v>96</v>
      </c>
      <c r="L1067" t="s">
        <v>2047</v>
      </c>
      <c r="M1067">
        <f>VLOOKUP(SUBSTITUTE(J1067,"'",""),Sheet1!L:M,2,FALSE)</f>
        <v>64100</v>
      </c>
    </row>
    <row r="1068" spans="1:13" ht="13.5" customHeight="1" x14ac:dyDescent="0.4">
      <c r="A1068" s="1">
        <v>45843</v>
      </c>
      <c r="B1068" t="s">
        <v>106</v>
      </c>
      <c r="C1068">
        <v>41.98</v>
      </c>
      <c r="D1068" s="2" t="s">
        <v>3410</v>
      </c>
      <c r="E1068" t="s">
        <v>106</v>
      </c>
      <c r="F1068" t="s">
        <v>108</v>
      </c>
      <c r="G1068" s="2" t="s">
        <v>41</v>
      </c>
      <c r="H1068">
        <v>10012</v>
      </c>
      <c r="I1068" t="s">
        <v>16</v>
      </c>
      <c r="J1068" t="s">
        <v>3411</v>
      </c>
      <c r="K1068" t="s">
        <v>110</v>
      </c>
      <c r="L1068" t="s">
        <v>4673</v>
      </c>
      <c r="M1068">
        <f>VLOOKUP(SUBSTITUTE(J1068,"'",""),Sheet1!L:M,2,FALSE)</f>
        <v>67500</v>
      </c>
    </row>
    <row r="1069" spans="1:13" ht="13.5" customHeight="1" x14ac:dyDescent="0.4">
      <c r="A1069" s="1">
        <v>45843</v>
      </c>
      <c r="B1069" t="s">
        <v>605</v>
      </c>
      <c r="C1069">
        <v>102.49</v>
      </c>
      <c r="D1069" s="2" t="s">
        <v>703</v>
      </c>
      <c r="E1069" t="s">
        <v>605</v>
      </c>
      <c r="F1069" s="2" t="s">
        <v>607</v>
      </c>
      <c r="H1069" t="s">
        <v>608</v>
      </c>
      <c r="I1069" t="s">
        <v>609</v>
      </c>
      <c r="J1069" t="s">
        <v>704</v>
      </c>
      <c r="K1069" t="s">
        <v>483</v>
      </c>
      <c r="L1069" t="s">
        <v>2047</v>
      </c>
      <c r="M1069">
        <f>VLOOKUP(SUBSTITUTE(J1069,"'",""),Sheet1!L:M,2,FALSE)</f>
        <v>61130</v>
      </c>
    </row>
    <row r="1070" spans="1:13" ht="13.5" customHeight="1" x14ac:dyDescent="0.4">
      <c r="A1070" s="1">
        <v>45843</v>
      </c>
      <c r="B1070" t="s">
        <v>2934</v>
      </c>
      <c r="C1070">
        <v>12.79</v>
      </c>
      <c r="D1070" s="2" t="s">
        <v>3404</v>
      </c>
      <c r="E1070" t="s">
        <v>2934</v>
      </c>
      <c r="F1070" t="s">
        <v>2936</v>
      </c>
      <c r="G1070" s="2" t="s">
        <v>41</v>
      </c>
      <c r="H1070">
        <v>10003</v>
      </c>
      <c r="I1070" t="s">
        <v>16</v>
      </c>
      <c r="J1070" t="s">
        <v>3405</v>
      </c>
      <c r="K1070" t="s">
        <v>305</v>
      </c>
      <c r="L1070" t="s">
        <v>4673</v>
      </c>
      <c r="M1070">
        <f>VLOOKUP(SUBSTITUTE(J1070,"'",""),Sheet1!L:M,2,FALSE)</f>
        <v>54820</v>
      </c>
    </row>
    <row r="1071" spans="1:13" ht="13.5" customHeight="1" x14ac:dyDescent="0.4">
      <c r="A1071" s="1">
        <v>45843</v>
      </c>
      <c r="B1071" t="s">
        <v>2764</v>
      </c>
      <c r="C1071">
        <v>8.66</v>
      </c>
      <c r="D1071" s="2" t="s">
        <v>3389</v>
      </c>
      <c r="E1071" t="s">
        <v>2764</v>
      </c>
      <c r="F1071" t="s">
        <v>2766</v>
      </c>
      <c r="G1071" s="2" t="s">
        <v>41</v>
      </c>
      <c r="H1071">
        <v>10011</v>
      </c>
      <c r="I1071" t="s">
        <v>16</v>
      </c>
      <c r="J1071" t="s">
        <v>3390</v>
      </c>
      <c r="K1071" t="s">
        <v>305</v>
      </c>
      <c r="L1071" t="s">
        <v>4673</v>
      </c>
      <c r="M1071">
        <f>VLOOKUP(SUBSTITUTE(J1071,"'",""),Sheet1!L:M,2,FALSE)</f>
        <v>54820</v>
      </c>
    </row>
    <row r="1072" spans="1:13" ht="13.5" customHeight="1" x14ac:dyDescent="0.4">
      <c r="A1072" s="1">
        <v>45843</v>
      </c>
      <c r="B1072" t="s">
        <v>1578</v>
      </c>
      <c r="C1072">
        <v>7.2</v>
      </c>
      <c r="D1072" s="2" t="s">
        <v>3393</v>
      </c>
      <c r="E1072" t="s">
        <v>1578</v>
      </c>
      <c r="F1072" s="2" t="s">
        <v>1387</v>
      </c>
      <c r="G1072" s="2" t="s">
        <v>1388</v>
      </c>
      <c r="H1072">
        <v>11430</v>
      </c>
      <c r="I1072" t="s">
        <v>16</v>
      </c>
      <c r="J1072" t="s">
        <v>3394</v>
      </c>
      <c r="K1072" t="s">
        <v>1390</v>
      </c>
      <c r="L1072" t="s">
        <v>4673</v>
      </c>
      <c r="M1072">
        <f>VLOOKUP(SUBSTITUTE(J1072,"'",""),Sheet1!L:M,2,FALSE)</f>
        <v>54820</v>
      </c>
    </row>
    <row r="1073" spans="1:13" ht="13.5" customHeight="1" x14ac:dyDescent="0.4">
      <c r="A1073" s="1">
        <v>45843</v>
      </c>
      <c r="B1073" t="s">
        <v>3401</v>
      </c>
      <c r="C1073">
        <v>8.51</v>
      </c>
      <c r="D1073" s="2" t="s">
        <v>3402</v>
      </c>
      <c r="E1073" t="s">
        <v>3401</v>
      </c>
      <c r="F1073" s="2" t="s">
        <v>1387</v>
      </c>
      <c r="G1073" s="2" t="s">
        <v>1388</v>
      </c>
      <c r="H1073">
        <v>11430</v>
      </c>
      <c r="I1073" t="s">
        <v>16</v>
      </c>
      <c r="J1073" t="s">
        <v>3403</v>
      </c>
      <c r="K1073" t="s">
        <v>1390</v>
      </c>
      <c r="L1073" t="s">
        <v>4673</v>
      </c>
      <c r="M1073">
        <f>VLOOKUP(SUBSTITUTE(J1073,"'",""),Sheet1!L:M,2,FALSE)</f>
        <v>54820</v>
      </c>
    </row>
    <row r="1074" spans="1:13" ht="13.5" customHeight="1" x14ac:dyDescent="0.4">
      <c r="A1074" s="1">
        <v>45843</v>
      </c>
      <c r="B1074" t="s">
        <v>1300</v>
      </c>
      <c r="C1074">
        <v>39.46</v>
      </c>
      <c r="D1074" s="2" t="s">
        <v>3391</v>
      </c>
      <c r="E1074" t="s">
        <v>1300</v>
      </c>
      <c r="F1074" t="s">
        <v>1302</v>
      </c>
      <c r="G1074" s="2" t="s">
        <v>41</v>
      </c>
      <c r="H1074">
        <v>10003</v>
      </c>
      <c r="I1074" t="s">
        <v>16</v>
      </c>
      <c r="J1074" t="s">
        <v>3392</v>
      </c>
      <c r="K1074" t="s">
        <v>1304</v>
      </c>
      <c r="L1074" t="s">
        <v>4673</v>
      </c>
      <c r="M1074">
        <f>VLOOKUP(SUBSTITUTE(J1074,"'",""),Sheet1!L:M,2,FALSE)</f>
        <v>54820</v>
      </c>
    </row>
    <row r="1075" spans="1:13" ht="13.5" customHeight="1" x14ac:dyDescent="0.4">
      <c r="A1075" s="1">
        <v>45843</v>
      </c>
      <c r="B1075" t="s">
        <v>3398</v>
      </c>
      <c r="C1075">
        <v>3</v>
      </c>
      <c r="D1075" s="2" t="s">
        <v>3399</v>
      </c>
      <c r="E1075" t="s">
        <v>3398</v>
      </c>
      <c r="F1075" s="2" t="s">
        <v>1387</v>
      </c>
      <c r="G1075" s="2" t="s">
        <v>1388</v>
      </c>
      <c r="H1075">
        <v>11430</v>
      </c>
      <c r="I1075" t="s">
        <v>16</v>
      </c>
      <c r="J1075" t="s">
        <v>3400</v>
      </c>
      <c r="K1075" t="s">
        <v>1390</v>
      </c>
      <c r="L1075" t="s">
        <v>4673</v>
      </c>
      <c r="M1075">
        <f>VLOOKUP(SUBSTITUTE(J1075,"'",""),Sheet1!L:M,2,FALSE)</f>
        <v>54820</v>
      </c>
    </row>
    <row r="1076" spans="1:13" ht="13.5" customHeight="1" x14ac:dyDescent="0.4">
      <c r="A1076" s="1">
        <v>45843</v>
      </c>
      <c r="B1076" t="s">
        <v>3395</v>
      </c>
      <c r="C1076">
        <v>14.41</v>
      </c>
      <c r="D1076" s="2" t="s">
        <v>3396</v>
      </c>
      <c r="E1076" t="s">
        <v>3395</v>
      </c>
      <c r="F1076" s="2" t="s">
        <v>1387</v>
      </c>
      <c r="G1076" s="2" t="s">
        <v>1388</v>
      </c>
      <c r="H1076">
        <v>11430</v>
      </c>
      <c r="I1076" t="s">
        <v>16</v>
      </c>
      <c r="J1076" t="s">
        <v>3397</v>
      </c>
      <c r="K1076" t="s">
        <v>1390</v>
      </c>
      <c r="L1076" t="s">
        <v>4673</v>
      </c>
      <c r="M1076">
        <f>VLOOKUP(SUBSTITUTE(J1076,"'",""),Sheet1!L:M,2,FALSE)</f>
        <v>54820</v>
      </c>
    </row>
    <row r="1077" spans="1:13" ht="13.5" customHeight="1" x14ac:dyDescent="0.4">
      <c r="A1077" s="1">
        <v>45843</v>
      </c>
      <c r="B1077" t="s">
        <v>3406</v>
      </c>
      <c r="C1077">
        <v>13.6</v>
      </c>
      <c r="D1077" s="2" t="s">
        <v>3407</v>
      </c>
      <c r="E1077" t="s">
        <v>3406</v>
      </c>
      <c r="F1077" t="s">
        <v>3408</v>
      </c>
      <c r="G1077" s="2" t="s">
        <v>41</v>
      </c>
      <c r="H1077">
        <v>10012</v>
      </c>
      <c r="I1077" t="s">
        <v>16</v>
      </c>
      <c r="J1077" t="s">
        <v>3409</v>
      </c>
      <c r="K1077" t="s">
        <v>1218</v>
      </c>
      <c r="L1077" t="s">
        <v>4673</v>
      </c>
      <c r="M1077">
        <f>VLOOKUP(SUBSTITUTE(J1077,"'",""),Sheet1!L:M,2,FALSE)</f>
        <v>54820</v>
      </c>
    </row>
    <row r="1078" spans="1:13" ht="13.5" customHeight="1" x14ac:dyDescent="0.4">
      <c r="A1078" s="1">
        <v>45844</v>
      </c>
      <c r="B1078" t="s">
        <v>22</v>
      </c>
      <c r="C1078">
        <v>-2500</v>
      </c>
      <c r="D1078" t="s">
        <v>22</v>
      </c>
      <c r="E1078" t="s">
        <v>22</v>
      </c>
      <c r="J1078" t="s">
        <v>3386</v>
      </c>
      <c r="L1078" t="s">
        <v>4673</v>
      </c>
      <c r="M1078" t="e">
        <f>VLOOKUP(SUBSTITUTE(J1078,"'",""),Sheet1!L:M,2,FALSE)</f>
        <v>#N/A</v>
      </c>
    </row>
    <row r="1079" spans="1:13" ht="13.5" customHeight="1" x14ac:dyDescent="0.4">
      <c r="A1079" s="1">
        <v>45844</v>
      </c>
      <c r="B1079" t="s">
        <v>22</v>
      </c>
      <c r="C1079">
        <v>-5000</v>
      </c>
      <c r="D1079" t="s">
        <v>22</v>
      </c>
      <c r="E1079" t="s">
        <v>22</v>
      </c>
      <c r="J1079" t="s">
        <v>692</v>
      </c>
      <c r="L1079" t="s">
        <v>2047</v>
      </c>
      <c r="M1079" t="e">
        <f>VLOOKUP(SUBSTITUTE(J1079,"'",""),Sheet1!L:M,2,FALSE)</f>
        <v>#N/A</v>
      </c>
    </row>
    <row r="1080" spans="1:13" ht="13.5" customHeight="1" x14ac:dyDescent="0.4">
      <c r="A1080" s="1">
        <v>45844</v>
      </c>
      <c r="B1080" t="s">
        <v>2344</v>
      </c>
      <c r="C1080">
        <v>9.42</v>
      </c>
      <c r="D1080" s="2" t="s">
        <v>3382</v>
      </c>
      <c r="E1080" t="s">
        <v>2344</v>
      </c>
      <c r="F1080" t="s">
        <v>2219</v>
      </c>
      <c r="G1080" s="2" t="s">
        <v>41</v>
      </c>
      <c r="H1080">
        <v>10013</v>
      </c>
      <c r="I1080" t="s">
        <v>16</v>
      </c>
      <c r="J1080" t="s">
        <v>3383</v>
      </c>
      <c r="K1080" t="s">
        <v>321</v>
      </c>
      <c r="L1080" t="s">
        <v>4673</v>
      </c>
      <c r="M1080">
        <f>VLOOKUP(SUBSTITUTE(J1080,"'",""),Sheet1!L:M,2,FALSE)</f>
        <v>54820</v>
      </c>
    </row>
    <row r="1081" spans="1:13" ht="13.5" customHeight="1" x14ac:dyDescent="0.4">
      <c r="A1081" s="1">
        <v>45844</v>
      </c>
      <c r="B1081" t="s">
        <v>184</v>
      </c>
      <c r="C1081">
        <v>25.68</v>
      </c>
      <c r="D1081" s="2" t="s">
        <v>690</v>
      </c>
      <c r="E1081" t="s">
        <v>184</v>
      </c>
      <c r="F1081" s="2" t="s">
        <v>186</v>
      </c>
      <c r="G1081" s="2" t="s">
        <v>35</v>
      </c>
      <c r="H1081">
        <v>94105</v>
      </c>
      <c r="I1081" t="s">
        <v>16</v>
      </c>
      <c r="J1081" t="s">
        <v>691</v>
      </c>
      <c r="K1081" t="s">
        <v>188</v>
      </c>
      <c r="L1081" t="s">
        <v>2047</v>
      </c>
      <c r="M1081">
        <f>VLOOKUP(SUBSTITUTE(J1081,"'",""),Sheet1!L:M,2,FALSE)</f>
        <v>64100</v>
      </c>
    </row>
    <row r="1082" spans="1:13" ht="13.5" customHeight="1" x14ac:dyDescent="0.4">
      <c r="A1082" s="1">
        <v>45844</v>
      </c>
      <c r="B1082" t="s">
        <v>2354</v>
      </c>
      <c r="C1082">
        <v>113</v>
      </c>
      <c r="D1082" s="2" t="s">
        <v>3387</v>
      </c>
      <c r="E1082" t="s">
        <v>2354</v>
      </c>
      <c r="F1082" t="s">
        <v>2356</v>
      </c>
      <c r="G1082" s="2" t="s">
        <v>2357</v>
      </c>
      <c r="H1082">
        <v>63131</v>
      </c>
      <c r="I1082" t="s">
        <v>16</v>
      </c>
      <c r="J1082" t="s">
        <v>3388</v>
      </c>
      <c r="K1082" t="s">
        <v>201</v>
      </c>
      <c r="L1082" t="s">
        <v>4673</v>
      </c>
      <c r="M1082">
        <f>VLOOKUP(SUBSTITUTE(J1082,"'",""),Sheet1!L:M,2,FALSE)</f>
        <v>65700</v>
      </c>
    </row>
    <row r="1083" spans="1:13" ht="13.5" customHeight="1" x14ac:dyDescent="0.4">
      <c r="A1083" s="1">
        <v>45844</v>
      </c>
      <c r="B1083" t="s">
        <v>3379</v>
      </c>
      <c r="C1083">
        <v>1.6</v>
      </c>
      <c r="D1083" s="2" t="s">
        <v>3380</v>
      </c>
      <c r="E1083" t="s">
        <v>3379</v>
      </c>
      <c r="F1083" t="s">
        <v>2248</v>
      </c>
      <c r="G1083" s="2" t="s">
        <v>2249</v>
      </c>
      <c r="H1083">
        <v>94025</v>
      </c>
      <c r="I1083" t="s">
        <v>16</v>
      </c>
      <c r="J1083" t="s">
        <v>3381</v>
      </c>
      <c r="K1083" t="s">
        <v>2335</v>
      </c>
      <c r="L1083" t="s">
        <v>4673</v>
      </c>
      <c r="M1083">
        <f>VLOOKUP(SUBSTITUTE(J1083,"'",""),Sheet1!L:M,2,FALSE)</f>
        <v>54820</v>
      </c>
    </row>
    <row r="1084" spans="1:13" ht="13.5" customHeight="1" x14ac:dyDescent="0.4">
      <c r="A1084" s="1">
        <v>45844</v>
      </c>
      <c r="B1084" t="s">
        <v>2690</v>
      </c>
      <c r="C1084">
        <v>100</v>
      </c>
      <c r="D1084" s="2" t="s">
        <v>3384</v>
      </c>
      <c r="E1084" t="s">
        <v>2690</v>
      </c>
      <c r="F1084" t="s">
        <v>2349</v>
      </c>
      <c r="G1084" s="2" t="s">
        <v>41</v>
      </c>
      <c r="H1084" t="s">
        <v>2350</v>
      </c>
      <c r="I1084" t="s">
        <v>16</v>
      </c>
      <c r="J1084" t="s">
        <v>3385</v>
      </c>
      <c r="K1084" t="s">
        <v>116</v>
      </c>
      <c r="L1084" t="s">
        <v>4673</v>
      </c>
      <c r="M1084">
        <f>VLOOKUP(SUBSTITUTE(J1084,"'",""),Sheet1!L:M,2,FALSE)</f>
        <v>54820</v>
      </c>
    </row>
    <row r="1085" spans="1:13" ht="13.5" customHeight="1" x14ac:dyDescent="0.4">
      <c r="A1085" s="1">
        <v>45845</v>
      </c>
      <c r="B1085" t="s">
        <v>3374</v>
      </c>
      <c r="C1085">
        <v>268.79000000000002</v>
      </c>
      <c r="D1085" s="2" t="s">
        <v>3375</v>
      </c>
      <c r="E1085" t="s">
        <v>3374</v>
      </c>
      <c r="F1085" s="2" t="s">
        <v>3376</v>
      </c>
      <c r="H1085" t="s">
        <v>3377</v>
      </c>
      <c r="I1085" t="s">
        <v>609</v>
      </c>
      <c r="J1085" t="s">
        <v>3378</v>
      </c>
      <c r="K1085" t="s">
        <v>763</v>
      </c>
      <c r="L1085" t="s">
        <v>4673</v>
      </c>
      <c r="M1085">
        <f>VLOOKUP(SUBSTITUTE(J1085,"'",""),Sheet1!L:M,2,FALSE)</f>
        <v>54820</v>
      </c>
    </row>
    <row r="1086" spans="1:13" ht="13.5" customHeight="1" x14ac:dyDescent="0.4">
      <c r="A1086" s="1">
        <v>45845</v>
      </c>
      <c r="B1086" t="s">
        <v>165</v>
      </c>
      <c r="C1086">
        <v>21.38</v>
      </c>
      <c r="D1086" s="2" t="s">
        <v>683</v>
      </c>
      <c r="E1086" t="s">
        <v>165</v>
      </c>
      <c r="F1086" s="2" t="s">
        <v>167</v>
      </c>
      <c r="G1086" s="2" t="s">
        <v>87</v>
      </c>
      <c r="H1086">
        <v>75202</v>
      </c>
      <c r="I1086" t="s">
        <v>16</v>
      </c>
      <c r="J1086" t="s">
        <v>684</v>
      </c>
      <c r="K1086" t="s">
        <v>96</v>
      </c>
      <c r="L1086" t="s">
        <v>2047</v>
      </c>
      <c r="M1086">
        <f>VLOOKUP(SUBSTITUTE(J1086,"'",""),Sheet1!L:M,2,FALSE)</f>
        <v>64100</v>
      </c>
    </row>
    <row r="1087" spans="1:13" ht="13.5" customHeight="1" x14ac:dyDescent="0.4">
      <c r="A1087" s="1">
        <v>45845</v>
      </c>
      <c r="B1087" t="s">
        <v>2311</v>
      </c>
      <c r="C1087">
        <v>41.12</v>
      </c>
      <c r="D1087" s="2" t="s">
        <v>3372</v>
      </c>
      <c r="E1087" t="s">
        <v>2311</v>
      </c>
      <c r="F1087" s="2" t="s">
        <v>2313</v>
      </c>
      <c r="G1087" s="2" t="s">
        <v>2314</v>
      </c>
      <c r="H1087" t="s">
        <v>2315</v>
      </c>
      <c r="I1087" t="s">
        <v>16</v>
      </c>
      <c r="J1087" t="s">
        <v>3373</v>
      </c>
      <c r="K1087" t="s">
        <v>37</v>
      </c>
      <c r="L1087" t="s">
        <v>4673</v>
      </c>
      <c r="M1087">
        <f>VLOOKUP(SUBSTITUTE(J1087,"'",""),Sheet1!L:M,2,FALSE)</f>
        <v>64100</v>
      </c>
    </row>
    <row r="1088" spans="1:13" ht="13.5" customHeight="1" x14ac:dyDescent="0.4">
      <c r="A1088" s="1">
        <v>45845</v>
      </c>
      <c r="B1088" t="s">
        <v>685</v>
      </c>
      <c r="C1088">
        <v>911.4</v>
      </c>
      <c r="D1088" s="2" t="s">
        <v>686</v>
      </c>
      <c r="E1088" t="s">
        <v>685</v>
      </c>
      <c r="F1088" s="2" t="s">
        <v>687</v>
      </c>
      <c r="H1088" s="3" t="s">
        <v>688</v>
      </c>
      <c r="I1088" t="s">
        <v>596</v>
      </c>
      <c r="J1088" t="s">
        <v>689</v>
      </c>
      <c r="K1088" t="s">
        <v>126</v>
      </c>
      <c r="L1088" t="s">
        <v>2047</v>
      </c>
      <c r="M1088">
        <f>VLOOKUP(SUBSTITUTE(J1088,"'",""),Sheet1!L:M,2,FALSE)</f>
        <v>54820</v>
      </c>
    </row>
    <row r="1089" spans="1:13" ht="13.5" customHeight="1" x14ac:dyDescent="0.4">
      <c r="A1089" s="1">
        <v>45846</v>
      </c>
      <c r="B1089" t="s">
        <v>2303</v>
      </c>
      <c r="C1089">
        <v>532.9</v>
      </c>
      <c r="D1089" t="s">
        <v>2303</v>
      </c>
      <c r="E1089" t="s">
        <v>2303</v>
      </c>
      <c r="J1089" t="s">
        <v>3366</v>
      </c>
      <c r="K1089" t="s">
        <v>21</v>
      </c>
      <c r="L1089" t="s">
        <v>4673</v>
      </c>
      <c r="M1089">
        <f>VLOOKUP(SUBSTITUTE(J1089,"'",""),Sheet1!L:M,2,FALSE)</f>
        <v>80100</v>
      </c>
    </row>
    <row r="1090" spans="1:13" ht="13.5" customHeight="1" x14ac:dyDescent="0.4">
      <c r="A1090" s="1">
        <v>45846</v>
      </c>
      <c r="B1090" t="s">
        <v>3367</v>
      </c>
      <c r="C1090">
        <v>258.72000000000003</v>
      </c>
      <c r="D1090" s="2" t="s">
        <v>3368</v>
      </c>
      <c r="E1090" t="s">
        <v>3367</v>
      </c>
      <c r="F1090" s="2" t="s">
        <v>3369</v>
      </c>
      <c r="H1090">
        <v>28046</v>
      </c>
      <c r="I1090" t="s">
        <v>596</v>
      </c>
      <c r="J1090" t="s">
        <v>3370</v>
      </c>
      <c r="K1090" t="s">
        <v>126</v>
      </c>
      <c r="L1090" t="s">
        <v>4673</v>
      </c>
      <c r="M1090">
        <f>VLOOKUP(SUBSTITUTE(J1090,"'",""),Sheet1!L:M,2,FALSE)</f>
        <v>61215</v>
      </c>
    </row>
    <row r="1091" spans="1:13" ht="13.5" customHeight="1" x14ac:dyDescent="0.4">
      <c r="A1091" s="1">
        <v>45846</v>
      </c>
      <c r="B1091" t="s">
        <v>2181</v>
      </c>
      <c r="C1091">
        <v>15.99</v>
      </c>
      <c r="D1091" s="2" t="s">
        <v>3362</v>
      </c>
      <c r="E1091" t="s">
        <v>2181</v>
      </c>
      <c r="F1091" s="2" t="s">
        <v>2183</v>
      </c>
      <c r="G1091" s="2" t="s">
        <v>1376</v>
      </c>
      <c r="H1091" t="s">
        <v>2184</v>
      </c>
      <c r="I1091" t="s">
        <v>16</v>
      </c>
      <c r="J1091" t="s">
        <v>3363</v>
      </c>
      <c r="K1091" t="s">
        <v>18</v>
      </c>
      <c r="L1091" t="s">
        <v>4673</v>
      </c>
      <c r="M1091">
        <f>VLOOKUP(SUBSTITUTE(J1091,"'",""),Sheet1!L:M,2,FALSE)</f>
        <v>54820</v>
      </c>
    </row>
    <row r="1092" spans="1:13" ht="13.5" customHeight="1" x14ac:dyDescent="0.4">
      <c r="A1092" s="1">
        <v>45846</v>
      </c>
      <c r="B1092" t="s">
        <v>677</v>
      </c>
      <c r="C1092">
        <v>190.51</v>
      </c>
      <c r="D1092" s="2" t="s">
        <v>678</v>
      </c>
      <c r="E1092" t="s">
        <v>677</v>
      </c>
      <c r="F1092" s="2" t="s">
        <v>679</v>
      </c>
      <c r="H1092" s="3" t="s">
        <v>680</v>
      </c>
      <c r="I1092" t="s">
        <v>596</v>
      </c>
      <c r="J1092" t="s">
        <v>681</v>
      </c>
      <c r="K1092" t="s">
        <v>682</v>
      </c>
      <c r="L1092" t="s">
        <v>2047</v>
      </c>
      <c r="M1092">
        <f>VLOOKUP(SUBSTITUTE(J1092,"'",""),Sheet1!L:M,2,FALSE)</f>
        <v>54820</v>
      </c>
    </row>
    <row r="1093" spans="1:13" ht="13.5" customHeight="1" x14ac:dyDescent="0.4">
      <c r="A1093" s="1">
        <v>45846</v>
      </c>
      <c r="B1093" t="s">
        <v>670</v>
      </c>
      <c r="C1093">
        <v>1241.1500000000001</v>
      </c>
      <c r="D1093" s="2" t="s">
        <v>675</v>
      </c>
      <c r="E1093" t="s">
        <v>670</v>
      </c>
      <c r="F1093" s="2" t="s">
        <v>672</v>
      </c>
      <c r="H1093" s="3" t="s">
        <v>673</v>
      </c>
      <c r="I1093" t="s">
        <v>596</v>
      </c>
      <c r="J1093" t="s">
        <v>676</v>
      </c>
      <c r="K1093" t="s">
        <v>631</v>
      </c>
      <c r="L1093" t="s">
        <v>2047</v>
      </c>
      <c r="M1093">
        <f>VLOOKUP(SUBSTITUTE(J1093,"'",""),Sheet1!L:M,2,FALSE)</f>
        <v>54820</v>
      </c>
    </row>
    <row r="1094" spans="1:13" ht="13.5" customHeight="1" x14ac:dyDescent="0.4">
      <c r="A1094" s="1">
        <v>45846</v>
      </c>
      <c r="B1094" t="s">
        <v>670</v>
      </c>
      <c r="C1094">
        <v>400.9</v>
      </c>
      <c r="D1094" s="2" t="s">
        <v>3364</v>
      </c>
      <c r="E1094" t="s">
        <v>670</v>
      </c>
      <c r="F1094" s="2" t="s">
        <v>672</v>
      </c>
      <c r="H1094" s="3" t="s">
        <v>673</v>
      </c>
      <c r="I1094" t="s">
        <v>596</v>
      </c>
      <c r="J1094" t="s">
        <v>3365</v>
      </c>
      <c r="K1094" t="s">
        <v>631</v>
      </c>
      <c r="L1094" t="s">
        <v>4673</v>
      </c>
      <c r="M1094">
        <f>VLOOKUP(SUBSTITUTE(J1094,"'",""),Sheet1!L:M,2,FALSE)</f>
        <v>54820</v>
      </c>
    </row>
    <row r="1095" spans="1:13" ht="13.5" customHeight="1" x14ac:dyDescent="0.4">
      <c r="A1095" s="1">
        <v>45846</v>
      </c>
      <c r="B1095" t="s">
        <v>670</v>
      </c>
      <c r="C1095">
        <v>224.39</v>
      </c>
      <c r="D1095" s="2" t="s">
        <v>671</v>
      </c>
      <c r="E1095" t="s">
        <v>670</v>
      </c>
      <c r="F1095" s="2" t="s">
        <v>672</v>
      </c>
      <c r="H1095" s="3" t="s">
        <v>673</v>
      </c>
      <c r="I1095" t="s">
        <v>596</v>
      </c>
      <c r="J1095" t="s">
        <v>674</v>
      </c>
      <c r="K1095" t="s">
        <v>631</v>
      </c>
      <c r="L1095" t="s">
        <v>2047</v>
      </c>
      <c r="M1095">
        <f>VLOOKUP(SUBSTITUTE(J1095,"'",""),Sheet1!L:M,2,FALSE)</f>
        <v>54820</v>
      </c>
    </row>
    <row r="1096" spans="1:13" ht="13.5" customHeight="1" x14ac:dyDescent="0.4">
      <c r="A1096" s="1">
        <v>45846</v>
      </c>
      <c r="B1096" t="s">
        <v>588</v>
      </c>
      <c r="C1096">
        <v>695</v>
      </c>
      <c r="D1096" t="s">
        <v>588</v>
      </c>
      <c r="E1096" t="s">
        <v>588</v>
      </c>
      <c r="J1096" t="s">
        <v>3371</v>
      </c>
      <c r="K1096" t="s">
        <v>21</v>
      </c>
      <c r="L1096" t="s">
        <v>4673</v>
      </c>
      <c r="M1096">
        <f>VLOOKUP(SUBSTITUTE(J1096,"'",""),Sheet1!L:M,2,FALSE)</f>
        <v>80100</v>
      </c>
    </row>
    <row r="1097" spans="1:13" ht="13.5" customHeight="1" x14ac:dyDescent="0.4">
      <c r="A1097" s="1">
        <v>45846</v>
      </c>
      <c r="B1097" t="s">
        <v>169</v>
      </c>
      <c r="C1097">
        <v>21.39</v>
      </c>
      <c r="D1097" s="2" t="s">
        <v>668</v>
      </c>
      <c r="E1097" t="s">
        <v>169</v>
      </c>
      <c r="F1097" s="2" t="s">
        <v>171</v>
      </c>
      <c r="G1097" s="2" t="s">
        <v>172</v>
      </c>
      <c r="H1097">
        <v>95035</v>
      </c>
      <c r="I1097" t="s">
        <v>16</v>
      </c>
      <c r="J1097" t="s">
        <v>669</v>
      </c>
      <c r="K1097" t="s">
        <v>174</v>
      </c>
      <c r="L1097" t="s">
        <v>2047</v>
      </c>
      <c r="M1097">
        <f>VLOOKUP(SUBSTITUTE(J1097,"'",""),Sheet1!L:M,2,FALSE)</f>
        <v>64100</v>
      </c>
    </row>
    <row r="1098" spans="1:13" ht="13.5" customHeight="1" x14ac:dyDescent="0.4">
      <c r="A1098" s="1">
        <v>45847</v>
      </c>
      <c r="B1098" t="s">
        <v>3354</v>
      </c>
      <c r="C1098">
        <v>500.06</v>
      </c>
      <c r="D1098" s="2" t="s">
        <v>3355</v>
      </c>
      <c r="E1098" t="s">
        <v>3354</v>
      </c>
      <c r="F1098" s="2" t="s">
        <v>3356</v>
      </c>
      <c r="H1098">
        <v>41001</v>
      </c>
      <c r="I1098" t="s">
        <v>596</v>
      </c>
      <c r="J1098" t="s">
        <v>3357</v>
      </c>
      <c r="K1098" t="s">
        <v>126</v>
      </c>
      <c r="L1098" t="s">
        <v>4673</v>
      </c>
      <c r="M1098">
        <f>VLOOKUP(SUBSTITUTE(J1098,"'",""),Sheet1!L:M,2,FALSE)</f>
        <v>54820</v>
      </c>
    </row>
    <row r="1099" spans="1:13" ht="13.5" customHeight="1" x14ac:dyDescent="0.4">
      <c r="A1099" s="1">
        <v>45847</v>
      </c>
      <c r="B1099" t="s">
        <v>660</v>
      </c>
      <c r="C1099">
        <v>9.4</v>
      </c>
      <c r="D1099" s="2" t="s">
        <v>661</v>
      </c>
      <c r="E1099" t="s">
        <v>660</v>
      </c>
      <c r="F1099" s="2" t="s">
        <v>662</v>
      </c>
      <c r="H1099">
        <v>0</v>
      </c>
      <c r="I1099" t="s">
        <v>663</v>
      </c>
      <c r="J1099" t="s">
        <v>664</v>
      </c>
      <c r="K1099" t="s">
        <v>665</v>
      </c>
      <c r="L1099" t="s">
        <v>2047</v>
      </c>
      <c r="M1099">
        <f>VLOOKUP(SUBSTITUTE(J1099,"'",""),Sheet1!L:M,2,FALSE)</f>
        <v>54820</v>
      </c>
    </row>
    <row r="1100" spans="1:13" ht="13.5" customHeight="1" x14ac:dyDescent="0.4">
      <c r="A1100" s="1">
        <v>45847</v>
      </c>
      <c r="B1100" t="s">
        <v>3358</v>
      </c>
      <c r="C1100">
        <v>24.41</v>
      </c>
      <c r="D1100" s="2" t="s">
        <v>3359</v>
      </c>
      <c r="E1100" t="s">
        <v>3358</v>
      </c>
      <c r="F1100" s="2" t="s">
        <v>3360</v>
      </c>
      <c r="H1100" s="3" t="s">
        <v>680</v>
      </c>
      <c r="I1100" t="s">
        <v>596</v>
      </c>
      <c r="J1100" t="s">
        <v>3361</v>
      </c>
      <c r="K1100" t="s">
        <v>207</v>
      </c>
      <c r="L1100" t="s">
        <v>4673</v>
      </c>
      <c r="M1100">
        <f>VLOOKUP(SUBSTITUTE(J1100,"'",""),Sheet1!L:M,2,FALSE)</f>
        <v>54820</v>
      </c>
    </row>
    <row r="1101" spans="1:13" ht="13.5" customHeight="1" x14ac:dyDescent="0.4">
      <c r="A1101" s="1">
        <v>45847</v>
      </c>
      <c r="B1101" t="s">
        <v>153</v>
      </c>
      <c r="C1101">
        <v>216</v>
      </c>
      <c r="D1101" s="2" t="s">
        <v>658</v>
      </c>
      <c r="E1101" t="s">
        <v>153</v>
      </c>
      <c r="F1101" t="s">
        <v>155</v>
      </c>
      <c r="G1101" s="2" t="s">
        <v>156</v>
      </c>
      <c r="H1101">
        <v>98052</v>
      </c>
      <c r="I1101" t="s">
        <v>16</v>
      </c>
      <c r="J1101" t="s">
        <v>659</v>
      </c>
      <c r="K1101" t="s">
        <v>96</v>
      </c>
      <c r="L1101" t="s">
        <v>2047</v>
      </c>
      <c r="M1101">
        <f>VLOOKUP(SUBSTITUTE(J1101,"'",""),Sheet1!L:M,2,FALSE)</f>
        <v>64100</v>
      </c>
    </row>
    <row r="1102" spans="1:13" ht="13.5" customHeight="1" x14ac:dyDescent="0.4">
      <c r="A1102" s="1">
        <v>45847</v>
      </c>
      <c r="B1102" t="s">
        <v>153</v>
      </c>
      <c r="C1102">
        <v>160.72</v>
      </c>
      <c r="D1102" s="2" t="s">
        <v>656</v>
      </c>
      <c r="E1102" t="s">
        <v>153</v>
      </c>
      <c r="F1102" t="s">
        <v>155</v>
      </c>
      <c r="G1102" s="2" t="s">
        <v>156</v>
      </c>
      <c r="H1102">
        <v>98052</v>
      </c>
      <c r="I1102" t="s">
        <v>16</v>
      </c>
      <c r="J1102" t="s">
        <v>657</v>
      </c>
      <c r="K1102" t="s">
        <v>96</v>
      </c>
      <c r="L1102" t="s">
        <v>2047</v>
      </c>
      <c r="M1102">
        <f>VLOOKUP(SUBSTITUTE(J1102,"'",""),Sheet1!L:M,2,FALSE)</f>
        <v>64100</v>
      </c>
    </row>
    <row r="1103" spans="1:13" ht="13.5" customHeight="1" x14ac:dyDescent="0.4">
      <c r="A1103" s="1">
        <v>45847</v>
      </c>
      <c r="B1103" t="s">
        <v>160</v>
      </c>
      <c r="C1103">
        <v>21.4</v>
      </c>
      <c r="D1103" s="2" t="s">
        <v>666</v>
      </c>
      <c r="E1103" t="s">
        <v>160</v>
      </c>
      <c r="F1103" s="2" t="s">
        <v>162</v>
      </c>
      <c r="G1103" s="2" t="s">
        <v>35</v>
      </c>
      <c r="H1103">
        <v>94104</v>
      </c>
      <c r="I1103" t="s">
        <v>16</v>
      </c>
      <c r="J1103" t="s">
        <v>667</v>
      </c>
      <c r="K1103" t="s">
        <v>164</v>
      </c>
      <c r="L1103" t="s">
        <v>2047</v>
      </c>
      <c r="M1103">
        <f>VLOOKUP(SUBSTITUTE(J1103,"'",""),Sheet1!L:M,2,FALSE)</f>
        <v>64100</v>
      </c>
    </row>
    <row r="1104" spans="1:13" ht="13.5" customHeight="1" x14ac:dyDescent="0.4">
      <c r="A1104" s="1">
        <v>45848</v>
      </c>
      <c r="B1104" t="s">
        <v>3332</v>
      </c>
      <c r="C1104">
        <v>-64.819999999999993</v>
      </c>
      <c r="D1104" s="2" t="s">
        <v>3352</v>
      </c>
      <c r="E1104" t="s">
        <v>3332</v>
      </c>
      <c r="F1104" t="s">
        <v>3334</v>
      </c>
      <c r="G1104" s="2" t="s">
        <v>3335</v>
      </c>
      <c r="H1104" t="s">
        <v>3336</v>
      </c>
      <c r="I1104" t="s">
        <v>73</v>
      </c>
      <c r="J1104" t="s">
        <v>3353</v>
      </c>
      <c r="K1104" t="s">
        <v>3245</v>
      </c>
      <c r="L1104" t="s">
        <v>4673</v>
      </c>
      <c r="M1104">
        <f>VLOOKUP(SUBSTITUTE(J1104,"'",""),Sheet1!L:M,2,FALSE)</f>
        <v>54820</v>
      </c>
    </row>
    <row r="1105" spans="1:13" ht="13.5" customHeight="1" x14ac:dyDescent="0.4">
      <c r="A1105" s="1">
        <v>45848</v>
      </c>
      <c r="B1105" t="s">
        <v>605</v>
      </c>
      <c r="C1105">
        <v>19.14</v>
      </c>
      <c r="D1105" s="2" t="s">
        <v>651</v>
      </c>
      <c r="E1105" t="s">
        <v>605</v>
      </c>
      <c r="F1105" s="2" t="s">
        <v>607</v>
      </c>
      <c r="H1105" t="s">
        <v>608</v>
      </c>
      <c r="I1105" t="s">
        <v>609</v>
      </c>
      <c r="J1105" t="s">
        <v>652</v>
      </c>
      <c r="K1105" t="s">
        <v>483</v>
      </c>
      <c r="L1105" t="s">
        <v>2047</v>
      </c>
      <c r="M1105">
        <f>VLOOKUP(SUBSTITUTE(J1105,"'",""),Sheet1!L:M,2,FALSE)</f>
        <v>61130</v>
      </c>
    </row>
    <row r="1106" spans="1:13" ht="13.5" customHeight="1" x14ac:dyDescent="0.4">
      <c r="A1106" s="1">
        <v>45848</v>
      </c>
      <c r="B1106" t="s">
        <v>605</v>
      </c>
      <c r="C1106">
        <v>14.82</v>
      </c>
      <c r="D1106" s="2" t="s">
        <v>649</v>
      </c>
      <c r="E1106" t="s">
        <v>605</v>
      </c>
      <c r="F1106" s="2" t="s">
        <v>607</v>
      </c>
      <c r="H1106" t="s">
        <v>608</v>
      </c>
      <c r="I1106" t="s">
        <v>609</v>
      </c>
      <c r="J1106" t="s">
        <v>650</v>
      </c>
      <c r="K1106" t="s">
        <v>483</v>
      </c>
      <c r="L1106" t="s">
        <v>2047</v>
      </c>
      <c r="M1106">
        <f>VLOOKUP(SUBSTITUTE(J1106,"'",""),Sheet1!L:M,2,FALSE)</f>
        <v>61130</v>
      </c>
    </row>
    <row r="1107" spans="1:13" ht="13.5" customHeight="1" x14ac:dyDescent="0.4">
      <c r="A1107" s="1">
        <v>45848</v>
      </c>
      <c r="B1107" t="s">
        <v>653</v>
      </c>
      <c r="C1107">
        <v>330</v>
      </c>
      <c r="D1107" s="2" t="s">
        <v>654</v>
      </c>
      <c r="E1107" t="s">
        <v>653</v>
      </c>
      <c r="F1107" t="s">
        <v>108</v>
      </c>
      <c r="G1107" s="2" t="s">
        <v>41</v>
      </c>
      <c r="H1107">
        <v>10012</v>
      </c>
      <c r="I1107" t="s">
        <v>16</v>
      </c>
      <c r="J1107" t="s">
        <v>655</v>
      </c>
      <c r="K1107" t="s">
        <v>207</v>
      </c>
      <c r="L1107" t="s">
        <v>2047</v>
      </c>
      <c r="M1107">
        <f>VLOOKUP(SUBSTITUTE(J1107,"'",""),Sheet1!L:M,2,FALSE)</f>
        <v>65600</v>
      </c>
    </row>
    <row r="1108" spans="1:13" ht="13.5" customHeight="1" x14ac:dyDescent="0.4">
      <c r="A1108" s="1">
        <v>45848</v>
      </c>
      <c r="B1108" t="s">
        <v>2208</v>
      </c>
      <c r="C1108">
        <v>234</v>
      </c>
      <c r="D1108" s="2" t="s">
        <v>3350</v>
      </c>
      <c r="E1108" t="s">
        <v>2208</v>
      </c>
      <c r="F1108" t="s">
        <v>2210</v>
      </c>
      <c r="G1108" s="2" t="s">
        <v>2211</v>
      </c>
      <c r="H1108">
        <v>20260</v>
      </c>
      <c r="I1108" t="s">
        <v>16</v>
      </c>
      <c r="J1108" t="s">
        <v>3351</v>
      </c>
      <c r="K1108" t="s">
        <v>573</v>
      </c>
      <c r="L1108" t="s">
        <v>4673</v>
      </c>
      <c r="M1108">
        <f>VLOOKUP(SUBSTITUTE(J1108,"'",""),Sheet1!L:M,2,FALSE)</f>
        <v>65600</v>
      </c>
    </row>
    <row r="1109" spans="1:13" ht="13.5" customHeight="1" x14ac:dyDescent="0.4">
      <c r="A1109" s="1">
        <v>45849</v>
      </c>
      <c r="B1109" t="s">
        <v>2181</v>
      </c>
      <c r="C1109">
        <v>9.99</v>
      </c>
      <c r="D1109" s="2" t="s">
        <v>3342</v>
      </c>
      <c r="E1109" t="s">
        <v>2181</v>
      </c>
      <c r="F1109" s="2" t="s">
        <v>2183</v>
      </c>
      <c r="G1109" s="2" t="s">
        <v>1376</v>
      </c>
      <c r="H1109" t="s">
        <v>2184</v>
      </c>
      <c r="I1109" t="s">
        <v>16</v>
      </c>
      <c r="J1109" t="s">
        <v>3343</v>
      </c>
      <c r="K1109" t="s">
        <v>18</v>
      </c>
      <c r="L1109" t="s">
        <v>4673</v>
      </c>
      <c r="M1109">
        <f>VLOOKUP(SUBSTITUTE(J1109,"'",""),Sheet1!L:M,2,FALSE)</f>
        <v>54820</v>
      </c>
    </row>
    <row r="1110" spans="1:13" ht="13.5" customHeight="1" x14ac:dyDescent="0.4">
      <c r="A1110" s="1">
        <v>45849</v>
      </c>
      <c r="B1110" t="s">
        <v>3346</v>
      </c>
      <c r="C1110">
        <v>58.7</v>
      </c>
      <c r="D1110" s="2" t="s">
        <v>3347</v>
      </c>
      <c r="E1110" t="s">
        <v>3346</v>
      </c>
      <c r="F1110" s="2" t="s">
        <v>3348</v>
      </c>
      <c r="H1110">
        <v>41013</v>
      </c>
      <c r="I1110" t="s">
        <v>596</v>
      </c>
      <c r="J1110" t="s">
        <v>3349</v>
      </c>
      <c r="K1110" t="s">
        <v>18</v>
      </c>
      <c r="L1110" t="s">
        <v>4673</v>
      </c>
      <c r="M1110">
        <f>VLOOKUP(SUBSTITUTE(J1110,"'",""),Sheet1!L:M,2,FALSE)</f>
        <v>54820</v>
      </c>
    </row>
    <row r="1111" spans="1:13" ht="13.5" customHeight="1" x14ac:dyDescent="0.4">
      <c r="A1111" s="1">
        <v>45849</v>
      </c>
      <c r="B1111" t="s">
        <v>2259</v>
      </c>
      <c r="C1111">
        <v>21.39</v>
      </c>
      <c r="D1111" s="2" t="s">
        <v>3340</v>
      </c>
      <c r="E1111" t="s">
        <v>2259</v>
      </c>
      <c r="F1111" t="s">
        <v>2261</v>
      </c>
      <c r="G1111" s="2" t="s">
        <v>14</v>
      </c>
      <c r="H1111">
        <v>98103</v>
      </c>
      <c r="I1111" t="s">
        <v>16</v>
      </c>
      <c r="J1111" t="s">
        <v>3341</v>
      </c>
      <c r="K1111" t="s">
        <v>1904</v>
      </c>
      <c r="L1111" t="s">
        <v>4673</v>
      </c>
      <c r="M1111">
        <f>VLOOKUP(SUBSTITUTE(J1111,"'",""),Sheet1!L:M,2,FALSE)</f>
        <v>64100</v>
      </c>
    </row>
    <row r="1112" spans="1:13" ht="13.5" customHeight="1" x14ac:dyDescent="0.4">
      <c r="A1112" s="1">
        <v>45849</v>
      </c>
      <c r="B1112" t="s">
        <v>2265</v>
      </c>
      <c r="C1112">
        <v>36.9</v>
      </c>
      <c r="D1112" s="2" t="s">
        <v>3344</v>
      </c>
      <c r="E1112" t="s">
        <v>2265</v>
      </c>
      <c r="F1112" t="s">
        <v>2261</v>
      </c>
      <c r="G1112" s="2" t="s">
        <v>14</v>
      </c>
      <c r="H1112">
        <v>98103</v>
      </c>
      <c r="I1112" t="s">
        <v>16</v>
      </c>
      <c r="J1112" t="s">
        <v>3345</v>
      </c>
      <c r="K1112" t="s">
        <v>1904</v>
      </c>
      <c r="L1112" t="s">
        <v>4673</v>
      </c>
      <c r="M1112">
        <f>VLOOKUP(SUBSTITUTE(J1112,"'",""),Sheet1!L:M,2,FALSE)</f>
        <v>64100</v>
      </c>
    </row>
    <row r="1113" spans="1:13" ht="13.5" customHeight="1" x14ac:dyDescent="0.4">
      <c r="A1113" s="1">
        <v>45849</v>
      </c>
      <c r="B1113" t="s">
        <v>461</v>
      </c>
      <c r="C1113">
        <v>15</v>
      </c>
      <c r="D1113" s="2" t="s">
        <v>647</v>
      </c>
      <c r="E1113" t="s">
        <v>461</v>
      </c>
      <c r="F1113" s="2" t="s">
        <v>463</v>
      </c>
      <c r="G1113" s="2" t="s">
        <v>464</v>
      </c>
      <c r="H1113" s="3" t="s">
        <v>465</v>
      </c>
      <c r="I1113" t="s">
        <v>16</v>
      </c>
      <c r="J1113" t="s">
        <v>648</v>
      </c>
      <c r="K1113" t="s">
        <v>164</v>
      </c>
      <c r="L1113" t="s">
        <v>2047</v>
      </c>
      <c r="M1113">
        <f>VLOOKUP(SUBSTITUTE(J1113,"'",""),Sheet1!L:M,2,FALSE)</f>
        <v>64100</v>
      </c>
    </row>
    <row r="1114" spans="1:13" ht="13.5" customHeight="1" x14ac:dyDescent="0.4">
      <c r="A1114" s="1">
        <v>45850</v>
      </c>
      <c r="B1114" t="s">
        <v>644</v>
      </c>
      <c r="C1114">
        <v>8.3000000000000007</v>
      </c>
      <c r="D1114" s="2" t="s">
        <v>645</v>
      </c>
      <c r="E1114" t="s">
        <v>644</v>
      </c>
      <c r="F1114" t="s">
        <v>576</v>
      </c>
      <c r="G1114" s="2" t="s">
        <v>577</v>
      </c>
      <c r="H1114">
        <v>85201</v>
      </c>
      <c r="I1114" t="s">
        <v>16</v>
      </c>
      <c r="J1114" t="s">
        <v>646</v>
      </c>
      <c r="K1114" t="s">
        <v>96</v>
      </c>
      <c r="L1114" t="s">
        <v>2047</v>
      </c>
      <c r="M1114">
        <f>VLOOKUP(SUBSTITUTE(J1114,"'",""),Sheet1!L:M,2,FALSE)</f>
        <v>61131</v>
      </c>
    </row>
    <row r="1115" spans="1:13" ht="13.5" customHeight="1" x14ac:dyDescent="0.4">
      <c r="A1115" s="1">
        <v>45850</v>
      </c>
      <c r="B1115" t="s">
        <v>458</v>
      </c>
      <c r="C1115">
        <v>16.04</v>
      </c>
      <c r="D1115" s="2" t="s">
        <v>642</v>
      </c>
      <c r="E1115" t="s">
        <v>458</v>
      </c>
      <c r="F1115" t="s">
        <v>129</v>
      </c>
      <c r="G1115" s="2" t="s">
        <v>130</v>
      </c>
      <c r="H1115" t="s">
        <v>131</v>
      </c>
      <c r="I1115" t="s">
        <v>16</v>
      </c>
      <c r="J1115" t="s">
        <v>643</v>
      </c>
      <c r="K1115" t="s">
        <v>133</v>
      </c>
      <c r="L1115" t="s">
        <v>2047</v>
      </c>
      <c r="M1115">
        <f>VLOOKUP(SUBSTITUTE(J1115,"'",""),Sheet1!L:M,2,FALSE)</f>
        <v>64100</v>
      </c>
    </row>
    <row r="1116" spans="1:13" ht="13.5" customHeight="1" x14ac:dyDescent="0.4">
      <c r="A1116" s="1">
        <v>45850</v>
      </c>
      <c r="B1116" t="s">
        <v>2246</v>
      </c>
      <c r="C1116">
        <v>11.99</v>
      </c>
      <c r="D1116" s="2" t="s">
        <v>3338</v>
      </c>
      <c r="E1116" t="s">
        <v>2246</v>
      </c>
      <c r="F1116" t="s">
        <v>2248</v>
      </c>
      <c r="G1116" s="2" t="s">
        <v>2249</v>
      </c>
      <c r="H1116">
        <v>94025</v>
      </c>
      <c r="I1116" t="s">
        <v>16</v>
      </c>
      <c r="J1116" t="s">
        <v>3339</v>
      </c>
      <c r="K1116" t="s">
        <v>164</v>
      </c>
      <c r="L1116" t="s">
        <v>4673</v>
      </c>
      <c r="M1116">
        <f>VLOOKUP(SUBSTITUTE(J1116,"'",""),Sheet1!L:M,2,FALSE)</f>
        <v>54820</v>
      </c>
    </row>
    <row r="1117" spans="1:13" ht="13.5" customHeight="1" x14ac:dyDescent="0.4">
      <c r="A1117" s="1">
        <v>45851</v>
      </c>
      <c r="B1117" t="s">
        <v>3329</v>
      </c>
      <c r="C1117">
        <v>106.99</v>
      </c>
      <c r="D1117" s="2" t="s">
        <v>3330</v>
      </c>
      <c r="E1117" t="s">
        <v>3329</v>
      </c>
      <c r="F1117" s="2" t="s">
        <v>2233</v>
      </c>
      <c r="G1117" s="2" t="s">
        <v>130</v>
      </c>
      <c r="H1117" t="s">
        <v>2234</v>
      </c>
      <c r="I1117" t="s">
        <v>16</v>
      </c>
      <c r="J1117" t="s">
        <v>3331</v>
      </c>
      <c r="K1117" t="s">
        <v>18</v>
      </c>
      <c r="L1117" t="s">
        <v>4673</v>
      </c>
      <c r="M1117">
        <f>VLOOKUP(SUBSTITUTE(J1117,"'",""),Sheet1!L:M,2,FALSE)</f>
        <v>61100</v>
      </c>
    </row>
    <row r="1118" spans="1:13" ht="13.5" customHeight="1" x14ac:dyDescent="0.4">
      <c r="A1118" s="1">
        <v>45851</v>
      </c>
      <c r="B1118" t="s">
        <v>3332</v>
      </c>
      <c r="C1118">
        <v>71.42</v>
      </c>
      <c r="D1118" s="2" t="s">
        <v>3333</v>
      </c>
      <c r="E1118" t="s">
        <v>3332</v>
      </c>
      <c r="F1118" t="s">
        <v>3334</v>
      </c>
      <c r="G1118" s="2" t="s">
        <v>3335</v>
      </c>
      <c r="H1118" t="s">
        <v>3336</v>
      </c>
      <c r="I1118" t="s">
        <v>73</v>
      </c>
      <c r="J1118" t="s">
        <v>3337</v>
      </c>
      <c r="K1118" t="s">
        <v>3245</v>
      </c>
      <c r="L1118" t="s">
        <v>4673</v>
      </c>
      <c r="M1118">
        <f>VLOOKUP(SUBSTITUTE(J1118,"'",""),Sheet1!L:M,2,FALSE)</f>
        <v>54820</v>
      </c>
    </row>
    <row r="1119" spans="1:13" ht="13.5" customHeight="1" x14ac:dyDescent="0.4">
      <c r="A1119" s="1">
        <v>45851</v>
      </c>
      <c r="B1119" t="s">
        <v>638</v>
      </c>
      <c r="C1119">
        <v>1131.18</v>
      </c>
      <c r="D1119" s="2" t="s">
        <v>639</v>
      </c>
      <c r="E1119" t="s">
        <v>638</v>
      </c>
      <c r="F1119" s="2" t="s">
        <v>640</v>
      </c>
      <c r="H1119">
        <v>11403</v>
      </c>
      <c r="I1119" t="s">
        <v>596</v>
      </c>
      <c r="J1119" t="s">
        <v>641</v>
      </c>
      <c r="K1119" t="s">
        <v>50</v>
      </c>
      <c r="L1119" t="s">
        <v>2047</v>
      </c>
      <c r="M1119">
        <f>VLOOKUP(SUBSTITUTE(J1119,"'",""),Sheet1!L:M,2,FALSE)</f>
        <v>54820</v>
      </c>
    </row>
    <row r="1120" spans="1:13" ht="13.5" customHeight="1" x14ac:dyDescent="0.4">
      <c r="A1120" s="1">
        <v>45852</v>
      </c>
      <c r="B1120" t="s">
        <v>2222</v>
      </c>
      <c r="C1120">
        <v>20.18</v>
      </c>
      <c r="D1120" s="2" t="s">
        <v>3323</v>
      </c>
      <c r="E1120" t="s">
        <v>2222</v>
      </c>
      <c r="F1120" s="2" t="s">
        <v>2224</v>
      </c>
      <c r="G1120" s="2" t="s">
        <v>35</v>
      </c>
      <c r="H1120">
        <v>94103</v>
      </c>
      <c r="I1120" t="s">
        <v>16</v>
      </c>
      <c r="J1120" t="s">
        <v>3324</v>
      </c>
      <c r="K1120" t="s">
        <v>164</v>
      </c>
      <c r="L1120" t="s">
        <v>4673</v>
      </c>
      <c r="M1120">
        <f>VLOOKUP(SUBSTITUTE(J1120,"'",""),Sheet1!L:M,2,FALSE)</f>
        <v>54820</v>
      </c>
    </row>
    <row r="1121" spans="1:13" ht="13.5" customHeight="1" x14ac:dyDescent="0.4">
      <c r="A1121" s="1">
        <v>45852</v>
      </c>
      <c r="B1121" t="s">
        <v>3240</v>
      </c>
      <c r="C1121">
        <v>165.2</v>
      </c>
      <c r="D1121" s="2" t="s">
        <v>3315</v>
      </c>
      <c r="E1121" t="s">
        <v>3240</v>
      </c>
      <c r="F1121" s="2" t="s">
        <v>3242</v>
      </c>
      <c r="H1121">
        <v>10437</v>
      </c>
      <c r="I1121" t="s">
        <v>3243</v>
      </c>
      <c r="J1121" t="s">
        <v>3316</v>
      </c>
      <c r="K1121" t="s">
        <v>3245</v>
      </c>
      <c r="L1121" t="s">
        <v>4673</v>
      </c>
      <c r="M1121">
        <f>VLOOKUP(SUBSTITUTE(J1121,"'",""),Sheet1!L:M,2,FALSE)</f>
        <v>54820</v>
      </c>
    </row>
    <row r="1122" spans="1:13" ht="13.5" customHeight="1" x14ac:dyDescent="0.4">
      <c r="A1122" s="1">
        <v>45852</v>
      </c>
      <c r="B1122" t="s">
        <v>3311</v>
      </c>
      <c r="C1122">
        <v>82.01</v>
      </c>
      <c r="D1122" s="2" t="s">
        <v>3312</v>
      </c>
      <c r="E1122" t="s">
        <v>3311</v>
      </c>
      <c r="F1122" s="2" t="s">
        <v>3313</v>
      </c>
      <c r="H1122">
        <v>41004</v>
      </c>
      <c r="I1122" t="s">
        <v>596</v>
      </c>
      <c r="J1122" t="s">
        <v>3314</v>
      </c>
      <c r="K1122" t="s">
        <v>2710</v>
      </c>
      <c r="L1122" t="s">
        <v>4673</v>
      </c>
      <c r="M1122">
        <f>VLOOKUP(SUBSTITUTE(J1122,"'",""),Sheet1!L:M,2,FALSE)</f>
        <v>54820</v>
      </c>
    </row>
    <row r="1123" spans="1:13" ht="13.5" customHeight="1" x14ac:dyDescent="0.4">
      <c r="A1123" s="1">
        <v>45852</v>
      </c>
      <c r="B1123" t="s">
        <v>3325</v>
      </c>
      <c r="C1123">
        <v>9.31</v>
      </c>
      <c r="D1123" s="2" t="s">
        <v>3326</v>
      </c>
      <c r="E1123" t="s">
        <v>3325</v>
      </c>
      <c r="F1123" s="2" t="s">
        <v>3327</v>
      </c>
      <c r="H1123">
        <v>41001</v>
      </c>
      <c r="I1123" t="s">
        <v>596</v>
      </c>
      <c r="J1123" t="s">
        <v>3328</v>
      </c>
      <c r="K1123" t="s">
        <v>207</v>
      </c>
      <c r="L1123" t="s">
        <v>4673</v>
      </c>
      <c r="M1123">
        <f>VLOOKUP(SUBSTITUTE(J1123,"'",""),Sheet1!L:M,2,FALSE)</f>
        <v>54820</v>
      </c>
    </row>
    <row r="1124" spans="1:13" ht="13.5" customHeight="1" x14ac:dyDescent="0.4">
      <c r="A1124" s="1">
        <v>45852</v>
      </c>
      <c r="B1124" t="s">
        <v>3317</v>
      </c>
      <c r="C1124">
        <v>11.6</v>
      </c>
      <c r="D1124" s="2" t="s">
        <v>3318</v>
      </c>
      <c r="E1124" t="s">
        <v>3317</v>
      </c>
      <c r="F1124" s="2" t="s">
        <v>3319</v>
      </c>
      <c r="H1124">
        <v>41004</v>
      </c>
      <c r="I1124" t="s">
        <v>596</v>
      </c>
      <c r="J1124" t="s">
        <v>3320</v>
      </c>
      <c r="K1124" t="s">
        <v>126</v>
      </c>
      <c r="L1124" t="s">
        <v>4673</v>
      </c>
      <c r="M1124">
        <f>VLOOKUP(SUBSTITUTE(J1124,"'",""),Sheet1!L:M,2,FALSE)</f>
        <v>54820</v>
      </c>
    </row>
    <row r="1125" spans="1:13" ht="13.5" customHeight="1" x14ac:dyDescent="0.4">
      <c r="A1125" s="1">
        <v>45852</v>
      </c>
      <c r="B1125" t="s">
        <v>2344</v>
      </c>
      <c r="C1125">
        <v>50.67</v>
      </c>
      <c r="D1125" s="2" t="s">
        <v>3321</v>
      </c>
      <c r="E1125" t="s">
        <v>2344</v>
      </c>
      <c r="F1125" t="s">
        <v>2219</v>
      </c>
      <c r="G1125" s="2" t="s">
        <v>41</v>
      </c>
      <c r="H1125">
        <v>10013</v>
      </c>
      <c r="I1125" t="s">
        <v>16</v>
      </c>
      <c r="J1125" t="s">
        <v>3322</v>
      </c>
      <c r="K1125" t="s">
        <v>321</v>
      </c>
      <c r="L1125" t="s">
        <v>4673</v>
      </c>
      <c r="M1125">
        <f>VLOOKUP(SUBSTITUTE(J1125,"'",""),Sheet1!L:M,2,FALSE)</f>
        <v>54820</v>
      </c>
    </row>
    <row r="1126" spans="1:13" ht="13.5" customHeight="1" x14ac:dyDescent="0.4">
      <c r="A1126" s="1">
        <v>45852</v>
      </c>
      <c r="B1126" t="s">
        <v>83</v>
      </c>
      <c r="C1126">
        <v>234.9</v>
      </c>
      <c r="D1126" s="2" t="s">
        <v>636</v>
      </c>
      <c r="E1126" t="s">
        <v>315</v>
      </c>
      <c r="F1126" s="2" t="s">
        <v>86</v>
      </c>
      <c r="G1126" s="2" t="s">
        <v>87</v>
      </c>
      <c r="H1126" t="s">
        <v>88</v>
      </c>
      <c r="I1126" t="s">
        <v>16</v>
      </c>
      <c r="J1126" t="s">
        <v>637</v>
      </c>
      <c r="K1126" t="s">
        <v>90</v>
      </c>
      <c r="L1126" t="s">
        <v>2047</v>
      </c>
      <c r="M1126">
        <f>VLOOKUP(SUBSTITUTE(J1126,"'",""),Sheet1!L:M,2,FALSE)</f>
        <v>65700</v>
      </c>
    </row>
    <row r="1127" spans="1:13" ht="13.5" customHeight="1" x14ac:dyDescent="0.4">
      <c r="A1127" s="1">
        <v>45853</v>
      </c>
      <c r="B1127" t="s">
        <v>2181</v>
      </c>
      <c r="C1127">
        <v>7.48</v>
      </c>
      <c r="D1127" s="2" t="s">
        <v>3305</v>
      </c>
      <c r="E1127" t="s">
        <v>2181</v>
      </c>
      <c r="F1127" s="2" t="s">
        <v>2183</v>
      </c>
      <c r="G1127" s="2" t="s">
        <v>1376</v>
      </c>
      <c r="H1127" t="s">
        <v>2184</v>
      </c>
      <c r="I1127" t="s">
        <v>16</v>
      </c>
      <c r="J1127" t="s">
        <v>3306</v>
      </c>
      <c r="K1127" t="s">
        <v>18</v>
      </c>
      <c r="L1127" t="s">
        <v>4673</v>
      </c>
      <c r="M1127">
        <f>VLOOKUP(SUBSTITUTE(J1127,"'",""),Sheet1!L:M,2,FALSE)</f>
        <v>54820</v>
      </c>
    </row>
    <row r="1128" spans="1:13" ht="13.5" customHeight="1" x14ac:dyDescent="0.4">
      <c r="A1128" s="1">
        <v>45853</v>
      </c>
      <c r="B1128" t="s">
        <v>3307</v>
      </c>
      <c r="C1128">
        <v>760.44</v>
      </c>
      <c r="D1128" s="2" t="s">
        <v>3308</v>
      </c>
      <c r="E1128" t="s">
        <v>3307</v>
      </c>
      <c r="F1128" s="2" t="s">
        <v>3309</v>
      </c>
      <c r="H1128">
        <v>41013</v>
      </c>
      <c r="I1128" t="s">
        <v>596</v>
      </c>
      <c r="J1128" t="s">
        <v>3310</v>
      </c>
      <c r="K1128" t="s">
        <v>126</v>
      </c>
      <c r="L1128" t="s">
        <v>4673</v>
      </c>
      <c r="M1128">
        <f>VLOOKUP(SUBSTITUTE(J1128,"'",""),Sheet1!L:M,2,FALSE)</f>
        <v>54820</v>
      </c>
    </row>
    <row r="1129" spans="1:13" ht="13.5" customHeight="1" x14ac:dyDescent="0.4">
      <c r="A1129" s="1">
        <v>45853</v>
      </c>
      <c r="B1129" t="s">
        <v>437</v>
      </c>
      <c r="C1129">
        <v>10</v>
      </c>
      <c r="D1129" s="2" t="s">
        <v>634</v>
      </c>
      <c r="E1129" t="s">
        <v>437</v>
      </c>
      <c r="F1129" s="2" t="s">
        <v>80</v>
      </c>
      <c r="H1129">
        <v>2150</v>
      </c>
      <c r="I1129" t="s">
        <v>81</v>
      </c>
      <c r="J1129" t="s">
        <v>635</v>
      </c>
      <c r="K1129" t="s">
        <v>37</v>
      </c>
      <c r="L1129" t="s">
        <v>2047</v>
      </c>
      <c r="M1129">
        <f>VLOOKUP(SUBSTITUTE(J1129,"'",""),Sheet1!L:M,2,FALSE)</f>
        <v>64100</v>
      </c>
    </row>
    <row r="1130" spans="1:13" ht="13.5" customHeight="1" x14ac:dyDescent="0.4">
      <c r="A1130" s="1">
        <v>45854</v>
      </c>
      <c r="B1130" t="s">
        <v>2125</v>
      </c>
      <c r="C1130">
        <v>27.99</v>
      </c>
      <c r="D1130" s="2" t="s">
        <v>3301</v>
      </c>
      <c r="E1130" t="s">
        <v>2125</v>
      </c>
      <c r="F1130" t="s">
        <v>2127</v>
      </c>
      <c r="G1130" s="2" t="s">
        <v>41</v>
      </c>
      <c r="H1130">
        <v>10003</v>
      </c>
      <c r="I1130" t="s">
        <v>16</v>
      </c>
      <c r="J1130" t="s">
        <v>3302</v>
      </c>
      <c r="K1130" t="s">
        <v>37</v>
      </c>
      <c r="L1130" t="s">
        <v>4673</v>
      </c>
      <c r="M1130">
        <f>VLOOKUP(SUBSTITUTE(J1130,"'",""),Sheet1!L:M,2,FALSE)</f>
        <v>54820</v>
      </c>
    </row>
    <row r="1131" spans="1:13" ht="13.5" customHeight="1" x14ac:dyDescent="0.4">
      <c r="A1131" s="1">
        <v>45854</v>
      </c>
      <c r="B1131" t="s">
        <v>605</v>
      </c>
      <c r="C1131">
        <v>14.94</v>
      </c>
      <c r="D1131" s="2" t="s">
        <v>632</v>
      </c>
      <c r="E1131" t="s">
        <v>605</v>
      </c>
      <c r="F1131" s="2" t="s">
        <v>607</v>
      </c>
      <c r="H1131" t="s">
        <v>608</v>
      </c>
      <c r="I1131" t="s">
        <v>609</v>
      </c>
      <c r="J1131" t="s">
        <v>633</v>
      </c>
      <c r="K1131" t="s">
        <v>483</v>
      </c>
      <c r="L1131" t="s">
        <v>2047</v>
      </c>
      <c r="M1131">
        <f>VLOOKUP(SUBSTITUTE(J1131,"'",""),Sheet1!L:M,2,FALSE)</f>
        <v>61130</v>
      </c>
    </row>
    <row r="1132" spans="1:13" ht="13.5" customHeight="1" x14ac:dyDescent="0.4">
      <c r="A1132" s="1">
        <v>45854</v>
      </c>
      <c r="B1132" t="s">
        <v>3296</v>
      </c>
      <c r="C1132">
        <v>115.78</v>
      </c>
      <c r="D1132" s="2" t="s">
        <v>3297</v>
      </c>
      <c r="E1132" t="s">
        <v>3296</v>
      </c>
      <c r="F1132" s="2" t="s">
        <v>3298</v>
      </c>
      <c r="H1132" s="3" t="s">
        <v>3299</v>
      </c>
      <c r="I1132" t="s">
        <v>596</v>
      </c>
      <c r="J1132" t="s">
        <v>3300</v>
      </c>
      <c r="K1132" t="s">
        <v>110</v>
      </c>
      <c r="L1132" t="s">
        <v>4673</v>
      </c>
      <c r="M1132">
        <f>VLOOKUP(SUBSTITUTE(J1132,"'",""),Sheet1!L:M,2,FALSE)</f>
        <v>54820</v>
      </c>
    </row>
    <row r="1133" spans="1:13" ht="13.5" customHeight="1" x14ac:dyDescent="0.4">
      <c r="A1133" s="1">
        <v>45854</v>
      </c>
      <c r="B1133" t="s">
        <v>627</v>
      </c>
      <c r="C1133">
        <v>442.07</v>
      </c>
      <c r="D1133" s="2" t="s">
        <v>3294</v>
      </c>
      <c r="E1133" t="s">
        <v>627</v>
      </c>
      <c r="F1133" s="2" t="s">
        <v>629</v>
      </c>
      <c r="H1133">
        <v>41002</v>
      </c>
      <c r="I1133" t="s">
        <v>596</v>
      </c>
      <c r="J1133" t="s">
        <v>3295</v>
      </c>
      <c r="K1133" t="s">
        <v>631</v>
      </c>
      <c r="L1133" t="s">
        <v>4673</v>
      </c>
      <c r="M1133">
        <f>VLOOKUP(SUBSTITUTE(J1133,"'",""),Sheet1!L:M,2,FALSE)</f>
        <v>54820</v>
      </c>
    </row>
    <row r="1134" spans="1:13" ht="13.5" customHeight="1" x14ac:dyDescent="0.4">
      <c r="A1134" s="1">
        <v>45854</v>
      </c>
      <c r="B1134" t="s">
        <v>627</v>
      </c>
      <c r="C1134">
        <v>543.53</v>
      </c>
      <c r="D1134" s="2" t="s">
        <v>628</v>
      </c>
      <c r="E1134" t="s">
        <v>627</v>
      </c>
      <c r="F1134" s="2" t="s">
        <v>629</v>
      </c>
      <c r="H1134">
        <v>41002</v>
      </c>
      <c r="I1134" t="s">
        <v>596</v>
      </c>
      <c r="J1134" t="s">
        <v>630</v>
      </c>
      <c r="K1134" t="s">
        <v>631</v>
      </c>
      <c r="L1134" t="s">
        <v>2047</v>
      </c>
      <c r="M1134">
        <f>VLOOKUP(SUBSTITUTE(J1134,"'",""),Sheet1!L:M,2,FALSE)</f>
        <v>54820</v>
      </c>
    </row>
    <row r="1135" spans="1:13" ht="13.5" customHeight="1" x14ac:dyDescent="0.4">
      <c r="A1135" s="1">
        <v>45854</v>
      </c>
      <c r="B1135" t="s">
        <v>627</v>
      </c>
      <c r="C1135">
        <v>22.09</v>
      </c>
      <c r="D1135" s="2" t="s">
        <v>3292</v>
      </c>
      <c r="E1135" t="s">
        <v>627</v>
      </c>
      <c r="F1135" s="2" t="s">
        <v>629</v>
      </c>
      <c r="H1135">
        <v>41002</v>
      </c>
      <c r="I1135" t="s">
        <v>596</v>
      </c>
      <c r="J1135" t="s">
        <v>3293</v>
      </c>
      <c r="K1135" t="s">
        <v>631</v>
      </c>
      <c r="L1135" t="s">
        <v>4673</v>
      </c>
      <c r="M1135">
        <f>VLOOKUP(SUBSTITUTE(J1135,"'",""),Sheet1!L:M,2,FALSE)</f>
        <v>54820</v>
      </c>
    </row>
    <row r="1136" spans="1:13" ht="13.5" customHeight="1" x14ac:dyDescent="0.4">
      <c r="A1136" s="1">
        <v>45854</v>
      </c>
      <c r="B1136" t="s">
        <v>3288</v>
      </c>
      <c r="C1136">
        <v>11.06</v>
      </c>
      <c r="D1136" s="2" t="s">
        <v>3289</v>
      </c>
      <c r="E1136" t="s">
        <v>3288</v>
      </c>
      <c r="F1136" s="2" t="s">
        <v>3290</v>
      </c>
      <c r="H1136">
        <v>41004</v>
      </c>
      <c r="I1136" t="s">
        <v>596</v>
      </c>
      <c r="J1136" t="s">
        <v>3291</v>
      </c>
      <c r="K1136" t="s">
        <v>305</v>
      </c>
      <c r="L1136" t="s">
        <v>4673</v>
      </c>
      <c r="M1136">
        <f>VLOOKUP(SUBSTITUTE(J1136,"'",""),Sheet1!L:M,2,FALSE)</f>
        <v>54820</v>
      </c>
    </row>
    <row r="1137" spans="1:13" ht="13.5" customHeight="1" x14ac:dyDescent="0.4">
      <c r="A1137" s="1">
        <v>45854</v>
      </c>
      <c r="B1137" t="s">
        <v>2208</v>
      </c>
      <c r="C1137">
        <v>234</v>
      </c>
      <c r="D1137" s="2" t="s">
        <v>3303</v>
      </c>
      <c r="E1137" t="s">
        <v>2208</v>
      </c>
      <c r="F1137" t="s">
        <v>2210</v>
      </c>
      <c r="G1137" s="2" t="s">
        <v>2211</v>
      </c>
      <c r="H1137">
        <v>20260</v>
      </c>
      <c r="I1137" t="s">
        <v>16</v>
      </c>
      <c r="J1137" t="s">
        <v>3304</v>
      </c>
      <c r="K1137" t="s">
        <v>573</v>
      </c>
      <c r="L1137" t="s">
        <v>4673</v>
      </c>
      <c r="M1137">
        <f>VLOOKUP(SUBSTITUTE(J1137,"'",""),Sheet1!L:M,2,FALSE)</f>
        <v>65600</v>
      </c>
    </row>
    <row r="1138" spans="1:13" ht="13.5" customHeight="1" x14ac:dyDescent="0.4">
      <c r="A1138" s="1">
        <v>45855</v>
      </c>
      <c r="B1138" t="s">
        <v>621</v>
      </c>
      <c r="C1138">
        <v>199.99</v>
      </c>
      <c r="D1138" s="2" t="s">
        <v>622</v>
      </c>
      <c r="E1138" t="s">
        <v>621</v>
      </c>
      <c r="F1138" s="2" t="s">
        <v>623</v>
      </c>
      <c r="H1138" s="3" t="s">
        <v>624</v>
      </c>
      <c r="I1138" t="s">
        <v>625</v>
      </c>
      <c r="J1138" t="s">
        <v>626</v>
      </c>
      <c r="K1138" t="s">
        <v>37</v>
      </c>
      <c r="L1138" t="s">
        <v>2047</v>
      </c>
      <c r="M1138">
        <f>VLOOKUP(SUBSTITUTE(J1138,"'",""),Sheet1!L:M,2,FALSE)</f>
        <v>64100</v>
      </c>
    </row>
    <row r="1139" spans="1:13" ht="13.5" customHeight="1" x14ac:dyDescent="0.4">
      <c r="A1139" s="1">
        <v>45855</v>
      </c>
      <c r="B1139" t="s">
        <v>3280</v>
      </c>
      <c r="C1139">
        <v>63.27</v>
      </c>
      <c r="D1139" s="2" t="s">
        <v>3281</v>
      </c>
      <c r="E1139" t="s">
        <v>3280</v>
      </c>
      <c r="F1139" s="2" t="s">
        <v>3282</v>
      </c>
      <c r="H1139">
        <v>41002</v>
      </c>
      <c r="I1139" t="s">
        <v>596</v>
      </c>
      <c r="J1139" t="s">
        <v>3283</v>
      </c>
      <c r="K1139" t="s">
        <v>1218</v>
      </c>
      <c r="L1139" t="s">
        <v>4673</v>
      </c>
      <c r="M1139">
        <f>VLOOKUP(SUBSTITUTE(J1139,"'",""),Sheet1!L:M,2,FALSE)</f>
        <v>54820</v>
      </c>
    </row>
    <row r="1140" spans="1:13" ht="13.5" customHeight="1" x14ac:dyDescent="0.4">
      <c r="A1140" s="1">
        <v>45855</v>
      </c>
      <c r="B1140" t="s">
        <v>627</v>
      </c>
      <c r="C1140">
        <v>40.229999999999997</v>
      </c>
      <c r="D1140" s="2" t="s">
        <v>3276</v>
      </c>
      <c r="E1140" t="s">
        <v>627</v>
      </c>
      <c r="F1140" s="2" t="s">
        <v>629</v>
      </c>
      <c r="H1140">
        <v>41002</v>
      </c>
      <c r="I1140" t="s">
        <v>596</v>
      </c>
      <c r="J1140" t="s">
        <v>3277</v>
      </c>
      <c r="K1140" t="s">
        <v>631</v>
      </c>
      <c r="L1140" t="s">
        <v>4673</v>
      </c>
      <c r="M1140">
        <f>VLOOKUP(SUBSTITUTE(J1140,"'",""),Sheet1!L:M,2,FALSE)</f>
        <v>54820</v>
      </c>
    </row>
    <row r="1141" spans="1:13" ht="13.5" customHeight="1" x14ac:dyDescent="0.4">
      <c r="A1141" s="1">
        <v>45855</v>
      </c>
      <c r="B1141" t="s">
        <v>627</v>
      </c>
      <c r="C1141">
        <v>84.9</v>
      </c>
      <c r="D1141" s="2" t="s">
        <v>3278</v>
      </c>
      <c r="E1141" t="s">
        <v>627</v>
      </c>
      <c r="F1141" s="2" t="s">
        <v>629</v>
      </c>
      <c r="H1141">
        <v>41002</v>
      </c>
      <c r="I1141" t="s">
        <v>596</v>
      </c>
      <c r="J1141" t="s">
        <v>3279</v>
      </c>
      <c r="K1141" t="s">
        <v>631</v>
      </c>
      <c r="L1141" t="s">
        <v>4673</v>
      </c>
      <c r="M1141">
        <f>VLOOKUP(SUBSTITUTE(J1141,"'",""),Sheet1!L:M,2,FALSE)</f>
        <v>54820</v>
      </c>
    </row>
    <row r="1142" spans="1:13" ht="13.5" customHeight="1" x14ac:dyDescent="0.4">
      <c r="A1142" s="1">
        <v>45855</v>
      </c>
      <c r="B1142" t="s">
        <v>3284</v>
      </c>
      <c r="C1142">
        <v>195.38</v>
      </c>
      <c r="D1142" s="2" t="s">
        <v>3285</v>
      </c>
      <c r="E1142" t="s">
        <v>3284</v>
      </c>
      <c r="F1142" s="2" t="s">
        <v>3286</v>
      </c>
      <c r="H1142">
        <v>41001</v>
      </c>
      <c r="I1142" t="s">
        <v>596</v>
      </c>
      <c r="J1142" t="s">
        <v>3287</v>
      </c>
      <c r="K1142" t="s">
        <v>2114</v>
      </c>
      <c r="L1142" t="s">
        <v>4673</v>
      </c>
      <c r="M1142">
        <f>VLOOKUP(SUBSTITUTE(J1142,"'",""),Sheet1!L:M,2,FALSE)</f>
        <v>54820</v>
      </c>
    </row>
    <row r="1143" spans="1:13" ht="13.5" customHeight="1" x14ac:dyDescent="0.4">
      <c r="A1143" s="1">
        <v>45855</v>
      </c>
      <c r="B1143" t="s">
        <v>977</v>
      </c>
      <c r="C1143">
        <v>10</v>
      </c>
      <c r="D1143" s="2" t="s">
        <v>3274</v>
      </c>
      <c r="E1143" t="s">
        <v>977</v>
      </c>
      <c r="F1143" s="2" t="s">
        <v>979</v>
      </c>
      <c r="G1143" s="2" t="s">
        <v>980</v>
      </c>
      <c r="H1143">
        <v>78259</v>
      </c>
      <c r="I1143" t="s">
        <v>16</v>
      </c>
      <c r="J1143" t="s">
        <v>3275</v>
      </c>
      <c r="K1143" t="s">
        <v>164</v>
      </c>
      <c r="L1143" t="s">
        <v>4673</v>
      </c>
      <c r="M1143">
        <f>VLOOKUP(SUBSTITUTE(J1143,"'",""),Sheet1!L:M,2,FALSE)</f>
        <v>54820</v>
      </c>
    </row>
    <row r="1144" spans="1:13" ht="13.5" customHeight="1" x14ac:dyDescent="0.4">
      <c r="A1144" s="1">
        <v>45855</v>
      </c>
      <c r="B1144" t="s">
        <v>3270</v>
      </c>
      <c r="C1144">
        <v>316.14</v>
      </c>
      <c r="D1144" s="2" t="s">
        <v>3271</v>
      </c>
      <c r="E1144" t="s">
        <v>3270</v>
      </c>
      <c r="F1144" s="2" t="s">
        <v>3272</v>
      </c>
      <c r="H1144">
        <v>41003</v>
      </c>
      <c r="I1144" t="s">
        <v>596</v>
      </c>
      <c r="J1144" t="s">
        <v>3273</v>
      </c>
      <c r="K1144" t="s">
        <v>126</v>
      </c>
      <c r="L1144" t="s">
        <v>4673</v>
      </c>
      <c r="M1144">
        <f>VLOOKUP(SUBSTITUTE(J1144,"'",""),Sheet1!L:M,2,FALSE)</f>
        <v>54820</v>
      </c>
    </row>
    <row r="1145" spans="1:13" ht="13.5" customHeight="1" x14ac:dyDescent="0.4">
      <c r="A1145" s="1">
        <v>45857</v>
      </c>
      <c r="B1145" t="s">
        <v>977</v>
      </c>
      <c r="C1145">
        <v>10.44</v>
      </c>
      <c r="D1145" s="2" t="s">
        <v>3268</v>
      </c>
      <c r="E1145" t="s">
        <v>977</v>
      </c>
      <c r="F1145" s="2" t="s">
        <v>979</v>
      </c>
      <c r="G1145" s="2" t="s">
        <v>980</v>
      </c>
      <c r="H1145">
        <v>78259</v>
      </c>
      <c r="I1145" t="s">
        <v>16</v>
      </c>
      <c r="J1145" t="s">
        <v>3269</v>
      </c>
      <c r="K1145" t="s">
        <v>18</v>
      </c>
      <c r="L1145" t="s">
        <v>4673</v>
      </c>
      <c r="M1145">
        <f>VLOOKUP(SUBSTITUTE(J1145,"'",""),Sheet1!L:M,2,FALSE)</f>
        <v>54820</v>
      </c>
    </row>
    <row r="1146" spans="1:13" ht="13.5" customHeight="1" x14ac:dyDescent="0.4">
      <c r="A1146" s="1">
        <v>45857</v>
      </c>
      <c r="B1146" t="s">
        <v>448</v>
      </c>
      <c r="C1146">
        <v>5.44</v>
      </c>
      <c r="D1146" s="2" t="s">
        <v>619</v>
      </c>
      <c r="E1146" t="s">
        <v>448</v>
      </c>
      <c r="F1146" t="s">
        <v>29</v>
      </c>
      <c r="G1146" t="e">
        <f>-
NY</f>
        <v>#NAME?</v>
      </c>
      <c r="H1146">
        <v>11577</v>
      </c>
      <c r="I1146" t="s">
        <v>16</v>
      </c>
      <c r="J1146" t="s">
        <v>620</v>
      </c>
      <c r="K1146" t="s">
        <v>31</v>
      </c>
      <c r="L1146" t="s">
        <v>2047</v>
      </c>
      <c r="M1146">
        <f>VLOOKUP(SUBSTITUTE(J1146,"'",""),Sheet1!L:M,2,FALSE)</f>
        <v>61131</v>
      </c>
    </row>
    <row r="1147" spans="1:13" ht="13.5" customHeight="1" x14ac:dyDescent="0.4">
      <c r="A1147" s="1">
        <v>45858</v>
      </c>
      <c r="B1147" t="s">
        <v>2125</v>
      </c>
      <c r="C1147">
        <v>13.9</v>
      </c>
      <c r="D1147" s="2" t="s">
        <v>3266</v>
      </c>
      <c r="E1147" t="s">
        <v>2125</v>
      </c>
      <c r="F1147" t="s">
        <v>2127</v>
      </c>
      <c r="G1147" s="2" t="s">
        <v>41</v>
      </c>
      <c r="H1147">
        <v>10003</v>
      </c>
      <c r="I1147" t="s">
        <v>16</v>
      </c>
      <c r="J1147" t="s">
        <v>3267</v>
      </c>
      <c r="K1147" t="s">
        <v>37</v>
      </c>
      <c r="L1147" t="s">
        <v>4673</v>
      </c>
      <c r="M1147">
        <f>VLOOKUP(SUBSTITUTE(J1147,"'",""),Sheet1!L:M,2,FALSE)</f>
        <v>54820</v>
      </c>
    </row>
    <row r="1148" spans="1:13" ht="13.5" customHeight="1" x14ac:dyDescent="0.4">
      <c r="A1148" s="1">
        <v>45858</v>
      </c>
      <c r="B1148" t="s">
        <v>605</v>
      </c>
      <c r="C1148">
        <v>16.89</v>
      </c>
      <c r="D1148" s="2" t="s">
        <v>617</v>
      </c>
      <c r="E1148" t="s">
        <v>605</v>
      </c>
      <c r="F1148" s="2" t="s">
        <v>607</v>
      </c>
      <c r="H1148" t="s">
        <v>608</v>
      </c>
      <c r="I1148" t="s">
        <v>609</v>
      </c>
      <c r="J1148" t="s">
        <v>618</v>
      </c>
      <c r="K1148" t="s">
        <v>483</v>
      </c>
      <c r="L1148" t="s">
        <v>2047</v>
      </c>
      <c r="M1148">
        <f>VLOOKUP(SUBSTITUTE(J1148,"'",""),Sheet1!L:M,2,FALSE)</f>
        <v>61130</v>
      </c>
    </row>
    <row r="1149" spans="1:13" ht="13.5" customHeight="1" x14ac:dyDescent="0.4">
      <c r="A1149" s="1">
        <v>45859</v>
      </c>
      <c r="B1149" t="s">
        <v>977</v>
      </c>
      <c r="C1149">
        <v>10.38</v>
      </c>
      <c r="D1149" s="2" t="s">
        <v>3261</v>
      </c>
      <c r="E1149" t="s">
        <v>977</v>
      </c>
      <c r="F1149" s="2" t="s">
        <v>979</v>
      </c>
      <c r="G1149" s="2" t="s">
        <v>980</v>
      </c>
      <c r="H1149">
        <v>78259</v>
      </c>
      <c r="I1149" t="s">
        <v>16</v>
      </c>
      <c r="J1149" t="s">
        <v>3262</v>
      </c>
      <c r="K1149" t="s">
        <v>18</v>
      </c>
      <c r="L1149" t="s">
        <v>4673</v>
      </c>
      <c r="M1149">
        <f>VLOOKUP(SUBSTITUTE(J1149,"'",""),Sheet1!L:M,2,FALSE)</f>
        <v>54820</v>
      </c>
    </row>
    <row r="1150" spans="1:13" ht="13.5" customHeight="1" x14ac:dyDescent="0.4">
      <c r="A1150" s="1">
        <v>45859</v>
      </c>
      <c r="B1150" t="s">
        <v>3258</v>
      </c>
      <c r="C1150">
        <v>15</v>
      </c>
      <c r="D1150" s="2" t="s">
        <v>3259</v>
      </c>
      <c r="E1150" t="s">
        <v>3258</v>
      </c>
      <c r="F1150" t="s">
        <v>2091</v>
      </c>
      <c r="G1150" s="2" t="s">
        <v>2092</v>
      </c>
      <c r="H1150">
        <v>19934</v>
      </c>
      <c r="I1150" t="s">
        <v>16</v>
      </c>
      <c r="J1150" t="s">
        <v>3260</v>
      </c>
      <c r="K1150" t="s">
        <v>56</v>
      </c>
      <c r="L1150" t="s">
        <v>4673</v>
      </c>
      <c r="M1150">
        <f>VLOOKUP(SUBSTITUTE(J1150,"'",""),Sheet1!L:M,2,FALSE)</f>
        <v>64100</v>
      </c>
    </row>
    <row r="1151" spans="1:13" ht="13.5" customHeight="1" x14ac:dyDescent="0.4">
      <c r="A1151" s="1">
        <v>45859</v>
      </c>
      <c r="B1151" t="s">
        <v>3263</v>
      </c>
      <c r="C1151">
        <v>372.36</v>
      </c>
      <c r="D1151" s="2" t="s">
        <v>3264</v>
      </c>
      <c r="E1151" t="s">
        <v>3263</v>
      </c>
      <c r="F1151" s="2" t="s">
        <v>2508</v>
      </c>
      <c r="G1151" s="2" t="s">
        <v>35</v>
      </c>
      <c r="H1151">
        <v>94158</v>
      </c>
      <c r="I1151" t="s">
        <v>16</v>
      </c>
      <c r="J1151" t="s">
        <v>3265</v>
      </c>
      <c r="K1151" t="s">
        <v>18</v>
      </c>
      <c r="L1151" t="s">
        <v>4673</v>
      </c>
      <c r="M1151">
        <f>VLOOKUP(SUBSTITUTE(J1151,"'",""),Sheet1!L:M,2,FALSE)</f>
        <v>64100</v>
      </c>
    </row>
    <row r="1152" spans="1:13" ht="13.5" customHeight="1" x14ac:dyDescent="0.4">
      <c r="A1152" s="1">
        <v>45860</v>
      </c>
      <c r="B1152" t="s">
        <v>3240</v>
      </c>
      <c r="C1152">
        <v>37.44</v>
      </c>
      <c r="D1152" s="2" t="s">
        <v>3246</v>
      </c>
      <c r="E1152" t="s">
        <v>3240</v>
      </c>
      <c r="F1152" s="2" t="s">
        <v>3242</v>
      </c>
      <c r="H1152">
        <v>10437</v>
      </c>
      <c r="I1152" t="s">
        <v>3243</v>
      </c>
      <c r="J1152" t="s">
        <v>3247</v>
      </c>
      <c r="K1152" t="s">
        <v>3245</v>
      </c>
      <c r="L1152" t="s">
        <v>4673</v>
      </c>
      <c r="M1152">
        <f>VLOOKUP(SUBSTITUTE(J1152,"'",""),Sheet1!L:M,2,FALSE)</f>
        <v>54820</v>
      </c>
    </row>
    <row r="1153" spans="1:13" ht="13.5" customHeight="1" x14ac:dyDescent="0.4">
      <c r="A1153" s="1">
        <v>45860</v>
      </c>
      <c r="B1153" t="s">
        <v>3240</v>
      </c>
      <c r="C1153">
        <v>37.44</v>
      </c>
      <c r="D1153" s="2" t="s">
        <v>3248</v>
      </c>
      <c r="E1153" t="s">
        <v>3240</v>
      </c>
      <c r="F1153" s="2" t="s">
        <v>3242</v>
      </c>
      <c r="H1153">
        <v>10437</v>
      </c>
      <c r="I1153" t="s">
        <v>3243</v>
      </c>
      <c r="J1153" t="s">
        <v>3249</v>
      </c>
      <c r="K1153" t="s">
        <v>3245</v>
      </c>
      <c r="L1153" t="s">
        <v>4673</v>
      </c>
      <c r="M1153">
        <f>VLOOKUP(SUBSTITUTE(J1153,"'",""),Sheet1!L:M,2,FALSE)</f>
        <v>54820</v>
      </c>
    </row>
    <row r="1154" spans="1:13" ht="13.5" customHeight="1" x14ac:dyDescent="0.4">
      <c r="A1154" s="1">
        <v>45860</v>
      </c>
      <c r="B1154" t="s">
        <v>3240</v>
      </c>
      <c r="C1154">
        <v>-37.44</v>
      </c>
      <c r="D1154" s="2" t="s">
        <v>3241</v>
      </c>
      <c r="E1154" t="s">
        <v>3240</v>
      </c>
      <c r="F1154" s="2" t="s">
        <v>3242</v>
      </c>
      <c r="H1154">
        <v>10437</v>
      </c>
      <c r="I1154" t="s">
        <v>3243</v>
      </c>
      <c r="J1154" t="s">
        <v>3244</v>
      </c>
      <c r="K1154" t="s">
        <v>3245</v>
      </c>
      <c r="L1154" t="s">
        <v>4673</v>
      </c>
      <c r="M1154">
        <f>VLOOKUP(SUBSTITUTE(J1154,"'",""),Sheet1!L:M,2,FALSE)</f>
        <v>54820</v>
      </c>
    </row>
    <row r="1155" spans="1:13" ht="13.5" customHeight="1" x14ac:dyDescent="0.4">
      <c r="A1155" s="1">
        <v>45860</v>
      </c>
      <c r="B1155" t="s">
        <v>32</v>
      </c>
      <c r="C1155">
        <v>21.4</v>
      </c>
      <c r="D1155" s="2" t="s">
        <v>615</v>
      </c>
      <c r="E1155" t="s">
        <v>32</v>
      </c>
      <c r="F1155" s="2" t="s">
        <v>34</v>
      </c>
      <c r="G1155" s="2" t="s">
        <v>35</v>
      </c>
      <c r="H1155">
        <v>94110</v>
      </c>
      <c r="I1155" t="s">
        <v>16</v>
      </c>
      <c r="J1155" t="s">
        <v>616</v>
      </c>
      <c r="K1155" t="s">
        <v>37</v>
      </c>
      <c r="L1155" t="s">
        <v>2047</v>
      </c>
      <c r="M1155">
        <f>VLOOKUP(SUBSTITUTE(J1155,"'",""),Sheet1!L:M,2,FALSE)</f>
        <v>64100</v>
      </c>
    </row>
    <row r="1156" spans="1:13" ht="13.5" customHeight="1" x14ac:dyDescent="0.4">
      <c r="A1156" s="1">
        <v>45860</v>
      </c>
      <c r="B1156" t="s">
        <v>3254</v>
      </c>
      <c r="C1156">
        <v>58.39</v>
      </c>
      <c r="D1156" s="2" t="s">
        <v>3255</v>
      </c>
      <c r="E1156" t="s">
        <v>3254</v>
      </c>
      <c r="F1156" s="2" t="s">
        <v>3256</v>
      </c>
      <c r="H1156">
        <v>41004</v>
      </c>
      <c r="I1156" t="s">
        <v>596</v>
      </c>
      <c r="J1156" t="s">
        <v>3257</v>
      </c>
      <c r="K1156" t="s">
        <v>207</v>
      </c>
      <c r="L1156" t="s">
        <v>4673</v>
      </c>
      <c r="M1156">
        <f>VLOOKUP(SUBSTITUTE(J1156,"'",""),Sheet1!L:M,2,FALSE)</f>
        <v>54820</v>
      </c>
    </row>
    <row r="1157" spans="1:13" ht="13.5" customHeight="1" x14ac:dyDescent="0.4">
      <c r="A1157" s="1">
        <v>45860</v>
      </c>
      <c r="B1157" t="s">
        <v>3250</v>
      </c>
      <c r="C1157">
        <v>44.46</v>
      </c>
      <c r="D1157" s="2" t="s">
        <v>3251</v>
      </c>
      <c r="E1157" t="s">
        <v>3250</v>
      </c>
      <c r="F1157" s="2" t="s">
        <v>3252</v>
      </c>
      <c r="H1157">
        <v>41004</v>
      </c>
      <c r="I1157" t="s">
        <v>596</v>
      </c>
      <c r="J1157" t="s">
        <v>3253</v>
      </c>
      <c r="K1157" t="s">
        <v>207</v>
      </c>
      <c r="L1157" t="s">
        <v>4673</v>
      </c>
      <c r="M1157">
        <f>VLOOKUP(SUBSTITUTE(J1157,"'",""),Sheet1!L:M,2,FALSE)</f>
        <v>54820</v>
      </c>
    </row>
    <row r="1158" spans="1:13" ht="13.5" customHeight="1" x14ac:dyDescent="0.4">
      <c r="A1158" s="1">
        <v>45860</v>
      </c>
      <c r="B1158" t="s">
        <v>611</v>
      </c>
      <c r="C1158">
        <v>251.45</v>
      </c>
      <c r="D1158" s="2" t="s">
        <v>612</v>
      </c>
      <c r="E1158" t="s">
        <v>611</v>
      </c>
      <c r="F1158" s="2" t="s">
        <v>613</v>
      </c>
      <c r="H1158">
        <v>41003</v>
      </c>
      <c r="I1158" t="s">
        <v>596</v>
      </c>
      <c r="J1158" t="s">
        <v>614</v>
      </c>
      <c r="K1158" t="s">
        <v>126</v>
      </c>
      <c r="L1158" t="s">
        <v>2047</v>
      </c>
      <c r="M1158">
        <f>VLOOKUP(SUBSTITUTE(J1158,"'",""),Sheet1!L:M,2,FALSE)</f>
        <v>54820</v>
      </c>
    </row>
    <row r="1159" spans="1:13" ht="13.5" customHeight="1" x14ac:dyDescent="0.4">
      <c r="A1159" s="1">
        <v>45861</v>
      </c>
      <c r="B1159" t="s">
        <v>134</v>
      </c>
      <c r="C1159">
        <v>-2500</v>
      </c>
      <c r="D1159" t="s">
        <v>134</v>
      </c>
      <c r="E1159" t="s">
        <v>134</v>
      </c>
      <c r="J1159" t="s">
        <v>604</v>
      </c>
      <c r="L1159" t="s">
        <v>2047</v>
      </c>
      <c r="M1159" t="e">
        <f>VLOOKUP(SUBSTITUTE(J1159,"'",""),Sheet1!L:M,2,FALSE)</f>
        <v>#N/A</v>
      </c>
    </row>
    <row r="1160" spans="1:13" ht="13.5" customHeight="1" x14ac:dyDescent="0.4">
      <c r="A1160" s="1">
        <v>45861</v>
      </c>
      <c r="B1160" t="s">
        <v>605</v>
      </c>
      <c r="C1160">
        <v>60.88</v>
      </c>
      <c r="D1160" s="2" t="s">
        <v>606</v>
      </c>
      <c r="E1160" t="s">
        <v>605</v>
      </c>
      <c r="F1160" s="2" t="s">
        <v>607</v>
      </c>
      <c r="H1160" t="s">
        <v>608</v>
      </c>
      <c r="I1160" t="s">
        <v>609</v>
      </c>
      <c r="J1160" t="s">
        <v>610</v>
      </c>
      <c r="K1160" t="s">
        <v>483</v>
      </c>
      <c r="L1160" t="s">
        <v>2047</v>
      </c>
      <c r="M1160">
        <f>VLOOKUP(SUBSTITUTE(J1160,"'",""),Sheet1!L:M,2,FALSE)</f>
        <v>61130</v>
      </c>
    </row>
    <row r="1161" spans="1:13" ht="13.5" customHeight="1" x14ac:dyDescent="0.4">
      <c r="A1161" s="1">
        <v>45861</v>
      </c>
      <c r="B1161" t="s">
        <v>592</v>
      </c>
      <c r="C1161">
        <v>206.3</v>
      </c>
      <c r="D1161" s="2" t="s">
        <v>600</v>
      </c>
      <c r="E1161" t="s">
        <v>592</v>
      </c>
      <c r="F1161" s="2" t="s">
        <v>594</v>
      </c>
      <c r="H1161" s="3" t="s">
        <v>595</v>
      </c>
      <c r="I1161" t="s">
        <v>596</v>
      </c>
      <c r="J1161" t="s">
        <v>601</v>
      </c>
      <c r="K1161" t="s">
        <v>50</v>
      </c>
      <c r="L1161" t="s">
        <v>2047</v>
      </c>
      <c r="M1161">
        <f>VLOOKUP(SUBSTITUTE(J1161,"'",""),Sheet1!L:M,2,FALSE)</f>
        <v>54820</v>
      </c>
    </row>
    <row r="1162" spans="1:13" ht="13.5" customHeight="1" x14ac:dyDescent="0.4">
      <c r="A1162" s="1">
        <v>45861</v>
      </c>
      <c r="B1162" t="s">
        <v>592</v>
      </c>
      <c r="C1162">
        <v>279.77</v>
      </c>
      <c r="D1162" s="2" t="s">
        <v>602</v>
      </c>
      <c r="E1162" t="s">
        <v>592</v>
      </c>
      <c r="F1162" s="2" t="s">
        <v>594</v>
      </c>
      <c r="H1162" s="3" t="s">
        <v>595</v>
      </c>
      <c r="I1162" t="s">
        <v>596</v>
      </c>
      <c r="J1162" t="s">
        <v>603</v>
      </c>
      <c r="K1162" t="s">
        <v>50</v>
      </c>
      <c r="L1162" t="s">
        <v>2047</v>
      </c>
      <c r="M1162">
        <f>VLOOKUP(SUBSTITUTE(J1162,"'",""),Sheet1!L:M,2,FALSE)</f>
        <v>54820</v>
      </c>
    </row>
    <row r="1163" spans="1:13" ht="13.5" customHeight="1" x14ac:dyDescent="0.4">
      <c r="A1163" s="1">
        <v>45862</v>
      </c>
      <c r="B1163" t="s">
        <v>3235</v>
      </c>
      <c r="C1163">
        <v>7.64</v>
      </c>
      <c r="D1163" s="2" t="s">
        <v>3236</v>
      </c>
      <c r="E1163" t="s">
        <v>3235</v>
      </c>
      <c r="F1163" s="2" t="s">
        <v>3237</v>
      </c>
      <c r="H1163" s="3" t="s">
        <v>3238</v>
      </c>
      <c r="I1163" t="s">
        <v>596</v>
      </c>
      <c r="J1163" t="s">
        <v>3239</v>
      </c>
      <c r="K1163" t="s">
        <v>126</v>
      </c>
      <c r="L1163" t="s">
        <v>4673</v>
      </c>
      <c r="M1163">
        <f>VLOOKUP(SUBSTITUTE(J1163,"'",""),Sheet1!L:M,2,FALSE)</f>
        <v>54820</v>
      </c>
    </row>
    <row r="1164" spans="1:13" ht="13.5" customHeight="1" x14ac:dyDescent="0.4">
      <c r="A1164" s="1">
        <v>45862</v>
      </c>
      <c r="B1164" t="s">
        <v>592</v>
      </c>
      <c r="C1164">
        <v>235.1</v>
      </c>
      <c r="D1164" s="2" t="s">
        <v>593</v>
      </c>
      <c r="E1164" t="s">
        <v>592</v>
      </c>
      <c r="F1164" s="2" t="s">
        <v>594</v>
      </c>
      <c r="H1164" s="3" t="s">
        <v>595</v>
      </c>
      <c r="I1164" t="s">
        <v>596</v>
      </c>
      <c r="J1164" t="s">
        <v>597</v>
      </c>
      <c r="K1164" t="s">
        <v>50</v>
      </c>
      <c r="L1164" t="s">
        <v>2047</v>
      </c>
      <c r="M1164">
        <f>VLOOKUP(SUBSTITUTE(J1164,"'",""),Sheet1!L:M,2,FALSE)</f>
        <v>54820</v>
      </c>
    </row>
    <row r="1165" spans="1:13" ht="13.5" customHeight="1" x14ac:dyDescent="0.4">
      <c r="A1165" s="1">
        <v>45862</v>
      </c>
      <c r="B1165" t="s">
        <v>592</v>
      </c>
      <c r="C1165">
        <v>803.74</v>
      </c>
      <c r="D1165" s="2" t="s">
        <v>598</v>
      </c>
      <c r="E1165" t="s">
        <v>592</v>
      </c>
      <c r="F1165" s="2" t="s">
        <v>594</v>
      </c>
      <c r="H1165" s="3" t="s">
        <v>595</v>
      </c>
      <c r="I1165" t="s">
        <v>596</v>
      </c>
      <c r="J1165" t="s">
        <v>599</v>
      </c>
      <c r="K1165" t="s">
        <v>50</v>
      </c>
      <c r="L1165" t="s">
        <v>2047</v>
      </c>
      <c r="M1165">
        <f>VLOOKUP(SUBSTITUTE(J1165,"'",""),Sheet1!L:M,2,FALSE)</f>
        <v>54820</v>
      </c>
    </row>
    <row r="1166" spans="1:13" ht="13.5" customHeight="1" x14ac:dyDescent="0.4">
      <c r="A1166" s="1">
        <v>45863</v>
      </c>
      <c r="B1166" t="s">
        <v>19</v>
      </c>
      <c r="C1166">
        <v>252.57</v>
      </c>
      <c r="D1166" t="s">
        <v>19</v>
      </c>
      <c r="E1166" t="s">
        <v>19</v>
      </c>
      <c r="J1166" t="s">
        <v>587</v>
      </c>
      <c r="K1166" t="s">
        <v>21</v>
      </c>
      <c r="L1166" t="s">
        <v>2047</v>
      </c>
      <c r="M1166">
        <f>VLOOKUP(SUBSTITUTE(J1166,"'",""),Sheet1!L:M,2,FALSE)</f>
        <v>80100</v>
      </c>
    </row>
    <row r="1167" spans="1:13" ht="13.5" customHeight="1" x14ac:dyDescent="0.4">
      <c r="A1167" s="1">
        <v>45863</v>
      </c>
      <c r="B1167" t="s">
        <v>478</v>
      </c>
      <c r="C1167">
        <v>216.73</v>
      </c>
      <c r="D1167" s="2" t="s">
        <v>590</v>
      </c>
      <c r="E1167" t="s">
        <v>480</v>
      </c>
      <c r="F1167" s="2" t="s">
        <v>481</v>
      </c>
      <c r="G1167" s="2" t="s">
        <v>35</v>
      </c>
      <c r="H1167">
        <v>94103</v>
      </c>
      <c r="I1167" t="s">
        <v>16</v>
      </c>
      <c r="J1167" t="s">
        <v>591</v>
      </c>
      <c r="K1167" t="s">
        <v>483</v>
      </c>
      <c r="L1167" t="s">
        <v>2047</v>
      </c>
      <c r="M1167">
        <f>VLOOKUP(SUBSTITUTE(J1167,"'",""),Sheet1!L:M,2,FALSE)</f>
        <v>61130</v>
      </c>
    </row>
    <row r="1168" spans="1:13" ht="13.5" customHeight="1" x14ac:dyDescent="0.4">
      <c r="A1168" s="1">
        <v>45863</v>
      </c>
      <c r="B1168" t="s">
        <v>588</v>
      </c>
      <c r="C1168">
        <v>650</v>
      </c>
      <c r="D1168" t="s">
        <v>588</v>
      </c>
      <c r="E1168" t="s">
        <v>588</v>
      </c>
      <c r="J1168" t="s">
        <v>589</v>
      </c>
      <c r="K1168" t="s">
        <v>21</v>
      </c>
      <c r="L1168" t="s">
        <v>2047</v>
      </c>
      <c r="M1168">
        <f>VLOOKUP(SUBSTITUTE(J1168,"'",""),Sheet1!L:M,2,FALSE)</f>
        <v>80100</v>
      </c>
    </row>
    <row r="1169" spans="1:13" ht="13.5" customHeight="1" x14ac:dyDescent="0.4">
      <c r="A1169" s="1">
        <v>45863</v>
      </c>
      <c r="B1169" t="s">
        <v>2934</v>
      </c>
      <c r="C1169">
        <v>12.79</v>
      </c>
      <c r="D1169" s="2" t="s">
        <v>3233</v>
      </c>
      <c r="E1169" t="s">
        <v>2934</v>
      </c>
      <c r="F1169" t="s">
        <v>2936</v>
      </c>
      <c r="G1169" s="2" t="s">
        <v>41</v>
      </c>
      <c r="H1169">
        <v>10003</v>
      </c>
      <c r="I1169" t="s">
        <v>16</v>
      </c>
      <c r="J1169" t="s">
        <v>3234</v>
      </c>
      <c r="K1169" t="s">
        <v>305</v>
      </c>
      <c r="L1169" t="s">
        <v>4673</v>
      </c>
      <c r="M1169">
        <f>VLOOKUP(SUBSTITUTE(J1169,"'",""),Sheet1!L:M,2,FALSE)</f>
        <v>54820</v>
      </c>
    </row>
    <row r="1170" spans="1:13" ht="13.5" customHeight="1" x14ac:dyDescent="0.4">
      <c r="A1170" s="1">
        <v>45863</v>
      </c>
      <c r="B1170" t="s">
        <v>2146</v>
      </c>
      <c r="C1170">
        <v>41.72</v>
      </c>
      <c r="D1170" s="2" t="s">
        <v>3231</v>
      </c>
      <c r="E1170" t="s">
        <v>2146</v>
      </c>
      <c r="F1170" t="s">
        <v>2148</v>
      </c>
      <c r="G1170" s="2" t="s">
        <v>2149</v>
      </c>
      <c r="H1170" s="3" t="s">
        <v>2150</v>
      </c>
      <c r="I1170" t="s">
        <v>16</v>
      </c>
      <c r="J1170" t="s">
        <v>3232</v>
      </c>
      <c r="K1170" t="s">
        <v>1904</v>
      </c>
      <c r="L1170" t="s">
        <v>4673</v>
      </c>
      <c r="M1170">
        <f>VLOOKUP(SUBSTITUTE(J1170,"'",""),Sheet1!L:M,2,FALSE)</f>
        <v>67500</v>
      </c>
    </row>
    <row r="1171" spans="1:13" ht="13.5" customHeight="1" x14ac:dyDescent="0.4">
      <c r="A1171" s="1">
        <v>45863</v>
      </c>
      <c r="B1171" t="s">
        <v>977</v>
      </c>
      <c r="C1171">
        <v>20</v>
      </c>
      <c r="D1171" s="2" t="s">
        <v>3229</v>
      </c>
      <c r="E1171" t="s">
        <v>977</v>
      </c>
      <c r="F1171" s="2" t="s">
        <v>979</v>
      </c>
      <c r="G1171" s="2" t="s">
        <v>980</v>
      </c>
      <c r="H1171">
        <v>78259</v>
      </c>
      <c r="I1171" t="s">
        <v>16</v>
      </c>
      <c r="J1171" t="s">
        <v>3230</v>
      </c>
      <c r="K1171" t="s">
        <v>164</v>
      </c>
      <c r="L1171" t="s">
        <v>4673</v>
      </c>
      <c r="M1171">
        <f>VLOOKUP(SUBSTITUTE(J1171,"'",""),Sheet1!L:M,2,FALSE)</f>
        <v>54820</v>
      </c>
    </row>
    <row r="1172" spans="1:13" ht="13.5" customHeight="1" x14ac:dyDescent="0.4">
      <c r="A1172" s="1">
        <v>45864</v>
      </c>
      <c r="B1172" t="s">
        <v>3210</v>
      </c>
      <c r="C1172">
        <v>15.81</v>
      </c>
      <c r="D1172" s="2" t="s">
        <v>3211</v>
      </c>
      <c r="E1172" t="s">
        <v>3210</v>
      </c>
      <c r="F1172" t="s">
        <v>3212</v>
      </c>
      <c r="G1172" s="2" t="s">
        <v>41</v>
      </c>
      <c r="H1172">
        <v>10012</v>
      </c>
      <c r="I1172" t="s">
        <v>16</v>
      </c>
      <c r="J1172" t="s">
        <v>3213</v>
      </c>
      <c r="K1172" t="s">
        <v>305</v>
      </c>
      <c r="L1172" t="s">
        <v>4673</v>
      </c>
      <c r="M1172">
        <f>VLOOKUP(SUBSTITUTE(J1172,"'",""),Sheet1!L:M,2,FALSE)</f>
        <v>54820</v>
      </c>
    </row>
    <row r="1173" spans="1:13" ht="13.5" customHeight="1" x14ac:dyDescent="0.4">
      <c r="A1173" s="1">
        <v>45864</v>
      </c>
      <c r="B1173" t="s">
        <v>580</v>
      </c>
      <c r="C1173">
        <v>10.99</v>
      </c>
      <c r="D1173" s="2" t="s">
        <v>581</v>
      </c>
      <c r="E1173" t="s">
        <v>580</v>
      </c>
      <c r="F1173" t="s">
        <v>13</v>
      </c>
      <c r="G1173" s="2" t="s">
        <v>14</v>
      </c>
      <c r="H1173" t="s">
        <v>15</v>
      </c>
      <c r="I1173" t="s">
        <v>16</v>
      </c>
      <c r="J1173" t="s">
        <v>582</v>
      </c>
      <c r="K1173" t="s">
        <v>18</v>
      </c>
      <c r="L1173" t="s">
        <v>2047</v>
      </c>
      <c r="M1173">
        <f>VLOOKUP(SUBSTITUTE(J1173,"'",""),Sheet1!L:M,2,FALSE)</f>
        <v>54820</v>
      </c>
    </row>
    <row r="1174" spans="1:13" ht="13.5" customHeight="1" x14ac:dyDescent="0.4">
      <c r="A1174" s="1">
        <v>45864</v>
      </c>
      <c r="B1174" t="s">
        <v>106</v>
      </c>
      <c r="C1174">
        <v>46.95</v>
      </c>
      <c r="D1174" s="2" t="s">
        <v>3225</v>
      </c>
      <c r="E1174" t="s">
        <v>106</v>
      </c>
      <c r="F1174" t="s">
        <v>108</v>
      </c>
      <c r="G1174" s="2" t="s">
        <v>41</v>
      </c>
      <c r="H1174">
        <v>10012</v>
      </c>
      <c r="I1174" t="s">
        <v>16</v>
      </c>
      <c r="J1174" t="s">
        <v>3226</v>
      </c>
      <c r="K1174" t="s">
        <v>110</v>
      </c>
      <c r="L1174" t="s">
        <v>4673</v>
      </c>
      <c r="M1174">
        <f>VLOOKUP(SUBSTITUTE(J1174,"'",""),Sheet1!L:M,2,FALSE)</f>
        <v>67500</v>
      </c>
    </row>
    <row r="1175" spans="1:13" ht="13.5" customHeight="1" x14ac:dyDescent="0.4">
      <c r="A1175" s="1">
        <v>45864</v>
      </c>
      <c r="B1175" t="s">
        <v>583</v>
      </c>
      <c r="C1175">
        <v>113.13</v>
      </c>
      <c r="D1175" s="2" t="s">
        <v>584</v>
      </c>
      <c r="E1175" t="s">
        <v>583</v>
      </c>
      <c r="F1175" s="2" t="s">
        <v>585</v>
      </c>
      <c r="G1175" s="2" t="s">
        <v>35</v>
      </c>
      <c r="H1175">
        <v>94103</v>
      </c>
      <c r="I1175" t="s">
        <v>16</v>
      </c>
      <c r="J1175" t="s">
        <v>586</v>
      </c>
      <c r="K1175" t="s">
        <v>126</v>
      </c>
      <c r="L1175" t="s">
        <v>2047</v>
      </c>
      <c r="M1175">
        <f>VLOOKUP(SUBSTITUTE(J1175,"'",""),Sheet1!L:M,2,FALSE)</f>
        <v>54820</v>
      </c>
    </row>
    <row r="1176" spans="1:13" ht="13.5" customHeight="1" x14ac:dyDescent="0.4">
      <c r="A1176" s="1">
        <v>45864</v>
      </c>
      <c r="B1176" t="s">
        <v>3220</v>
      </c>
      <c r="C1176">
        <v>17.88</v>
      </c>
      <c r="D1176" s="2" t="s">
        <v>3221</v>
      </c>
      <c r="E1176" t="s">
        <v>3220</v>
      </c>
      <c r="F1176" s="2" t="s">
        <v>3222</v>
      </c>
      <c r="H1176" s="3" t="s">
        <v>3223</v>
      </c>
      <c r="I1176" t="s">
        <v>625</v>
      </c>
      <c r="J1176" t="s">
        <v>3224</v>
      </c>
      <c r="K1176" t="s">
        <v>18</v>
      </c>
      <c r="L1176" t="s">
        <v>4673</v>
      </c>
      <c r="M1176">
        <f>VLOOKUP(SUBSTITUTE(J1176,"'",""),Sheet1!L:M,2,FALSE)</f>
        <v>54820</v>
      </c>
    </row>
    <row r="1177" spans="1:13" ht="13.5" customHeight="1" x14ac:dyDescent="0.4">
      <c r="A1177" s="1">
        <v>45864</v>
      </c>
      <c r="B1177" t="s">
        <v>2934</v>
      </c>
      <c r="C1177">
        <v>12.79</v>
      </c>
      <c r="D1177" s="2" t="s">
        <v>3218</v>
      </c>
      <c r="E1177" t="s">
        <v>2934</v>
      </c>
      <c r="F1177" t="s">
        <v>2936</v>
      </c>
      <c r="G1177" s="2" t="s">
        <v>41</v>
      </c>
      <c r="H1177">
        <v>10003</v>
      </c>
      <c r="I1177" t="s">
        <v>16</v>
      </c>
      <c r="J1177" t="s">
        <v>3219</v>
      </c>
      <c r="K1177" t="s">
        <v>305</v>
      </c>
      <c r="L1177" t="s">
        <v>4673</v>
      </c>
      <c r="M1177">
        <f>VLOOKUP(SUBSTITUTE(J1177,"'",""),Sheet1!L:M,2,FALSE)</f>
        <v>54820</v>
      </c>
    </row>
    <row r="1178" spans="1:13" ht="13.5" customHeight="1" x14ac:dyDescent="0.4">
      <c r="A1178" s="1">
        <v>45864</v>
      </c>
      <c r="B1178" t="s">
        <v>1792</v>
      </c>
      <c r="C1178">
        <v>16.05</v>
      </c>
      <c r="D1178" s="2" t="s">
        <v>3214</v>
      </c>
      <c r="E1178" t="s">
        <v>1792</v>
      </c>
      <c r="F1178" t="s">
        <v>1794</v>
      </c>
      <c r="G1178" s="2" t="s">
        <v>35</v>
      </c>
      <c r="H1178">
        <v>94105</v>
      </c>
      <c r="I1178" t="s">
        <v>16</v>
      </c>
      <c r="J1178" t="s">
        <v>3215</v>
      </c>
      <c r="K1178" t="s">
        <v>37</v>
      </c>
      <c r="L1178" t="s">
        <v>4673</v>
      </c>
      <c r="M1178">
        <f>VLOOKUP(SUBSTITUTE(J1178,"'",""),Sheet1!L:M,2,FALSE)</f>
        <v>64100</v>
      </c>
    </row>
    <row r="1179" spans="1:13" ht="13.5" customHeight="1" x14ac:dyDescent="0.4">
      <c r="A1179" s="1">
        <v>45864</v>
      </c>
      <c r="B1179" t="s">
        <v>2240</v>
      </c>
      <c r="C1179">
        <v>105.97</v>
      </c>
      <c r="D1179" s="2" t="s">
        <v>3227</v>
      </c>
      <c r="E1179" t="s">
        <v>2240</v>
      </c>
      <c r="F1179" t="s">
        <v>2242</v>
      </c>
      <c r="G1179" s="2" t="s">
        <v>41</v>
      </c>
      <c r="H1179">
        <v>10003</v>
      </c>
      <c r="I1179" t="s">
        <v>16</v>
      </c>
      <c r="J1179" t="s">
        <v>3228</v>
      </c>
      <c r="K1179" t="s">
        <v>1218</v>
      </c>
      <c r="L1179" t="s">
        <v>4673</v>
      </c>
      <c r="M1179">
        <f>VLOOKUP(SUBSTITUTE(J1179,"'",""),Sheet1!L:M,2,FALSE)</f>
        <v>54820</v>
      </c>
    </row>
    <row r="1180" spans="1:13" ht="13.5" customHeight="1" x14ac:dyDescent="0.4">
      <c r="A1180" s="1">
        <v>45864</v>
      </c>
      <c r="B1180" t="s">
        <v>977</v>
      </c>
      <c r="C1180">
        <v>10</v>
      </c>
      <c r="D1180" s="2" t="s">
        <v>3216</v>
      </c>
      <c r="E1180" t="s">
        <v>977</v>
      </c>
      <c r="F1180" s="2" t="s">
        <v>979</v>
      </c>
      <c r="G1180" s="2" t="s">
        <v>980</v>
      </c>
      <c r="H1180">
        <v>78259</v>
      </c>
      <c r="I1180" t="s">
        <v>16</v>
      </c>
      <c r="J1180" t="s">
        <v>3217</v>
      </c>
      <c r="K1180" t="s">
        <v>164</v>
      </c>
      <c r="L1180" t="s">
        <v>4673</v>
      </c>
      <c r="M1180">
        <f>VLOOKUP(SUBSTITUTE(J1180,"'",""),Sheet1!L:M,2,FALSE)</f>
        <v>54820</v>
      </c>
    </row>
    <row r="1181" spans="1:13" ht="13.5" customHeight="1" x14ac:dyDescent="0.4">
      <c r="A1181" s="1">
        <v>45865</v>
      </c>
      <c r="B1181" t="s">
        <v>22</v>
      </c>
      <c r="C1181">
        <v>-2500</v>
      </c>
      <c r="D1181" t="s">
        <v>22</v>
      </c>
      <c r="E1181" t="s">
        <v>22</v>
      </c>
      <c r="J1181" t="s">
        <v>3205</v>
      </c>
      <c r="L1181" t="s">
        <v>4673</v>
      </c>
      <c r="M1181" t="e">
        <f>VLOOKUP(SUBSTITUTE(J1181,"'",""),Sheet1!L:M,2,FALSE)</f>
        <v>#N/A</v>
      </c>
    </row>
    <row r="1182" spans="1:13" ht="13.5" customHeight="1" x14ac:dyDescent="0.4">
      <c r="A1182" s="1">
        <v>45865</v>
      </c>
      <c r="B1182" t="s">
        <v>22</v>
      </c>
      <c r="C1182">
        <v>-1000</v>
      </c>
      <c r="D1182" t="s">
        <v>22</v>
      </c>
      <c r="E1182" t="s">
        <v>22</v>
      </c>
      <c r="J1182" t="s">
        <v>579</v>
      </c>
      <c r="L1182" t="s">
        <v>2047</v>
      </c>
      <c r="M1182" t="e">
        <f>VLOOKUP(SUBSTITUTE(J1182,"'",""),Sheet1!L:M,2,FALSE)</f>
        <v>#N/A</v>
      </c>
    </row>
    <row r="1183" spans="1:13" ht="13.5" customHeight="1" x14ac:dyDescent="0.4">
      <c r="A1183" s="1">
        <v>45865</v>
      </c>
      <c r="B1183" t="s">
        <v>574</v>
      </c>
      <c r="C1183">
        <v>9.15</v>
      </c>
      <c r="D1183" s="2" t="s">
        <v>575</v>
      </c>
      <c r="E1183" t="s">
        <v>574</v>
      </c>
      <c r="F1183" t="s">
        <v>576</v>
      </c>
      <c r="G1183" s="2" t="s">
        <v>577</v>
      </c>
      <c r="H1183">
        <v>85201</v>
      </c>
      <c r="I1183" t="s">
        <v>16</v>
      </c>
      <c r="J1183" t="s">
        <v>578</v>
      </c>
      <c r="K1183" t="s">
        <v>96</v>
      </c>
      <c r="L1183" t="s">
        <v>2047</v>
      </c>
      <c r="M1183">
        <f>VLOOKUP(SUBSTITUTE(J1183,"'",""),Sheet1!L:M,2,FALSE)</f>
        <v>61131</v>
      </c>
    </row>
    <row r="1184" spans="1:13" ht="13.5" customHeight="1" x14ac:dyDescent="0.4">
      <c r="A1184" s="1">
        <v>45865</v>
      </c>
      <c r="B1184" t="s">
        <v>3206</v>
      </c>
      <c r="C1184">
        <v>1255.3900000000001</v>
      </c>
      <c r="D1184" s="2" t="s">
        <v>3207</v>
      </c>
      <c r="E1184" t="s">
        <v>3206</v>
      </c>
      <c r="F1184" t="s">
        <v>3208</v>
      </c>
      <c r="G1184" s="2" t="s">
        <v>41</v>
      </c>
      <c r="H1184">
        <v>10012</v>
      </c>
      <c r="I1184" t="s">
        <v>16</v>
      </c>
      <c r="J1184" t="s">
        <v>3209</v>
      </c>
      <c r="K1184" t="s">
        <v>126</v>
      </c>
      <c r="L1184" t="s">
        <v>4673</v>
      </c>
      <c r="M1184">
        <f>VLOOKUP(SUBSTITUTE(J1184,"'",""),Sheet1!L:M,2,FALSE)</f>
        <v>61215</v>
      </c>
    </row>
    <row r="1185" spans="1:13" ht="13.5" customHeight="1" x14ac:dyDescent="0.4">
      <c r="A1185" s="1">
        <v>45865</v>
      </c>
      <c r="B1185" t="s">
        <v>2458</v>
      </c>
      <c r="C1185">
        <v>2.9</v>
      </c>
      <c r="D1185" s="2" t="s">
        <v>3201</v>
      </c>
      <c r="E1185" t="s">
        <v>2458</v>
      </c>
      <c r="F1185" s="2" t="s">
        <v>2460</v>
      </c>
      <c r="G1185" s="2" t="s">
        <v>41</v>
      </c>
      <c r="H1185">
        <v>10004</v>
      </c>
      <c r="I1185" t="s">
        <v>16</v>
      </c>
      <c r="J1185" t="s">
        <v>3202</v>
      </c>
      <c r="K1185" t="s">
        <v>2462</v>
      </c>
      <c r="L1185" t="s">
        <v>4673</v>
      </c>
      <c r="M1185">
        <f>VLOOKUP(SUBSTITUTE(J1185,"'",""),Sheet1!L:M,2,FALSE)</f>
        <v>61133</v>
      </c>
    </row>
    <row r="1186" spans="1:13" ht="13.5" customHeight="1" x14ac:dyDescent="0.4">
      <c r="A1186" s="1">
        <v>45865</v>
      </c>
      <c r="B1186" t="s">
        <v>2458</v>
      </c>
      <c r="C1186">
        <v>2.9</v>
      </c>
      <c r="D1186" s="2" t="s">
        <v>3203</v>
      </c>
      <c r="E1186" t="s">
        <v>2458</v>
      </c>
      <c r="F1186" s="2" t="s">
        <v>2460</v>
      </c>
      <c r="G1186" s="2" t="s">
        <v>41</v>
      </c>
      <c r="H1186">
        <v>10004</v>
      </c>
      <c r="I1186" t="s">
        <v>16</v>
      </c>
      <c r="J1186" t="s">
        <v>3204</v>
      </c>
      <c r="K1186" t="s">
        <v>2462</v>
      </c>
      <c r="L1186" t="s">
        <v>4673</v>
      </c>
      <c r="M1186">
        <f>VLOOKUP(SUBSTITUTE(J1186,"'",""),Sheet1!L:M,2,FALSE)</f>
        <v>61133</v>
      </c>
    </row>
    <row r="1187" spans="1:13" ht="13.5" customHeight="1" x14ac:dyDescent="0.4">
      <c r="A1187" s="1">
        <v>45866</v>
      </c>
      <c r="B1187" t="s">
        <v>3189</v>
      </c>
      <c r="C1187">
        <v>108</v>
      </c>
      <c r="D1187" s="2" t="s">
        <v>3190</v>
      </c>
      <c r="E1187" t="s">
        <v>3189</v>
      </c>
      <c r="F1187" t="s">
        <v>3191</v>
      </c>
      <c r="G1187" s="2" t="s">
        <v>41</v>
      </c>
      <c r="H1187">
        <v>10024</v>
      </c>
      <c r="I1187" t="s">
        <v>16</v>
      </c>
      <c r="J1187" t="s">
        <v>3192</v>
      </c>
      <c r="K1187" t="s">
        <v>433</v>
      </c>
      <c r="L1187" t="s">
        <v>4673</v>
      </c>
      <c r="M1187">
        <f>VLOOKUP(SUBSTITUTE(J1187,"'",""),Sheet1!L:M,2,FALSE)</f>
        <v>54820</v>
      </c>
    </row>
    <row r="1188" spans="1:13" ht="13.5" customHeight="1" x14ac:dyDescent="0.4">
      <c r="A1188" s="1">
        <v>45866</v>
      </c>
      <c r="B1188" t="s">
        <v>3193</v>
      </c>
      <c r="C1188">
        <v>10.47</v>
      </c>
      <c r="D1188" s="2" t="s">
        <v>3194</v>
      </c>
      <c r="E1188" t="s">
        <v>3193</v>
      </c>
      <c r="F1188" t="s">
        <v>3195</v>
      </c>
      <c r="G1188" s="2" t="s">
        <v>41</v>
      </c>
      <c r="H1188">
        <v>10003</v>
      </c>
      <c r="I1188" t="s">
        <v>16</v>
      </c>
      <c r="J1188" t="s">
        <v>3196</v>
      </c>
      <c r="K1188" t="s">
        <v>126</v>
      </c>
      <c r="L1188" t="s">
        <v>4673</v>
      </c>
      <c r="M1188">
        <f>VLOOKUP(SUBSTITUTE(J1188,"'",""),Sheet1!L:M,2,FALSE)</f>
        <v>54820</v>
      </c>
    </row>
    <row r="1189" spans="1:13" ht="13.5" customHeight="1" x14ac:dyDescent="0.4">
      <c r="A1189" s="1">
        <v>45866</v>
      </c>
      <c r="B1189" t="s">
        <v>260</v>
      </c>
      <c r="C1189">
        <v>81.59</v>
      </c>
      <c r="D1189" s="2" t="s">
        <v>567</v>
      </c>
      <c r="E1189" t="s">
        <v>260</v>
      </c>
      <c r="F1189" t="s">
        <v>29</v>
      </c>
      <c r="G1189" t="e">
        <f>-
TX</f>
        <v>#NAME?</v>
      </c>
      <c r="H1189">
        <v>75231</v>
      </c>
      <c r="I1189" t="s">
        <v>16</v>
      </c>
      <c r="J1189" t="s">
        <v>568</v>
      </c>
      <c r="K1189" t="s">
        <v>61</v>
      </c>
      <c r="L1189" t="s">
        <v>2047</v>
      </c>
      <c r="M1189">
        <f>VLOOKUP(SUBSTITUTE(J1189,"'",""),Sheet1!L:M,2,FALSE)</f>
        <v>63100</v>
      </c>
    </row>
    <row r="1190" spans="1:13" ht="13.5" customHeight="1" x14ac:dyDescent="0.4">
      <c r="A1190" s="1">
        <v>45866</v>
      </c>
      <c r="B1190" t="s">
        <v>3197</v>
      </c>
      <c r="C1190">
        <v>600</v>
      </c>
      <c r="D1190" s="2" t="s">
        <v>3198</v>
      </c>
      <c r="E1190" t="s">
        <v>3197</v>
      </c>
      <c r="F1190" s="2" t="s">
        <v>3199</v>
      </c>
      <c r="G1190" s="2" t="s">
        <v>41</v>
      </c>
      <c r="H1190">
        <v>10005</v>
      </c>
      <c r="I1190" t="s">
        <v>16</v>
      </c>
      <c r="J1190" t="s">
        <v>3200</v>
      </c>
      <c r="K1190" t="s">
        <v>126</v>
      </c>
      <c r="L1190" t="s">
        <v>4673</v>
      </c>
      <c r="M1190">
        <f>VLOOKUP(SUBSTITUTE(J1190,"'",""),Sheet1!L:M,2,FALSE)</f>
        <v>61215</v>
      </c>
    </row>
    <row r="1191" spans="1:13" ht="13.5" customHeight="1" x14ac:dyDescent="0.4">
      <c r="A1191" s="1">
        <v>45866</v>
      </c>
      <c r="B1191" t="s">
        <v>569</v>
      </c>
      <c r="C1191">
        <v>18.5</v>
      </c>
      <c r="D1191" s="2" t="s">
        <v>570</v>
      </c>
      <c r="E1191" t="s">
        <v>569</v>
      </c>
      <c r="F1191" t="s">
        <v>571</v>
      </c>
      <c r="G1191" s="2" t="s">
        <v>47</v>
      </c>
      <c r="H1191">
        <v>12866</v>
      </c>
      <c r="I1191" t="s">
        <v>16</v>
      </c>
      <c r="J1191" t="s">
        <v>572</v>
      </c>
      <c r="K1191" t="s">
        <v>573</v>
      </c>
      <c r="L1191" t="s">
        <v>2047</v>
      </c>
      <c r="M1191">
        <f>VLOOKUP(SUBSTITUTE(J1191,"'",""),Sheet1!L:M,2,FALSE)</f>
        <v>65600</v>
      </c>
    </row>
    <row r="1192" spans="1:13" ht="13.5" customHeight="1" x14ac:dyDescent="0.4">
      <c r="A1192" s="1">
        <v>45866</v>
      </c>
      <c r="B1192" t="s">
        <v>563</v>
      </c>
      <c r="C1192">
        <v>50</v>
      </c>
      <c r="D1192" s="2" t="s">
        <v>564</v>
      </c>
      <c r="E1192" t="s">
        <v>563</v>
      </c>
      <c r="F1192" s="2" t="s">
        <v>565</v>
      </c>
      <c r="G1192" s="2" t="s">
        <v>41</v>
      </c>
      <c r="H1192">
        <v>10012</v>
      </c>
      <c r="I1192" t="s">
        <v>16</v>
      </c>
      <c r="J1192" t="s">
        <v>566</v>
      </c>
      <c r="K1192" t="s">
        <v>188</v>
      </c>
      <c r="L1192" t="s">
        <v>2047</v>
      </c>
      <c r="M1192">
        <f>VLOOKUP(SUBSTITUTE(J1192,"'",""),Sheet1!L:M,2,FALSE)</f>
        <v>64100</v>
      </c>
    </row>
    <row r="1193" spans="1:13" ht="13.5" customHeight="1" x14ac:dyDescent="0.4">
      <c r="A1193" s="1">
        <v>45867</v>
      </c>
      <c r="B1193" t="s">
        <v>977</v>
      </c>
      <c r="C1193">
        <v>30</v>
      </c>
      <c r="D1193" s="2" t="s">
        <v>3187</v>
      </c>
      <c r="E1193" t="s">
        <v>977</v>
      </c>
      <c r="F1193" s="2" t="s">
        <v>979</v>
      </c>
      <c r="G1193" s="2" t="s">
        <v>980</v>
      </c>
      <c r="H1193">
        <v>78259</v>
      </c>
      <c r="I1193" t="s">
        <v>16</v>
      </c>
      <c r="J1193" t="s">
        <v>3188</v>
      </c>
      <c r="K1193" t="s">
        <v>164</v>
      </c>
      <c r="L1193" t="s">
        <v>4673</v>
      </c>
      <c r="M1193">
        <f>VLOOKUP(SUBSTITUTE(J1193,"'",""),Sheet1!L:M,2,FALSE)</f>
        <v>54820</v>
      </c>
    </row>
    <row r="1194" spans="1:13" ht="13.5" customHeight="1" x14ac:dyDescent="0.4">
      <c r="A1194" s="1">
        <v>45868</v>
      </c>
      <c r="B1194" t="s">
        <v>3181</v>
      </c>
      <c r="C1194">
        <v>135</v>
      </c>
      <c r="D1194" s="2" t="s">
        <v>3182</v>
      </c>
      <c r="E1194" t="s">
        <v>3181</v>
      </c>
      <c r="F1194" t="s">
        <v>3183</v>
      </c>
      <c r="G1194" s="2" t="s">
        <v>41</v>
      </c>
      <c r="H1194">
        <v>10001</v>
      </c>
      <c r="I1194" t="s">
        <v>16</v>
      </c>
      <c r="J1194" t="s">
        <v>3184</v>
      </c>
      <c r="K1194" t="s">
        <v>2966</v>
      </c>
      <c r="L1194" t="s">
        <v>4673</v>
      </c>
      <c r="M1194">
        <f>VLOOKUP(SUBSTITUTE(J1194,"'",""),Sheet1!L:M,2,FALSE)</f>
        <v>54820</v>
      </c>
    </row>
    <row r="1195" spans="1:13" ht="13.5" customHeight="1" x14ac:dyDescent="0.4">
      <c r="A1195" s="1">
        <v>45868</v>
      </c>
      <c r="B1195" t="s">
        <v>2934</v>
      </c>
      <c r="C1195">
        <v>12.79</v>
      </c>
      <c r="D1195" s="2" t="s">
        <v>3185</v>
      </c>
      <c r="E1195" t="s">
        <v>2934</v>
      </c>
      <c r="F1195" t="s">
        <v>2936</v>
      </c>
      <c r="G1195" s="2" t="s">
        <v>41</v>
      </c>
      <c r="H1195">
        <v>10003</v>
      </c>
      <c r="I1195" t="s">
        <v>16</v>
      </c>
      <c r="J1195" t="s">
        <v>3186</v>
      </c>
      <c r="K1195" t="s">
        <v>305</v>
      </c>
      <c r="L1195" t="s">
        <v>4673</v>
      </c>
      <c r="M1195">
        <f>VLOOKUP(SUBSTITUTE(J1195,"'",""),Sheet1!L:M,2,FALSE)</f>
        <v>54820</v>
      </c>
    </row>
    <row r="1196" spans="1:13" ht="13.5" customHeight="1" x14ac:dyDescent="0.4">
      <c r="A1196" s="1">
        <v>45868</v>
      </c>
      <c r="B1196" t="s">
        <v>448</v>
      </c>
      <c r="C1196">
        <v>0.49</v>
      </c>
      <c r="D1196" s="2" t="s">
        <v>561</v>
      </c>
      <c r="E1196" t="s">
        <v>448</v>
      </c>
      <c r="F1196" t="s">
        <v>29</v>
      </c>
      <c r="G1196" t="e">
        <f>-
NY</f>
        <v>#NAME?</v>
      </c>
      <c r="H1196">
        <v>11577</v>
      </c>
      <c r="I1196" t="s">
        <v>16</v>
      </c>
      <c r="J1196" t="s">
        <v>562</v>
      </c>
      <c r="K1196" t="s">
        <v>31</v>
      </c>
      <c r="L1196" t="s">
        <v>2047</v>
      </c>
      <c r="M1196">
        <f>VLOOKUP(SUBSTITUTE(J1196,"'",""),Sheet1!L:M,2,FALSE)</f>
        <v>61131</v>
      </c>
    </row>
    <row r="1197" spans="1:13" ht="13.5" customHeight="1" x14ac:dyDescent="0.4">
      <c r="A1197" s="1">
        <v>45868</v>
      </c>
      <c r="B1197" t="s">
        <v>38</v>
      </c>
      <c r="C1197">
        <v>761.98</v>
      </c>
      <c r="D1197" s="2" t="s">
        <v>559</v>
      </c>
      <c r="E1197" t="s">
        <v>38</v>
      </c>
      <c r="F1197" t="s">
        <v>40</v>
      </c>
      <c r="G1197" s="2" t="s">
        <v>41</v>
      </c>
      <c r="H1197">
        <v>10012</v>
      </c>
      <c r="I1197" t="s">
        <v>16</v>
      </c>
      <c r="J1197" t="s">
        <v>560</v>
      </c>
      <c r="K1197" t="s">
        <v>43</v>
      </c>
      <c r="L1197" t="s">
        <v>2047</v>
      </c>
      <c r="M1197">
        <f>VLOOKUP(SUBSTITUTE(J1197,"'",""),Sheet1!L:M,2,FALSE)</f>
        <v>61131</v>
      </c>
    </row>
    <row r="1198" spans="1:13" ht="13.5" customHeight="1" x14ac:dyDescent="0.4">
      <c r="A1198" s="1">
        <v>45869</v>
      </c>
      <c r="B1198" t="s">
        <v>22</v>
      </c>
      <c r="C1198">
        <v>-2500</v>
      </c>
      <c r="D1198" t="s">
        <v>22</v>
      </c>
      <c r="E1198" t="s">
        <v>22</v>
      </c>
      <c r="J1198" t="s">
        <v>552</v>
      </c>
      <c r="L1198" t="s">
        <v>2047</v>
      </c>
      <c r="M1198" t="e">
        <f>VLOOKUP(SUBSTITUTE(J1198,"'",""),Sheet1!L:M,2,FALSE)</f>
        <v>#N/A</v>
      </c>
    </row>
    <row r="1199" spans="1:13" ht="13.5" customHeight="1" x14ac:dyDescent="0.4">
      <c r="A1199" s="1">
        <v>45869</v>
      </c>
      <c r="B1199" t="s">
        <v>478</v>
      </c>
      <c r="C1199">
        <v>72.430000000000007</v>
      </c>
      <c r="D1199" s="2" t="s">
        <v>555</v>
      </c>
      <c r="E1199" t="s">
        <v>480</v>
      </c>
      <c r="F1199" s="2" t="s">
        <v>481</v>
      </c>
      <c r="G1199" s="2" t="s">
        <v>35</v>
      </c>
      <c r="H1199">
        <v>94103</v>
      </c>
      <c r="I1199" t="s">
        <v>16</v>
      </c>
      <c r="J1199" t="s">
        <v>556</v>
      </c>
      <c r="K1199" t="s">
        <v>483</v>
      </c>
      <c r="L1199" t="s">
        <v>2047</v>
      </c>
      <c r="M1199">
        <f>VLOOKUP(SUBSTITUTE(J1199,"'",""),Sheet1!L:M,2,FALSE)</f>
        <v>61130</v>
      </c>
    </row>
    <row r="1200" spans="1:13" ht="13.5" customHeight="1" x14ac:dyDescent="0.4">
      <c r="A1200" s="1">
        <v>45869</v>
      </c>
      <c r="B1200" t="s">
        <v>478</v>
      </c>
      <c r="C1200">
        <v>47.32</v>
      </c>
      <c r="D1200" s="2" t="s">
        <v>553</v>
      </c>
      <c r="E1200" t="s">
        <v>480</v>
      </c>
      <c r="F1200" s="2" t="s">
        <v>481</v>
      </c>
      <c r="G1200" s="2" t="s">
        <v>35</v>
      </c>
      <c r="H1200">
        <v>94103</v>
      </c>
      <c r="I1200" t="s">
        <v>16</v>
      </c>
      <c r="J1200" t="s">
        <v>554</v>
      </c>
      <c r="K1200" t="s">
        <v>483</v>
      </c>
      <c r="L1200" t="s">
        <v>2047</v>
      </c>
      <c r="M1200">
        <f>VLOOKUP(SUBSTITUTE(J1200,"'",""),Sheet1!L:M,2,FALSE)</f>
        <v>61130</v>
      </c>
    </row>
    <row r="1201" spans="1:13" ht="13.5" customHeight="1" x14ac:dyDescent="0.4">
      <c r="A1201" s="1">
        <v>45869</v>
      </c>
      <c r="B1201" t="s">
        <v>478</v>
      </c>
      <c r="C1201">
        <v>102.24</v>
      </c>
      <c r="D1201" s="2" t="s">
        <v>557</v>
      </c>
      <c r="E1201" t="s">
        <v>480</v>
      </c>
      <c r="F1201" s="2" t="s">
        <v>481</v>
      </c>
      <c r="G1201" s="2" t="s">
        <v>35</v>
      </c>
      <c r="H1201">
        <v>94103</v>
      </c>
      <c r="I1201" t="s">
        <v>16</v>
      </c>
      <c r="J1201" t="s">
        <v>558</v>
      </c>
      <c r="K1201" t="s">
        <v>483</v>
      </c>
      <c r="L1201" t="s">
        <v>2047</v>
      </c>
      <c r="M1201">
        <f>VLOOKUP(SUBSTITUTE(J1201,"'",""),Sheet1!L:M,2,FALSE)</f>
        <v>61130</v>
      </c>
    </row>
    <row r="1202" spans="1:13" ht="13.5" customHeight="1" x14ac:dyDescent="0.4">
      <c r="A1202" s="1">
        <v>45869</v>
      </c>
      <c r="B1202" t="s">
        <v>3177</v>
      </c>
      <c r="C1202">
        <v>27.82</v>
      </c>
      <c r="D1202" s="2" t="s">
        <v>3178</v>
      </c>
      <c r="E1202" t="s">
        <v>3177</v>
      </c>
      <c r="F1202" s="2" t="s">
        <v>3179</v>
      </c>
      <c r="H1202">
        <v>14270</v>
      </c>
      <c r="I1202" t="s">
        <v>761</v>
      </c>
      <c r="J1202" t="s">
        <v>3180</v>
      </c>
      <c r="K1202" t="s">
        <v>110</v>
      </c>
      <c r="L1202" t="s">
        <v>4673</v>
      </c>
      <c r="M1202">
        <f>VLOOKUP(SUBSTITUTE(J1202,"'",""),Sheet1!L:M,2,FALSE)</f>
        <v>54820</v>
      </c>
    </row>
    <row r="1203" spans="1:13" ht="13.5" customHeight="1" x14ac:dyDescent="0.4">
      <c r="A1203" s="1">
        <v>45869</v>
      </c>
      <c r="B1203" t="s">
        <v>2764</v>
      </c>
      <c r="C1203">
        <v>8.66</v>
      </c>
      <c r="D1203" s="2" t="s">
        <v>3175</v>
      </c>
      <c r="E1203" t="s">
        <v>2764</v>
      </c>
      <c r="F1203" t="s">
        <v>2766</v>
      </c>
      <c r="G1203" s="2" t="s">
        <v>41</v>
      </c>
      <c r="H1203">
        <v>10011</v>
      </c>
      <c r="I1203" t="s">
        <v>16</v>
      </c>
      <c r="J1203" t="s">
        <v>3176</v>
      </c>
      <c r="K1203" t="s">
        <v>305</v>
      </c>
      <c r="L1203" t="s">
        <v>4673</v>
      </c>
      <c r="M1203">
        <f>VLOOKUP(SUBSTITUTE(J1203,"'",""),Sheet1!L:M,2,FALSE)</f>
        <v>54820</v>
      </c>
    </row>
    <row r="1204" spans="1:13" ht="13.5" customHeight="1" x14ac:dyDescent="0.4">
      <c r="A1204" s="1">
        <v>45870</v>
      </c>
      <c r="B1204" t="s">
        <v>2429</v>
      </c>
      <c r="C1204">
        <v>1576.93</v>
      </c>
      <c r="D1204" s="2" t="s">
        <v>3163</v>
      </c>
      <c r="E1204" t="s">
        <v>2429</v>
      </c>
      <c r="F1204" t="s">
        <v>13</v>
      </c>
      <c r="G1204" s="2" t="s">
        <v>14</v>
      </c>
      <c r="H1204">
        <v>98101</v>
      </c>
      <c r="I1204" t="s">
        <v>16</v>
      </c>
      <c r="J1204" t="s">
        <v>3164</v>
      </c>
      <c r="K1204" t="s">
        <v>18</v>
      </c>
      <c r="L1204" t="s">
        <v>4673</v>
      </c>
      <c r="M1204">
        <f>VLOOKUP(SUBSTITUTE(J1204,"'",""),Sheet1!L:M,2,FALSE)</f>
        <v>64101</v>
      </c>
    </row>
    <row r="1205" spans="1:13" ht="13.5" customHeight="1" x14ac:dyDescent="0.4">
      <c r="A1205" s="1">
        <v>45870</v>
      </c>
      <c r="B1205" t="s">
        <v>106</v>
      </c>
      <c r="C1205">
        <v>48.43</v>
      </c>
      <c r="D1205" s="2" t="s">
        <v>3171</v>
      </c>
      <c r="E1205" t="s">
        <v>106</v>
      </c>
      <c r="F1205" t="s">
        <v>108</v>
      </c>
      <c r="G1205" s="2" t="s">
        <v>41</v>
      </c>
      <c r="H1205">
        <v>10012</v>
      </c>
      <c r="I1205" t="s">
        <v>16</v>
      </c>
      <c r="J1205" t="s">
        <v>3172</v>
      </c>
      <c r="K1205" t="s">
        <v>110</v>
      </c>
      <c r="L1205" t="s">
        <v>4673</v>
      </c>
      <c r="M1205">
        <f>VLOOKUP(SUBSTITUTE(J1205,"'",""),Sheet1!L:M,2,FALSE)</f>
        <v>67500</v>
      </c>
    </row>
    <row r="1206" spans="1:13" ht="13.5" customHeight="1" x14ac:dyDescent="0.4">
      <c r="A1206" s="1">
        <v>45870</v>
      </c>
      <c r="B1206" t="s">
        <v>234</v>
      </c>
      <c r="C1206">
        <v>403.07</v>
      </c>
      <c r="D1206" s="2" t="s">
        <v>550</v>
      </c>
      <c r="E1206" t="s">
        <v>236</v>
      </c>
      <c r="F1206" t="s">
        <v>237</v>
      </c>
      <c r="G1206" s="2" t="s">
        <v>238</v>
      </c>
      <c r="H1206" t="s">
        <v>239</v>
      </c>
      <c r="I1206" t="s">
        <v>16</v>
      </c>
      <c r="J1206" t="s">
        <v>551</v>
      </c>
      <c r="K1206" t="s">
        <v>90</v>
      </c>
      <c r="L1206" t="s">
        <v>2047</v>
      </c>
      <c r="M1206">
        <f>VLOOKUP(SUBSTITUTE(J1206,"'",""),Sheet1!L:M,2,FALSE)</f>
        <v>65700</v>
      </c>
    </row>
    <row r="1207" spans="1:13" ht="13.5" customHeight="1" x14ac:dyDescent="0.4">
      <c r="A1207" s="1">
        <v>45870</v>
      </c>
      <c r="B1207" t="s">
        <v>317</v>
      </c>
      <c r="C1207">
        <v>24.95</v>
      </c>
      <c r="D1207" s="2" t="s">
        <v>544</v>
      </c>
      <c r="E1207" t="s">
        <v>317</v>
      </c>
      <c r="F1207" s="2" t="s">
        <v>319</v>
      </c>
      <c r="G1207" s="2" t="s">
        <v>41</v>
      </c>
      <c r="H1207">
        <v>10285</v>
      </c>
      <c r="I1207" t="s">
        <v>16</v>
      </c>
      <c r="J1207" t="s">
        <v>545</v>
      </c>
      <c r="K1207" t="s">
        <v>321</v>
      </c>
      <c r="L1207" t="s">
        <v>2047</v>
      </c>
      <c r="M1207">
        <f>VLOOKUP(SUBSTITUTE(J1207,"'",""),Sheet1!L:M,2,FALSE)</f>
        <v>61131</v>
      </c>
    </row>
    <row r="1208" spans="1:13" ht="13.5" customHeight="1" x14ac:dyDescent="0.4">
      <c r="A1208" s="1">
        <v>45870</v>
      </c>
      <c r="B1208" t="s">
        <v>2934</v>
      </c>
      <c r="C1208">
        <v>12.79</v>
      </c>
      <c r="D1208" s="2" t="s">
        <v>3169</v>
      </c>
      <c r="E1208" t="s">
        <v>2934</v>
      </c>
      <c r="F1208" t="s">
        <v>2936</v>
      </c>
      <c r="G1208" s="2" t="s">
        <v>41</v>
      </c>
      <c r="H1208">
        <v>10003</v>
      </c>
      <c r="I1208" t="s">
        <v>16</v>
      </c>
      <c r="J1208" t="s">
        <v>3170</v>
      </c>
      <c r="K1208" t="s">
        <v>305</v>
      </c>
      <c r="L1208" t="s">
        <v>4673</v>
      </c>
      <c r="M1208">
        <f>VLOOKUP(SUBSTITUTE(J1208,"'",""),Sheet1!L:M,2,FALSE)</f>
        <v>54820</v>
      </c>
    </row>
    <row r="1209" spans="1:13" ht="13.5" customHeight="1" x14ac:dyDescent="0.4">
      <c r="A1209" s="1">
        <v>45870</v>
      </c>
      <c r="B1209" t="s">
        <v>546</v>
      </c>
      <c r="C1209">
        <v>74.58</v>
      </c>
      <c r="D1209" s="2" t="s">
        <v>547</v>
      </c>
      <c r="E1209" t="s">
        <v>546</v>
      </c>
      <c r="F1209" t="s">
        <v>548</v>
      </c>
      <c r="G1209" s="2" t="s">
        <v>41</v>
      </c>
      <c r="H1209">
        <v>10011</v>
      </c>
      <c r="I1209" t="s">
        <v>16</v>
      </c>
      <c r="J1209" t="s">
        <v>549</v>
      </c>
      <c r="K1209" t="s">
        <v>305</v>
      </c>
      <c r="L1209" t="s">
        <v>2047</v>
      </c>
      <c r="M1209">
        <f>VLOOKUP(SUBSTITUTE(J1209,"'",""),Sheet1!L:M,2,FALSE)</f>
        <v>54820</v>
      </c>
    </row>
    <row r="1210" spans="1:13" ht="13.5" customHeight="1" x14ac:dyDescent="0.4">
      <c r="A1210" s="1">
        <v>45870</v>
      </c>
      <c r="B1210" t="s">
        <v>2240</v>
      </c>
      <c r="C1210">
        <v>23.46</v>
      </c>
      <c r="D1210" s="2" t="s">
        <v>3173</v>
      </c>
      <c r="E1210" t="s">
        <v>2240</v>
      </c>
      <c r="F1210" t="s">
        <v>2242</v>
      </c>
      <c r="G1210" s="2" t="s">
        <v>41</v>
      </c>
      <c r="H1210">
        <v>10003</v>
      </c>
      <c r="I1210" t="s">
        <v>16</v>
      </c>
      <c r="J1210" t="s">
        <v>3174</v>
      </c>
      <c r="K1210" t="s">
        <v>1218</v>
      </c>
      <c r="L1210" t="s">
        <v>4673</v>
      </c>
      <c r="M1210">
        <f>VLOOKUP(SUBSTITUTE(J1210,"'",""),Sheet1!L:M,2,FALSE)</f>
        <v>54820</v>
      </c>
    </row>
    <row r="1211" spans="1:13" ht="13.5" customHeight="1" x14ac:dyDescent="0.4">
      <c r="A1211" s="1">
        <v>45870</v>
      </c>
      <c r="B1211" t="s">
        <v>977</v>
      </c>
      <c r="C1211">
        <v>50</v>
      </c>
      <c r="D1211" s="2" t="s">
        <v>3167</v>
      </c>
      <c r="E1211" t="s">
        <v>977</v>
      </c>
      <c r="F1211" s="2" t="s">
        <v>979</v>
      </c>
      <c r="G1211" s="2" t="s">
        <v>980</v>
      </c>
      <c r="H1211">
        <v>78259</v>
      </c>
      <c r="I1211" t="s">
        <v>16</v>
      </c>
      <c r="J1211" t="s">
        <v>3168</v>
      </c>
      <c r="K1211" t="s">
        <v>164</v>
      </c>
      <c r="L1211" t="s">
        <v>4673</v>
      </c>
      <c r="M1211">
        <f>VLOOKUP(SUBSTITUTE(J1211,"'",""),Sheet1!L:M,2,FALSE)</f>
        <v>54820</v>
      </c>
    </row>
    <row r="1212" spans="1:13" ht="13.5" customHeight="1" x14ac:dyDescent="0.4">
      <c r="A1212" s="1">
        <v>45870</v>
      </c>
      <c r="B1212" t="s">
        <v>977</v>
      </c>
      <c r="C1212">
        <v>20</v>
      </c>
      <c r="D1212" s="2" t="s">
        <v>3165</v>
      </c>
      <c r="E1212" t="s">
        <v>977</v>
      </c>
      <c r="F1212" s="2" t="s">
        <v>979</v>
      </c>
      <c r="G1212" s="2" t="s">
        <v>980</v>
      </c>
      <c r="H1212">
        <v>78259</v>
      </c>
      <c r="I1212" t="s">
        <v>16</v>
      </c>
      <c r="J1212" t="s">
        <v>3166</v>
      </c>
      <c r="K1212" t="s">
        <v>164</v>
      </c>
      <c r="L1212" t="s">
        <v>4673</v>
      </c>
      <c r="M1212">
        <f>VLOOKUP(SUBSTITUTE(J1212,"'",""),Sheet1!L:M,2,FALSE)</f>
        <v>54820</v>
      </c>
    </row>
    <row r="1213" spans="1:13" ht="13.5" customHeight="1" x14ac:dyDescent="0.4">
      <c r="A1213" s="1">
        <v>45871</v>
      </c>
      <c r="B1213" t="s">
        <v>213</v>
      </c>
      <c r="C1213">
        <v>21.4</v>
      </c>
      <c r="D1213" s="2" t="s">
        <v>540</v>
      </c>
      <c r="E1213" t="s">
        <v>213</v>
      </c>
      <c r="F1213" s="2" t="s">
        <v>215</v>
      </c>
      <c r="G1213" s="2" t="s">
        <v>216</v>
      </c>
      <c r="H1213" s="3" t="s">
        <v>217</v>
      </c>
      <c r="I1213" t="s">
        <v>16</v>
      </c>
      <c r="J1213" t="s">
        <v>541</v>
      </c>
      <c r="K1213" t="s">
        <v>188</v>
      </c>
      <c r="L1213" t="s">
        <v>2047</v>
      </c>
      <c r="M1213">
        <f>VLOOKUP(SUBSTITUTE(J1213,"'",""),Sheet1!L:M,2,FALSE)</f>
        <v>64100</v>
      </c>
    </row>
    <row r="1214" spans="1:13" ht="13.5" customHeight="1" x14ac:dyDescent="0.4">
      <c r="A1214" s="1">
        <v>45871</v>
      </c>
      <c r="B1214" t="s">
        <v>2181</v>
      </c>
      <c r="C1214">
        <v>40.44</v>
      </c>
      <c r="D1214" s="2" t="s">
        <v>3159</v>
      </c>
      <c r="E1214" t="s">
        <v>2181</v>
      </c>
      <c r="F1214" s="2" t="s">
        <v>2183</v>
      </c>
      <c r="G1214" s="2" t="s">
        <v>1376</v>
      </c>
      <c r="H1214" t="s">
        <v>2184</v>
      </c>
      <c r="I1214" t="s">
        <v>16</v>
      </c>
      <c r="J1214" t="s">
        <v>3160</v>
      </c>
      <c r="K1214" t="s">
        <v>18</v>
      </c>
      <c r="L1214" t="s">
        <v>4673</v>
      </c>
      <c r="M1214">
        <f>VLOOKUP(SUBSTITUTE(J1214,"'",""),Sheet1!L:M,2,FALSE)</f>
        <v>54820</v>
      </c>
    </row>
    <row r="1215" spans="1:13" ht="13.5" customHeight="1" x14ac:dyDescent="0.4">
      <c r="A1215" s="1">
        <v>45871</v>
      </c>
      <c r="B1215" t="s">
        <v>2706</v>
      </c>
      <c r="C1215">
        <v>104.7</v>
      </c>
      <c r="D1215" s="2" t="s">
        <v>3161</v>
      </c>
      <c r="E1215" t="s">
        <v>2706</v>
      </c>
      <c r="F1215" s="2" t="s">
        <v>2708</v>
      </c>
      <c r="G1215" s="2" t="s">
        <v>2411</v>
      </c>
      <c r="H1215">
        <v>19805</v>
      </c>
      <c r="I1215" t="s">
        <v>16</v>
      </c>
      <c r="J1215" t="s">
        <v>3162</v>
      </c>
      <c r="K1215" t="s">
        <v>2710</v>
      </c>
      <c r="L1215" t="s">
        <v>4673</v>
      </c>
      <c r="M1215">
        <f>VLOOKUP(SUBSTITUTE(J1215,"'",""),Sheet1!L:M,2,FALSE)</f>
        <v>54820</v>
      </c>
    </row>
    <row r="1216" spans="1:13" ht="13.5" customHeight="1" x14ac:dyDescent="0.4">
      <c r="A1216" s="1">
        <v>45871</v>
      </c>
      <c r="B1216" t="s">
        <v>222</v>
      </c>
      <c r="C1216">
        <v>79</v>
      </c>
      <c r="D1216" s="2" t="s">
        <v>542</v>
      </c>
      <c r="E1216" t="s">
        <v>222</v>
      </c>
      <c r="F1216" t="s">
        <v>224</v>
      </c>
      <c r="G1216" s="2" t="s">
        <v>35</v>
      </c>
      <c r="H1216">
        <v>94104</v>
      </c>
      <c r="I1216" t="s">
        <v>16</v>
      </c>
      <c r="J1216" t="s">
        <v>543</v>
      </c>
      <c r="K1216" t="s">
        <v>37</v>
      </c>
      <c r="L1216" t="s">
        <v>2047</v>
      </c>
      <c r="M1216">
        <f>VLOOKUP(SUBSTITUTE(J1216,"'",""),Sheet1!L:M,2,FALSE)</f>
        <v>64200</v>
      </c>
    </row>
    <row r="1217" spans="1:13" ht="13.5" customHeight="1" x14ac:dyDescent="0.4">
      <c r="A1217" s="1">
        <v>45872</v>
      </c>
      <c r="B1217" t="s">
        <v>153</v>
      </c>
      <c r="C1217">
        <v>25.84</v>
      </c>
      <c r="D1217" s="2" t="s">
        <v>538</v>
      </c>
      <c r="E1217" t="s">
        <v>153</v>
      </c>
      <c r="F1217" t="s">
        <v>155</v>
      </c>
      <c r="G1217" s="2" t="s">
        <v>156</v>
      </c>
      <c r="H1217">
        <v>98052</v>
      </c>
      <c r="I1217" t="s">
        <v>16</v>
      </c>
      <c r="J1217" t="s">
        <v>539</v>
      </c>
      <c r="K1217" t="s">
        <v>96</v>
      </c>
      <c r="L1217" t="s">
        <v>2047</v>
      </c>
      <c r="M1217">
        <f>VLOOKUP(SUBSTITUTE(J1217,"'",""),Sheet1!L:M,2,FALSE)</f>
        <v>64100</v>
      </c>
    </row>
    <row r="1218" spans="1:13" ht="13.5" customHeight="1" x14ac:dyDescent="0.4">
      <c r="A1218" s="1">
        <v>45872</v>
      </c>
      <c r="B1218" t="s">
        <v>2400</v>
      </c>
      <c r="C1218">
        <v>21.39</v>
      </c>
      <c r="D1218" s="2" t="s">
        <v>2401</v>
      </c>
      <c r="E1218" t="s">
        <v>2400</v>
      </c>
      <c r="F1218" t="s">
        <v>2402</v>
      </c>
      <c r="G1218" s="2" t="s">
        <v>41</v>
      </c>
      <c r="H1218">
        <v>10019</v>
      </c>
      <c r="I1218" t="s">
        <v>16</v>
      </c>
      <c r="J1218" t="s">
        <v>3148</v>
      </c>
      <c r="K1218" t="s">
        <v>110</v>
      </c>
      <c r="L1218" t="s">
        <v>4673</v>
      </c>
      <c r="M1218">
        <f>VLOOKUP(SUBSTITUTE(J1218,"'",""),Sheet1!L:M,2,FALSE)</f>
        <v>67500</v>
      </c>
    </row>
    <row r="1219" spans="1:13" ht="13.5" customHeight="1" x14ac:dyDescent="0.4">
      <c r="A1219" s="1">
        <v>45872</v>
      </c>
      <c r="B1219" t="s">
        <v>2934</v>
      </c>
      <c r="C1219">
        <v>12.79</v>
      </c>
      <c r="D1219" s="2" t="s">
        <v>3149</v>
      </c>
      <c r="E1219" t="s">
        <v>2934</v>
      </c>
      <c r="F1219" t="s">
        <v>2936</v>
      </c>
      <c r="G1219" s="2" t="s">
        <v>41</v>
      </c>
      <c r="H1219">
        <v>10003</v>
      </c>
      <c r="I1219" t="s">
        <v>16</v>
      </c>
      <c r="J1219" t="s">
        <v>3150</v>
      </c>
      <c r="K1219" t="s">
        <v>305</v>
      </c>
      <c r="L1219" t="s">
        <v>4673</v>
      </c>
      <c r="M1219">
        <f>VLOOKUP(SUBSTITUTE(J1219,"'",""),Sheet1!L:M,2,FALSE)</f>
        <v>54820</v>
      </c>
    </row>
    <row r="1220" spans="1:13" ht="13.5" customHeight="1" x14ac:dyDescent="0.4">
      <c r="A1220" s="1">
        <v>45872</v>
      </c>
      <c r="B1220" t="s">
        <v>3154</v>
      </c>
      <c r="C1220">
        <v>294.01</v>
      </c>
      <c r="D1220" s="2" t="s">
        <v>3155</v>
      </c>
      <c r="E1220" t="s">
        <v>3154</v>
      </c>
      <c r="F1220" t="s">
        <v>3156</v>
      </c>
      <c r="G1220" s="2" t="s">
        <v>41</v>
      </c>
      <c r="H1220" t="s">
        <v>3157</v>
      </c>
      <c r="I1220" t="s">
        <v>16</v>
      </c>
      <c r="J1220" t="s">
        <v>3158</v>
      </c>
      <c r="K1220" t="s">
        <v>631</v>
      </c>
      <c r="L1220" t="s">
        <v>4673</v>
      </c>
      <c r="M1220">
        <f>VLOOKUP(SUBSTITUTE(J1220,"'",""),Sheet1!L:M,2,FALSE)</f>
        <v>54820</v>
      </c>
    </row>
    <row r="1221" spans="1:13" ht="13.5" customHeight="1" x14ac:dyDescent="0.4">
      <c r="A1221" s="1">
        <v>45872</v>
      </c>
      <c r="B1221" t="s">
        <v>3151</v>
      </c>
      <c r="C1221">
        <v>92.59</v>
      </c>
      <c r="D1221" s="2" t="s">
        <v>3152</v>
      </c>
      <c r="E1221" t="s">
        <v>3151</v>
      </c>
      <c r="F1221" t="s">
        <v>2743</v>
      </c>
      <c r="G1221" s="2" t="s">
        <v>41</v>
      </c>
      <c r="H1221">
        <v>10003</v>
      </c>
      <c r="I1221" t="s">
        <v>16</v>
      </c>
      <c r="J1221" t="s">
        <v>3153</v>
      </c>
      <c r="K1221" t="s">
        <v>207</v>
      </c>
      <c r="L1221" t="s">
        <v>4673</v>
      </c>
      <c r="M1221">
        <f>VLOOKUP(SUBSTITUTE(J1221,"'",""),Sheet1!L:M,2,FALSE)</f>
        <v>54820</v>
      </c>
    </row>
    <row r="1222" spans="1:13" ht="13.5" customHeight="1" x14ac:dyDescent="0.4">
      <c r="A1222" s="1">
        <v>45873</v>
      </c>
      <c r="B1222" t="s">
        <v>196</v>
      </c>
      <c r="C1222">
        <v>7.99</v>
      </c>
      <c r="D1222" s="2" t="s">
        <v>197</v>
      </c>
      <c r="E1222" t="s">
        <v>196</v>
      </c>
      <c r="F1222" t="s">
        <v>198</v>
      </c>
      <c r="G1222" s="2" t="s">
        <v>199</v>
      </c>
      <c r="H1222">
        <v>91608</v>
      </c>
      <c r="I1222" t="s">
        <v>16</v>
      </c>
      <c r="J1222" t="s">
        <v>537</v>
      </c>
      <c r="K1222" t="s">
        <v>201</v>
      </c>
      <c r="L1222" t="s">
        <v>2047</v>
      </c>
      <c r="M1222">
        <f>VLOOKUP(SUBSTITUTE(J1222,"'",""),Sheet1!L:M,2,FALSE)</f>
        <v>54820</v>
      </c>
    </row>
    <row r="1223" spans="1:13" ht="13.5" customHeight="1" x14ac:dyDescent="0.4">
      <c r="A1223" s="1">
        <v>45873</v>
      </c>
      <c r="B1223" t="s">
        <v>2393</v>
      </c>
      <c r="C1223">
        <v>9.9499999999999993</v>
      </c>
      <c r="D1223" s="2" t="s">
        <v>3137</v>
      </c>
      <c r="E1223" t="s">
        <v>2393</v>
      </c>
      <c r="F1223" s="2" t="s">
        <v>2395</v>
      </c>
      <c r="G1223" s="2" t="s">
        <v>2396</v>
      </c>
      <c r="H1223">
        <v>55331</v>
      </c>
      <c r="I1223" t="s">
        <v>16</v>
      </c>
      <c r="J1223" t="s">
        <v>3138</v>
      </c>
      <c r="K1223" t="s">
        <v>37</v>
      </c>
      <c r="L1223" t="s">
        <v>4673</v>
      </c>
      <c r="M1223">
        <f>VLOOKUP(SUBSTITUTE(J1223,"'",""),Sheet1!L:M,2,FALSE)</f>
        <v>54820</v>
      </c>
    </row>
    <row r="1224" spans="1:13" ht="13.5" customHeight="1" x14ac:dyDescent="0.4">
      <c r="A1224" s="1">
        <v>45873</v>
      </c>
      <c r="B1224" t="s">
        <v>525</v>
      </c>
      <c r="C1224">
        <v>114</v>
      </c>
      <c r="D1224" s="2" t="s">
        <v>526</v>
      </c>
      <c r="E1224" t="s">
        <v>527</v>
      </c>
      <c r="F1224" s="2" t="s">
        <v>528</v>
      </c>
      <c r="G1224" s="2" t="s">
        <v>529</v>
      </c>
      <c r="H1224" t="s">
        <v>530</v>
      </c>
      <c r="I1224" t="s">
        <v>16</v>
      </c>
      <c r="J1224" t="s">
        <v>531</v>
      </c>
      <c r="K1224" t="s">
        <v>532</v>
      </c>
      <c r="L1224" t="s">
        <v>2047</v>
      </c>
      <c r="M1224">
        <f>VLOOKUP(SUBSTITUTE(J1224,"'",""),Sheet1!L:M,2,FALSE)</f>
        <v>67500</v>
      </c>
    </row>
    <row r="1225" spans="1:13" ht="13.5" customHeight="1" x14ac:dyDescent="0.4">
      <c r="A1225" s="1">
        <v>45873</v>
      </c>
      <c r="B1225" t="s">
        <v>153</v>
      </c>
      <c r="C1225">
        <v>25.84</v>
      </c>
      <c r="D1225" s="2" t="s">
        <v>535</v>
      </c>
      <c r="E1225" t="s">
        <v>153</v>
      </c>
      <c r="F1225" t="s">
        <v>155</v>
      </c>
      <c r="G1225" s="2" t="s">
        <v>156</v>
      </c>
      <c r="H1225">
        <v>98052</v>
      </c>
      <c r="I1225" t="s">
        <v>16</v>
      </c>
      <c r="J1225" t="s">
        <v>536</v>
      </c>
      <c r="K1225" t="s">
        <v>96</v>
      </c>
      <c r="L1225" t="s">
        <v>2047</v>
      </c>
      <c r="M1225">
        <f>VLOOKUP(SUBSTITUTE(J1225,"'",""),Sheet1!L:M,2,FALSE)</f>
        <v>64100</v>
      </c>
    </row>
    <row r="1226" spans="1:13" ht="13.5" customHeight="1" x14ac:dyDescent="0.4">
      <c r="A1226" s="1">
        <v>45873</v>
      </c>
      <c r="B1226" t="s">
        <v>165</v>
      </c>
      <c r="C1226">
        <v>42.8</v>
      </c>
      <c r="D1226" s="2" t="s">
        <v>3127</v>
      </c>
      <c r="E1226" t="s">
        <v>165</v>
      </c>
      <c r="F1226" s="2" t="s">
        <v>167</v>
      </c>
      <c r="G1226" s="2" t="s">
        <v>87</v>
      </c>
      <c r="H1226">
        <v>75202</v>
      </c>
      <c r="I1226" t="s">
        <v>16</v>
      </c>
      <c r="J1226" t="s">
        <v>3128</v>
      </c>
      <c r="K1226" t="s">
        <v>96</v>
      </c>
      <c r="L1226" t="s">
        <v>4673</v>
      </c>
      <c r="M1226">
        <f>VLOOKUP(SUBSTITUTE(J1226,"'",""),Sheet1!L:M,2,FALSE)</f>
        <v>64100</v>
      </c>
    </row>
    <row r="1227" spans="1:13" ht="13.5" customHeight="1" x14ac:dyDescent="0.4">
      <c r="A1227" s="1">
        <v>45873</v>
      </c>
      <c r="B1227" t="s">
        <v>165</v>
      </c>
      <c r="C1227">
        <v>25.68</v>
      </c>
      <c r="D1227" s="2" t="s">
        <v>3123</v>
      </c>
      <c r="E1227" t="s">
        <v>165</v>
      </c>
      <c r="F1227" s="2" t="s">
        <v>167</v>
      </c>
      <c r="G1227" s="2" t="s">
        <v>87</v>
      </c>
      <c r="H1227">
        <v>75202</v>
      </c>
      <c r="I1227" t="s">
        <v>16</v>
      </c>
      <c r="J1227" t="s">
        <v>3124</v>
      </c>
      <c r="K1227" t="s">
        <v>96</v>
      </c>
      <c r="L1227" t="s">
        <v>4673</v>
      </c>
      <c r="M1227">
        <f>VLOOKUP(SUBSTITUTE(J1227,"'",""),Sheet1!L:M,2,FALSE)</f>
        <v>64100</v>
      </c>
    </row>
    <row r="1228" spans="1:13" ht="13.5" customHeight="1" x14ac:dyDescent="0.4">
      <c r="A1228" s="1">
        <v>45873</v>
      </c>
      <c r="B1228" t="s">
        <v>165</v>
      </c>
      <c r="C1228">
        <v>32.07</v>
      </c>
      <c r="D1228" s="2" t="s">
        <v>3125</v>
      </c>
      <c r="E1228" t="s">
        <v>165</v>
      </c>
      <c r="F1228" s="2" t="s">
        <v>167</v>
      </c>
      <c r="G1228" s="2" t="s">
        <v>87</v>
      </c>
      <c r="H1228">
        <v>75202</v>
      </c>
      <c r="I1228" t="s">
        <v>16</v>
      </c>
      <c r="J1228" t="s">
        <v>3126</v>
      </c>
      <c r="K1228" t="s">
        <v>96</v>
      </c>
      <c r="L1228" t="s">
        <v>4673</v>
      </c>
      <c r="M1228">
        <f>VLOOKUP(SUBSTITUTE(J1228,"'",""),Sheet1!L:M,2,FALSE)</f>
        <v>64100</v>
      </c>
    </row>
    <row r="1229" spans="1:13" ht="13.5" customHeight="1" x14ac:dyDescent="0.4">
      <c r="A1229" s="1">
        <v>45873</v>
      </c>
      <c r="B1229" t="s">
        <v>165</v>
      </c>
      <c r="C1229">
        <v>68.48</v>
      </c>
      <c r="D1229" s="2" t="s">
        <v>3129</v>
      </c>
      <c r="E1229" t="s">
        <v>165</v>
      </c>
      <c r="F1229" s="2" t="s">
        <v>167</v>
      </c>
      <c r="G1229" s="2" t="s">
        <v>87</v>
      </c>
      <c r="H1229">
        <v>75202</v>
      </c>
      <c r="I1229" t="s">
        <v>16</v>
      </c>
      <c r="J1229" t="s">
        <v>3130</v>
      </c>
      <c r="K1229" t="s">
        <v>96</v>
      </c>
      <c r="L1229" t="s">
        <v>4673</v>
      </c>
      <c r="M1229">
        <f>VLOOKUP(SUBSTITUTE(J1229,"'",""),Sheet1!L:M,2,FALSE)</f>
        <v>64100</v>
      </c>
    </row>
    <row r="1230" spans="1:13" ht="13.5" customHeight="1" x14ac:dyDescent="0.4">
      <c r="A1230" s="1">
        <v>45873</v>
      </c>
      <c r="B1230" t="s">
        <v>2390</v>
      </c>
      <c r="C1230">
        <v>21.4</v>
      </c>
      <c r="D1230" s="2" t="s">
        <v>3133</v>
      </c>
      <c r="E1230" t="s">
        <v>2390</v>
      </c>
      <c r="F1230" s="2" t="s">
        <v>167</v>
      </c>
      <c r="G1230" s="2" t="s">
        <v>87</v>
      </c>
      <c r="H1230">
        <v>75202</v>
      </c>
      <c r="I1230" t="s">
        <v>16</v>
      </c>
      <c r="J1230" t="s">
        <v>3134</v>
      </c>
      <c r="K1230" t="s">
        <v>96</v>
      </c>
      <c r="L1230" t="s">
        <v>4673</v>
      </c>
      <c r="M1230">
        <f>VLOOKUP(SUBSTITUTE(J1230,"'",""),Sheet1!L:M,2,FALSE)</f>
        <v>64100</v>
      </c>
    </row>
    <row r="1231" spans="1:13" ht="13.5" customHeight="1" x14ac:dyDescent="0.4">
      <c r="A1231" s="1">
        <v>45873</v>
      </c>
      <c r="B1231" t="s">
        <v>165</v>
      </c>
      <c r="C1231">
        <v>289.06</v>
      </c>
      <c r="D1231" s="2" t="s">
        <v>3131</v>
      </c>
      <c r="E1231" t="s">
        <v>165</v>
      </c>
      <c r="F1231" s="2" t="s">
        <v>167</v>
      </c>
      <c r="G1231" s="2" t="s">
        <v>87</v>
      </c>
      <c r="H1231">
        <v>75202</v>
      </c>
      <c r="I1231" t="s">
        <v>16</v>
      </c>
      <c r="J1231" t="s">
        <v>3132</v>
      </c>
      <c r="K1231" t="s">
        <v>96</v>
      </c>
      <c r="L1231" t="s">
        <v>4673</v>
      </c>
      <c r="M1231">
        <f>VLOOKUP(SUBSTITUTE(J1231,"'",""),Sheet1!L:M,2,FALSE)</f>
        <v>64100</v>
      </c>
    </row>
    <row r="1232" spans="1:13" ht="13.5" customHeight="1" x14ac:dyDescent="0.4">
      <c r="A1232" s="1">
        <v>45873</v>
      </c>
      <c r="B1232" t="s">
        <v>3073</v>
      </c>
      <c r="C1232">
        <v>118.57</v>
      </c>
      <c r="D1232" s="2" t="s">
        <v>3135</v>
      </c>
      <c r="E1232" t="s">
        <v>3073</v>
      </c>
      <c r="F1232" s="2" t="s">
        <v>3075</v>
      </c>
      <c r="G1232" s="2" t="s">
        <v>3076</v>
      </c>
      <c r="H1232">
        <v>91436</v>
      </c>
      <c r="I1232" t="s">
        <v>16</v>
      </c>
      <c r="J1232" t="s">
        <v>3136</v>
      </c>
      <c r="K1232" t="s">
        <v>370</v>
      </c>
      <c r="L1232" t="s">
        <v>4673</v>
      </c>
      <c r="M1232">
        <f>VLOOKUP(SUBSTITUTE(J1232,"'",""),Sheet1!L:M,2,FALSE)</f>
        <v>54820</v>
      </c>
    </row>
    <row r="1233" spans="1:13" ht="13.5" customHeight="1" x14ac:dyDescent="0.4">
      <c r="A1233" s="1">
        <v>45873</v>
      </c>
      <c r="B1233" t="s">
        <v>2934</v>
      </c>
      <c r="C1233">
        <v>12.79</v>
      </c>
      <c r="D1233" s="2" t="s">
        <v>3142</v>
      </c>
      <c r="E1233" t="s">
        <v>2934</v>
      </c>
      <c r="F1233" t="s">
        <v>2936</v>
      </c>
      <c r="G1233" s="2" t="s">
        <v>41</v>
      </c>
      <c r="H1233">
        <v>10003</v>
      </c>
      <c r="I1233" t="s">
        <v>16</v>
      </c>
      <c r="J1233" t="s">
        <v>3143</v>
      </c>
      <c r="K1233" t="s">
        <v>305</v>
      </c>
      <c r="L1233" t="s">
        <v>4673</v>
      </c>
      <c r="M1233">
        <f>VLOOKUP(SUBSTITUTE(J1233,"'",""),Sheet1!L:M,2,FALSE)</f>
        <v>54820</v>
      </c>
    </row>
    <row r="1234" spans="1:13" ht="13.5" customHeight="1" x14ac:dyDescent="0.4">
      <c r="A1234" s="1">
        <v>45873</v>
      </c>
      <c r="B1234" t="s">
        <v>2240</v>
      </c>
      <c r="C1234">
        <v>10.78</v>
      </c>
      <c r="D1234" s="2" t="s">
        <v>3146</v>
      </c>
      <c r="E1234" t="s">
        <v>2240</v>
      </c>
      <c r="F1234" t="s">
        <v>2242</v>
      </c>
      <c r="G1234" s="2" t="s">
        <v>41</v>
      </c>
      <c r="H1234">
        <v>10003</v>
      </c>
      <c r="I1234" t="s">
        <v>16</v>
      </c>
      <c r="J1234" t="s">
        <v>3147</v>
      </c>
      <c r="K1234" t="s">
        <v>1218</v>
      </c>
      <c r="L1234" t="s">
        <v>4673</v>
      </c>
      <c r="M1234">
        <f>VLOOKUP(SUBSTITUTE(J1234,"'",""),Sheet1!L:M,2,FALSE)</f>
        <v>54820</v>
      </c>
    </row>
    <row r="1235" spans="1:13" ht="13.5" customHeight="1" x14ac:dyDescent="0.4">
      <c r="A1235" s="1">
        <v>45873</v>
      </c>
      <c r="B1235" t="s">
        <v>91</v>
      </c>
      <c r="C1235">
        <v>199</v>
      </c>
      <c r="D1235" s="2" t="s">
        <v>533</v>
      </c>
      <c r="E1235" t="s">
        <v>91</v>
      </c>
      <c r="F1235" t="s">
        <v>93</v>
      </c>
      <c r="G1235" s="2" t="s">
        <v>94</v>
      </c>
      <c r="H1235">
        <v>94306</v>
      </c>
      <c r="I1235" t="s">
        <v>16</v>
      </c>
      <c r="J1235" t="s">
        <v>534</v>
      </c>
      <c r="K1235" t="s">
        <v>96</v>
      </c>
      <c r="L1235" t="s">
        <v>2047</v>
      </c>
      <c r="M1235">
        <f>VLOOKUP(SUBSTITUTE(J1235,"'",""),Sheet1!L:M,2,FALSE)</f>
        <v>64100</v>
      </c>
    </row>
    <row r="1236" spans="1:13" ht="13.5" customHeight="1" x14ac:dyDescent="0.4">
      <c r="A1236" s="1">
        <v>45873</v>
      </c>
      <c r="B1236" t="s">
        <v>2340</v>
      </c>
      <c r="C1236">
        <v>16.96</v>
      </c>
      <c r="D1236" s="2" t="s">
        <v>3144</v>
      </c>
      <c r="E1236" t="s">
        <v>2340</v>
      </c>
      <c r="F1236" s="2" t="s">
        <v>2342</v>
      </c>
      <c r="G1236" s="2" t="s">
        <v>14</v>
      </c>
      <c r="H1236">
        <v>98119</v>
      </c>
      <c r="I1236" t="s">
        <v>16</v>
      </c>
      <c r="J1236" t="s">
        <v>3145</v>
      </c>
      <c r="K1236" t="s">
        <v>96</v>
      </c>
      <c r="L1236" t="s">
        <v>4673</v>
      </c>
      <c r="M1236">
        <f>VLOOKUP(SUBSTITUTE(J1236,"'",""),Sheet1!L:M,2,FALSE)</f>
        <v>65700</v>
      </c>
    </row>
    <row r="1237" spans="1:13" ht="13.5" customHeight="1" x14ac:dyDescent="0.4">
      <c r="A1237" s="1">
        <v>45873</v>
      </c>
      <c r="B1237" t="s">
        <v>3139</v>
      </c>
      <c r="C1237">
        <v>43</v>
      </c>
      <c r="D1237" s="2" t="s">
        <v>3140</v>
      </c>
      <c r="E1237" t="s">
        <v>3139</v>
      </c>
      <c r="F1237" t="s">
        <v>2248</v>
      </c>
      <c r="G1237" s="2" t="s">
        <v>2249</v>
      </c>
      <c r="H1237">
        <v>94025</v>
      </c>
      <c r="I1237" t="s">
        <v>16</v>
      </c>
      <c r="J1237" t="s">
        <v>3141</v>
      </c>
      <c r="K1237" t="s">
        <v>2335</v>
      </c>
      <c r="L1237" t="s">
        <v>4673</v>
      </c>
      <c r="M1237">
        <f>VLOOKUP(SUBSTITUTE(J1237,"'",""),Sheet1!L:M,2,FALSE)</f>
        <v>54820</v>
      </c>
    </row>
    <row r="1238" spans="1:13" ht="13.5" customHeight="1" x14ac:dyDescent="0.4">
      <c r="A1238" s="1">
        <v>45874</v>
      </c>
      <c r="B1238" t="s">
        <v>2677</v>
      </c>
      <c r="C1238">
        <v>9.98</v>
      </c>
      <c r="D1238" s="2" t="s">
        <v>3116</v>
      </c>
      <c r="E1238" t="s">
        <v>2677</v>
      </c>
      <c r="F1238" t="s">
        <v>2679</v>
      </c>
      <c r="G1238" s="2" t="s">
        <v>41</v>
      </c>
      <c r="H1238" t="s">
        <v>2680</v>
      </c>
      <c r="I1238" t="s">
        <v>16</v>
      </c>
      <c r="J1238" t="s">
        <v>3117</v>
      </c>
      <c r="K1238" t="s">
        <v>305</v>
      </c>
      <c r="L1238" t="s">
        <v>4673</v>
      </c>
      <c r="M1238">
        <f>VLOOKUP(SUBSTITUTE(J1238,"'",""),Sheet1!L:M,2,FALSE)</f>
        <v>54820</v>
      </c>
    </row>
    <row r="1239" spans="1:13" ht="13.5" customHeight="1" x14ac:dyDescent="0.4">
      <c r="A1239" s="1">
        <v>45874</v>
      </c>
      <c r="B1239" t="s">
        <v>106</v>
      </c>
      <c r="C1239">
        <v>85</v>
      </c>
      <c r="D1239" s="2" t="s">
        <v>3121</v>
      </c>
      <c r="E1239" t="s">
        <v>106</v>
      </c>
      <c r="F1239" t="s">
        <v>108</v>
      </c>
      <c r="G1239" s="2" t="s">
        <v>41</v>
      </c>
      <c r="H1239">
        <v>10012</v>
      </c>
      <c r="I1239" t="s">
        <v>16</v>
      </c>
      <c r="J1239" t="s">
        <v>3122</v>
      </c>
      <c r="K1239" t="s">
        <v>110</v>
      </c>
      <c r="L1239" t="s">
        <v>4673</v>
      </c>
      <c r="M1239">
        <f>VLOOKUP(SUBSTITUTE(J1239,"'",""),Sheet1!L:M,2,FALSE)</f>
        <v>67500</v>
      </c>
    </row>
    <row r="1240" spans="1:13" ht="13.5" customHeight="1" x14ac:dyDescent="0.4">
      <c r="A1240" s="1">
        <v>45874</v>
      </c>
      <c r="B1240" t="s">
        <v>517</v>
      </c>
      <c r="C1240">
        <v>4</v>
      </c>
      <c r="D1240" s="2" t="s">
        <v>518</v>
      </c>
      <c r="E1240" t="s">
        <v>517</v>
      </c>
      <c r="F1240" t="s">
        <v>519</v>
      </c>
      <c r="G1240" s="2" t="s">
        <v>35</v>
      </c>
      <c r="H1240">
        <v>94107</v>
      </c>
      <c r="I1240" t="s">
        <v>16</v>
      </c>
      <c r="J1240" t="s">
        <v>520</v>
      </c>
      <c r="K1240" t="s">
        <v>96</v>
      </c>
      <c r="L1240" t="s">
        <v>2047</v>
      </c>
      <c r="M1240">
        <f>VLOOKUP(SUBSTITUTE(J1240,"'",""),Sheet1!L:M,2,FALSE)</f>
        <v>64100</v>
      </c>
    </row>
    <row r="1241" spans="1:13" ht="13.5" customHeight="1" x14ac:dyDescent="0.4">
      <c r="A1241" s="1">
        <v>45874</v>
      </c>
      <c r="B1241" t="s">
        <v>521</v>
      </c>
      <c r="C1241">
        <v>550</v>
      </c>
      <c r="D1241" s="2" t="s">
        <v>522</v>
      </c>
      <c r="E1241" t="s">
        <v>521</v>
      </c>
      <c r="F1241" t="s">
        <v>523</v>
      </c>
      <c r="G1241" s="2" t="s">
        <v>443</v>
      </c>
      <c r="H1241">
        <v>11249</v>
      </c>
      <c r="I1241" t="s">
        <v>16</v>
      </c>
      <c r="J1241" t="s">
        <v>524</v>
      </c>
      <c r="K1241" t="s">
        <v>126</v>
      </c>
      <c r="L1241" t="s">
        <v>2047</v>
      </c>
      <c r="M1241">
        <f>VLOOKUP(SUBSTITUTE(J1241,"'",""),Sheet1!L:M,2,FALSE)</f>
        <v>61215</v>
      </c>
    </row>
    <row r="1242" spans="1:13" ht="13.5" customHeight="1" x14ac:dyDescent="0.4">
      <c r="A1242" s="1">
        <v>45874</v>
      </c>
      <c r="B1242" t="s">
        <v>297</v>
      </c>
      <c r="C1242">
        <v>27.33</v>
      </c>
      <c r="D1242" s="2" t="s">
        <v>515</v>
      </c>
      <c r="E1242" t="s">
        <v>297</v>
      </c>
      <c r="F1242" t="s">
        <v>29</v>
      </c>
      <c r="G1242" t="e">
        <f>-
NY</f>
        <v>#NAME?</v>
      </c>
      <c r="H1242">
        <v>11577</v>
      </c>
      <c r="I1242" t="s">
        <v>16</v>
      </c>
      <c r="J1242" t="s">
        <v>516</v>
      </c>
      <c r="K1242" t="s">
        <v>31</v>
      </c>
      <c r="L1242" t="s">
        <v>2047</v>
      </c>
      <c r="M1242">
        <f>VLOOKUP(SUBSTITUTE(J1242,"'",""),Sheet1!L:M,2,FALSE)</f>
        <v>61131</v>
      </c>
    </row>
    <row r="1243" spans="1:13" ht="13.5" customHeight="1" x14ac:dyDescent="0.4">
      <c r="A1243" s="1">
        <v>45874</v>
      </c>
      <c r="B1243" t="s">
        <v>3118</v>
      </c>
      <c r="C1243">
        <v>133.97999999999999</v>
      </c>
      <c r="D1243" s="2" t="s">
        <v>3119</v>
      </c>
      <c r="E1243" t="s">
        <v>3118</v>
      </c>
      <c r="F1243" s="2" t="s">
        <v>2206</v>
      </c>
      <c r="G1243" s="2" t="s">
        <v>491</v>
      </c>
      <c r="H1243">
        <v>60602</v>
      </c>
      <c r="I1243" t="s">
        <v>16</v>
      </c>
      <c r="J1243" t="s">
        <v>3120</v>
      </c>
      <c r="K1243" t="s">
        <v>126</v>
      </c>
      <c r="L1243" t="s">
        <v>4673</v>
      </c>
      <c r="M1243">
        <f>VLOOKUP(SUBSTITUTE(J1243,"'",""),Sheet1!L:M,2,FALSE)</f>
        <v>54820</v>
      </c>
    </row>
    <row r="1244" spans="1:13" ht="13.5" customHeight="1" x14ac:dyDescent="0.4">
      <c r="A1244" s="1">
        <v>45875</v>
      </c>
      <c r="B1244" t="s">
        <v>3098</v>
      </c>
      <c r="C1244">
        <v>5.26</v>
      </c>
      <c r="D1244" s="2" t="s">
        <v>3099</v>
      </c>
      <c r="E1244" t="s">
        <v>3098</v>
      </c>
      <c r="F1244" t="s">
        <v>2248</v>
      </c>
      <c r="G1244" s="2" t="s">
        <v>2249</v>
      </c>
      <c r="H1244">
        <v>94025</v>
      </c>
      <c r="I1244" t="s">
        <v>16</v>
      </c>
      <c r="J1244" t="s">
        <v>3100</v>
      </c>
      <c r="K1244" t="s">
        <v>2335</v>
      </c>
      <c r="L1244" t="s">
        <v>4673</v>
      </c>
      <c r="M1244">
        <f>VLOOKUP(SUBSTITUTE(J1244,"'",""),Sheet1!L:M,2,FALSE)</f>
        <v>54820</v>
      </c>
    </row>
    <row r="1245" spans="1:13" ht="13.5" customHeight="1" x14ac:dyDescent="0.4">
      <c r="A1245" s="1">
        <v>45875</v>
      </c>
      <c r="B1245" t="s">
        <v>184</v>
      </c>
      <c r="C1245">
        <v>25.68</v>
      </c>
      <c r="D1245" s="2" t="s">
        <v>507</v>
      </c>
      <c r="E1245" t="s">
        <v>184</v>
      </c>
      <c r="F1245" s="2" t="s">
        <v>186</v>
      </c>
      <c r="G1245" s="2" t="s">
        <v>35</v>
      </c>
      <c r="H1245">
        <v>94105</v>
      </c>
      <c r="I1245" t="s">
        <v>16</v>
      </c>
      <c r="J1245" t="s">
        <v>508</v>
      </c>
      <c r="K1245" t="s">
        <v>188</v>
      </c>
      <c r="L1245" t="s">
        <v>2047</v>
      </c>
      <c r="M1245">
        <f>VLOOKUP(SUBSTITUTE(J1245,"'",""),Sheet1!L:M,2,FALSE)</f>
        <v>64100</v>
      </c>
    </row>
    <row r="1246" spans="1:13" ht="13.5" customHeight="1" x14ac:dyDescent="0.4">
      <c r="A1246" s="1">
        <v>45875</v>
      </c>
      <c r="B1246" t="s">
        <v>3112</v>
      </c>
      <c r="C1246">
        <v>96</v>
      </c>
      <c r="D1246" s="2" t="s">
        <v>3113</v>
      </c>
      <c r="E1246" t="s">
        <v>3112</v>
      </c>
      <c r="F1246" t="s">
        <v>3114</v>
      </c>
      <c r="G1246" s="2" t="s">
        <v>35</v>
      </c>
      <c r="H1246">
        <v>94103</v>
      </c>
      <c r="I1246" t="s">
        <v>16</v>
      </c>
      <c r="J1246" t="s">
        <v>3115</v>
      </c>
      <c r="K1246" t="s">
        <v>483</v>
      </c>
      <c r="L1246" t="s">
        <v>4673</v>
      </c>
      <c r="M1246">
        <f>VLOOKUP(SUBSTITUTE(J1246,"'",""),Sheet1!L:M,2,FALSE)</f>
        <v>54820</v>
      </c>
    </row>
    <row r="1247" spans="1:13" ht="13.5" customHeight="1" x14ac:dyDescent="0.4">
      <c r="A1247" s="1">
        <v>45875</v>
      </c>
      <c r="B1247" t="s">
        <v>478</v>
      </c>
      <c r="C1247">
        <v>51.27</v>
      </c>
      <c r="D1247" s="2" t="s">
        <v>511</v>
      </c>
      <c r="E1247" t="s">
        <v>480</v>
      </c>
      <c r="F1247" s="2" t="s">
        <v>481</v>
      </c>
      <c r="G1247" s="2" t="s">
        <v>35</v>
      </c>
      <c r="H1247">
        <v>94103</v>
      </c>
      <c r="I1247" t="s">
        <v>16</v>
      </c>
      <c r="J1247" t="s">
        <v>512</v>
      </c>
      <c r="K1247" t="s">
        <v>483</v>
      </c>
      <c r="L1247" t="s">
        <v>2047</v>
      </c>
      <c r="M1247">
        <f>VLOOKUP(SUBSTITUTE(J1247,"'",""),Sheet1!L:M,2,FALSE)</f>
        <v>61130</v>
      </c>
    </row>
    <row r="1248" spans="1:13" ht="13.5" customHeight="1" x14ac:dyDescent="0.4">
      <c r="A1248" s="1">
        <v>45875</v>
      </c>
      <c r="B1248" t="s">
        <v>478</v>
      </c>
      <c r="C1248">
        <v>69.88</v>
      </c>
      <c r="D1248" s="2" t="s">
        <v>513</v>
      </c>
      <c r="E1248" t="s">
        <v>480</v>
      </c>
      <c r="F1248" s="2" t="s">
        <v>481</v>
      </c>
      <c r="G1248" s="2" t="s">
        <v>35</v>
      </c>
      <c r="H1248">
        <v>94103</v>
      </c>
      <c r="I1248" t="s">
        <v>16</v>
      </c>
      <c r="J1248" t="s">
        <v>514</v>
      </c>
      <c r="K1248" t="s">
        <v>483</v>
      </c>
      <c r="L1248" t="s">
        <v>2047</v>
      </c>
      <c r="M1248">
        <f>VLOOKUP(SUBSTITUTE(J1248,"'",""),Sheet1!L:M,2,FALSE)</f>
        <v>61130</v>
      </c>
    </row>
    <row r="1249" spans="1:13" ht="13.5" customHeight="1" x14ac:dyDescent="0.4">
      <c r="A1249" s="1">
        <v>45875</v>
      </c>
      <c r="B1249" t="s">
        <v>478</v>
      </c>
      <c r="C1249">
        <v>44.23</v>
      </c>
      <c r="D1249" s="2" t="s">
        <v>509</v>
      </c>
      <c r="E1249" t="s">
        <v>480</v>
      </c>
      <c r="F1249" s="2" t="s">
        <v>481</v>
      </c>
      <c r="G1249" s="2" t="s">
        <v>35</v>
      </c>
      <c r="H1249">
        <v>94103</v>
      </c>
      <c r="I1249" t="s">
        <v>16</v>
      </c>
      <c r="J1249" t="s">
        <v>510</v>
      </c>
      <c r="K1249" t="s">
        <v>483</v>
      </c>
      <c r="L1249" t="s">
        <v>2047</v>
      </c>
      <c r="M1249">
        <f>VLOOKUP(SUBSTITUTE(J1249,"'",""),Sheet1!L:M,2,FALSE)</f>
        <v>61130</v>
      </c>
    </row>
    <row r="1250" spans="1:13" ht="13.5" customHeight="1" x14ac:dyDescent="0.4">
      <c r="A1250" s="1">
        <v>45875</v>
      </c>
      <c r="B1250" t="s">
        <v>2354</v>
      </c>
      <c r="C1250">
        <v>115</v>
      </c>
      <c r="D1250" s="2" t="s">
        <v>3110</v>
      </c>
      <c r="E1250" t="s">
        <v>2354</v>
      </c>
      <c r="F1250" t="s">
        <v>2356</v>
      </c>
      <c r="G1250" s="2" t="s">
        <v>2357</v>
      </c>
      <c r="H1250">
        <v>63131</v>
      </c>
      <c r="I1250" t="s">
        <v>16</v>
      </c>
      <c r="J1250" t="s">
        <v>3111</v>
      </c>
      <c r="K1250" t="s">
        <v>201</v>
      </c>
      <c r="L1250" t="s">
        <v>4673</v>
      </c>
      <c r="M1250">
        <f>VLOOKUP(SUBSTITUTE(J1250,"'",""),Sheet1!L:M,2,FALSE)</f>
        <v>65700</v>
      </c>
    </row>
    <row r="1251" spans="1:13" ht="13.5" customHeight="1" x14ac:dyDescent="0.4">
      <c r="A1251" s="1">
        <v>45875</v>
      </c>
      <c r="B1251" t="s">
        <v>3101</v>
      </c>
      <c r="C1251">
        <v>2.83</v>
      </c>
      <c r="D1251" s="2" t="s">
        <v>3102</v>
      </c>
      <c r="E1251" t="s">
        <v>3101</v>
      </c>
      <c r="F1251" t="s">
        <v>2248</v>
      </c>
      <c r="G1251" s="2" t="s">
        <v>2249</v>
      </c>
      <c r="H1251">
        <v>94025</v>
      </c>
      <c r="I1251" t="s">
        <v>16</v>
      </c>
      <c r="J1251" t="s">
        <v>3103</v>
      </c>
      <c r="K1251" t="s">
        <v>2335</v>
      </c>
      <c r="L1251" t="s">
        <v>4673</v>
      </c>
      <c r="M1251">
        <f>VLOOKUP(SUBSTITUTE(J1251,"'",""),Sheet1!L:M,2,FALSE)</f>
        <v>54820</v>
      </c>
    </row>
    <row r="1252" spans="1:13" ht="13.5" customHeight="1" x14ac:dyDescent="0.4">
      <c r="A1252" s="1">
        <v>45875</v>
      </c>
      <c r="B1252" t="s">
        <v>3020</v>
      </c>
      <c r="C1252">
        <v>9.42</v>
      </c>
      <c r="D1252" s="2" t="s">
        <v>3106</v>
      </c>
      <c r="E1252" t="s">
        <v>3020</v>
      </c>
      <c r="F1252" t="s">
        <v>2219</v>
      </c>
      <c r="G1252" s="2" t="s">
        <v>41</v>
      </c>
      <c r="H1252">
        <v>10013</v>
      </c>
      <c r="I1252" t="s">
        <v>16</v>
      </c>
      <c r="J1252" t="s">
        <v>3107</v>
      </c>
      <c r="K1252" t="s">
        <v>321</v>
      </c>
      <c r="L1252" t="s">
        <v>4673</v>
      </c>
      <c r="M1252">
        <f>VLOOKUP(SUBSTITUTE(J1252,"'",""),Sheet1!L:M,2,FALSE)</f>
        <v>54820</v>
      </c>
    </row>
    <row r="1253" spans="1:13" ht="13.5" customHeight="1" x14ac:dyDescent="0.4">
      <c r="A1253" s="1">
        <v>45875</v>
      </c>
      <c r="B1253" t="s">
        <v>2690</v>
      </c>
      <c r="C1253">
        <v>100</v>
      </c>
      <c r="D1253" s="2" t="s">
        <v>3108</v>
      </c>
      <c r="E1253" t="s">
        <v>2690</v>
      </c>
      <c r="F1253" t="s">
        <v>2349</v>
      </c>
      <c r="G1253" s="2" t="s">
        <v>41</v>
      </c>
      <c r="H1253" t="s">
        <v>2350</v>
      </c>
      <c r="I1253" t="s">
        <v>16</v>
      </c>
      <c r="J1253" t="s">
        <v>3109</v>
      </c>
      <c r="K1253" t="s">
        <v>116</v>
      </c>
      <c r="L1253" t="s">
        <v>4673</v>
      </c>
      <c r="M1253">
        <f>VLOOKUP(SUBSTITUTE(J1253,"'",""),Sheet1!L:M,2,FALSE)</f>
        <v>54820</v>
      </c>
    </row>
    <row r="1254" spans="1:13" ht="13.5" customHeight="1" x14ac:dyDescent="0.4">
      <c r="A1254" s="1">
        <v>45875</v>
      </c>
      <c r="B1254" t="s">
        <v>2934</v>
      </c>
      <c r="C1254">
        <v>12.79</v>
      </c>
      <c r="D1254" s="2" t="s">
        <v>3104</v>
      </c>
      <c r="E1254" t="s">
        <v>2934</v>
      </c>
      <c r="F1254" t="s">
        <v>2936</v>
      </c>
      <c r="G1254" s="2" t="s">
        <v>41</v>
      </c>
      <c r="H1254">
        <v>10003</v>
      </c>
      <c r="I1254" t="s">
        <v>16</v>
      </c>
      <c r="J1254" t="s">
        <v>3105</v>
      </c>
      <c r="K1254" t="s">
        <v>305</v>
      </c>
      <c r="L1254" t="s">
        <v>4673</v>
      </c>
      <c r="M1254">
        <f>VLOOKUP(SUBSTITUTE(J1254,"'",""),Sheet1!L:M,2,FALSE)</f>
        <v>54820</v>
      </c>
    </row>
    <row r="1255" spans="1:13" ht="13.5" customHeight="1" x14ac:dyDescent="0.4">
      <c r="A1255" s="1">
        <v>45875</v>
      </c>
      <c r="B1255" t="s">
        <v>977</v>
      </c>
      <c r="C1255">
        <v>10</v>
      </c>
      <c r="D1255" s="2" t="s">
        <v>3094</v>
      </c>
      <c r="E1255" t="s">
        <v>977</v>
      </c>
      <c r="F1255" s="2" t="s">
        <v>979</v>
      </c>
      <c r="G1255" s="2" t="s">
        <v>980</v>
      </c>
      <c r="H1255">
        <v>78259</v>
      </c>
      <c r="I1255" t="s">
        <v>16</v>
      </c>
      <c r="J1255" t="s">
        <v>3095</v>
      </c>
      <c r="K1255" t="s">
        <v>164</v>
      </c>
      <c r="L1255" t="s">
        <v>4673</v>
      </c>
      <c r="M1255">
        <f>VLOOKUP(SUBSTITUTE(J1255,"'",""),Sheet1!L:M,2,FALSE)</f>
        <v>54820</v>
      </c>
    </row>
    <row r="1256" spans="1:13" ht="13.5" customHeight="1" x14ac:dyDescent="0.4">
      <c r="A1256" s="1">
        <v>45875</v>
      </c>
      <c r="B1256" t="s">
        <v>977</v>
      </c>
      <c r="C1256">
        <v>20</v>
      </c>
      <c r="D1256" s="2" t="s">
        <v>3096</v>
      </c>
      <c r="E1256" t="s">
        <v>977</v>
      </c>
      <c r="F1256" s="2" t="s">
        <v>979</v>
      </c>
      <c r="G1256" s="2" t="s">
        <v>980</v>
      </c>
      <c r="H1256">
        <v>78259</v>
      </c>
      <c r="I1256" t="s">
        <v>16</v>
      </c>
      <c r="J1256" t="s">
        <v>3097</v>
      </c>
      <c r="K1256" t="s">
        <v>164</v>
      </c>
      <c r="L1256" t="s">
        <v>4673</v>
      </c>
      <c r="M1256">
        <f>VLOOKUP(SUBSTITUTE(J1256,"'",""),Sheet1!L:M,2,FALSE)</f>
        <v>54820</v>
      </c>
    </row>
    <row r="1257" spans="1:13" ht="13.5" customHeight="1" x14ac:dyDescent="0.4">
      <c r="A1257" s="1">
        <v>45876</v>
      </c>
      <c r="B1257" t="s">
        <v>165</v>
      </c>
      <c r="C1257">
        <v>21.38</v>
      </c>
      <c r="D1257" s="2" t="s">
        <v>505</v>
      </c>
      <c r="E1257" t="s">
        <v>165</v>
      </c>
      <c r="F1257" s="2" t="s">
        <v>167</v>
      </c>
      <c r="G1257" s="2" t="s">
        <v>87</v>
      </c>
      <c r="H1257">
        <v>75202</v>
      </c>
      <c r="I1257" t="s">
        <v>16</v>
      </c>
      <c r="J1257" t="s">
        <v>506</v>
      </c>
      <c r="K1257" t="s">
        <v>96</v>
      </c>
      <c r="L1257" t="s">
        <v>2047</v>
      </c>
      <c r="M1257">
        <f>VLOOKUP(SUBSTITUTE(J1257,"'",""),Sheet1!L:M,2,FALSE)</f>
        <v>64100</v>
      </c>
    </row>
    <row r="1258" spans="1:13" ht="13.5" customHeight="1" x14ac:dyDescent="0.4">
      <c r="A1258" s="1">
        <v>45876</v>
      </c>
      <c r="B1258" t="s">
        <v>3090</v>
      </c>
      <c r="C1258">
        <v>7.08</v>
      </c>
      <c r="D1258" s="2" t="s">
        <v>3091</v>
      </c>
      <c r="E1258" t="s">
        <v>3090</v>
      </c>
      <c r="F1258" t="s">
        <v>3092</v>
      </c>
      <c r="G1258" s="2" t="s">
        <v>41</v>
      </c>
      <c r="H1258">
        <v>10012</v>
      </c>
      <c r="I1258" t="s">
        <v>16</v>
      </c>
      <c r="J1258" t="s">
        <v>3093</v>
      </c>
      <c r="K1258" t="s">
        <v>305</v>
      </c>
      <c r="L1258" t="s">
        <v>4673</v>
      </c>
      <c r="M1258">
        <f>VLOOKUP(SUBSTITUTE(J1258,"'",""),Sheet1!L:M,2,FALSE)</f>
        <v>54820</v>
      </c>
    </row>
    <row r="1259" spans="1:13" ht="13.5" customHeight="1" x14ac:dyDescent="0.4">
      <c r="A1259" s="1">
        <v>45876</v>
      </c>
      <c r="B1259" t="s">
        <v>2311</v>
      </c>
      <c r="C1259">
        <v>44.86</v>
      </c>
      <c r="D1259" s="2" t="s">
        <v>3088</v>
      </c>
      <c r="E1259" t="s">
        <v>2311</v>
      </c>
      <c r="F1259" s="2" t="s">
        <v>2313</v>
      </c>
      <c r="G1259" s="2" t="s">
        <v>2314</v>
      </c>
      <c r="H1259" t="s">
        <v>2315</v>
      </c>
      <c r="I1259" t="s">
        <v>16</v>
      </c>
      <c r="J1259" t="s">
        <v>3089</v>
      </c>
      <c r="K1259" t="s">
        <v>37</v>
      </c>
      <c r="L1259" t="s">
        <v>4673</v>
      </c>
      <c r="M1259">
        <f>VLOOKUP(SUBSTITUTE(J1259,"'",""),Sheet1!L:M,2,FALSE)</f>
        <v>64100</v>
      </c>
    </row>
    <row r="1260" spans="1:13" ht="13.5" customHeight="1" x14ac:dyDescent="0.4">
      <c r="A1260" s="1">
        <v>45876</v>
      </c>
      <c r="B1260" t="s">
        <v>977</v>
      </c>
      <c r="C1260">
        <v>20</v>
      </c>
      <c r="D1260" s="2" t="s">
        <v>3084</v>
      </c>
      <c r="E1260" t="s">
        <v>977</v>
      </c>
      <c r="F1260" s="2" t="s">
        <v>979</v>
      </c>
      <c r="G1260" s="2" t="s">
        <v>980</v>
      </c>
      <c r="H1260">
        <v>78259</v>
      </c>
      <c r="I1260" t="s">
        <v>16</v>
      </c>
      <c r="J1260" t="s">
        <v>3085</v>
      </c>
      <c r="K1260" t="s">
        <v>164</v>
      </c>
      <c r="L1260" t="s">
        <v>4673</v>
      </c>
      <c r="M1260">
        <f>VLOOKUP(SUBSTITUTE(J1260,"'",""),Sheet1!L:M,2,FALSE)</f>
        <v>54820</v>
      </c>
    </row>
    <row r="1261" spans="1:13" ht="13.5" customHeight="1" x14ac:dyDescent="0.4">
      <c r="A1261" s="1">
        <v>45876</v>
      </c>
      <c r="B1261" t="s">
        <v>977</v>
      </c>
      <c r="C1261">
        <v>40</v>
      </c>
      <c r="D1261" s="2" t="s">
        <v>3086</v>
      </c>
      <c r="E1261" t="s">
        <v>977</v>
      </c>
      <c r="F1261" s="2" t="s">
        <v>979</v>
      </c>
      <c r="G1261" s="2" t="s">
        <v>980</v>
      </c>
      <c r="H1261">
        <v>78259</v>
      </c>
      <c r="I1261" t="s">
        <v>16</v>
      </c>
      <c r="J1261" t="s">
        <v>3087</v>
      </c>
      <c r="K1261" t="s">
        <v>164</v>
      </c>
      <c r="L1261" t="s">
        <v>4673</v>
      </c>
      <c r="M1261">
        <f>VLOOKUP(SUBSTITUTE(J1261,"'",""),Sheet1!L:M,2,FALSE)</f>
        <v>54820</v>
      </c>
    </row>
    <row r="1262" spans="1:13" ht="13.5" customHeight="1" x14ac:dyDescent="0.4">
      <c r="A1262" s="1">
        <v>45877</v>
      </c>
      <c r="B1262" t="s">
        <v>2303</v>
      </c>
      <c r="C1262">
        <v>646.30999999999995</v>
      </c>
      <c r="D1262" t="s">
        <v>2303</v>
      </c>
      <c r="E1262" t="s">
        <v>2303</v>
      </c>
      <c r="J1262" t="s">
        <v>3083</v>
      </c>
      <c r="K1262" t="s">
        <v>21</v>
      </c>
      <c r="L1262" t="s">
        <v>4673</v>
      </c>
      <c r="M1262">
        <f>VLOOKUP(SUBSTITUTE(J1262,"'",""),Sheet1!L:M,2,FALSE)</f>
        <v>80100</v>
      </c>
    </row>
    <row r="1263" spans="1:13" ht="13.5" customHeight="1" x14ac:dyDescent="0.4">
      <c r="A1263" s="1">
        <v>45877</v>
      </c>
      <c r="B1263" t="s">
        <v>3080</v>
      </c>
      <c r="C1263">
        <v>8.89</v>
      </c>
      <c r="D1263" s="2" t="s">
        <v>3081</v>
      </c>
      <c r="E1263" t="s">
        <v>3080</v>
      </c>
      <c r="F1263" t="s">
        <v>2679</v>
      </c>
      <c r="G1263" s="2" t="s">
        <v>41</v>
      </c>
      <c r="H1263" t="s">
        <v>2680</v>
      </c>
      <c r="I1263" t="s">
        <v>16</v>
      </c>
      <c r="J1263" t="s">
        <v>3082</v>
      </c>
      <c r="K1263" t="s">
        <v>305</v>
      </c>
      <c r="L1263" t="s">
        <v>4673</v>
      </c>
      <c r="M1263">
        <f>VLOOKUP(SUBSTITUTE(J1263,"'",""),Sheet1!L:M,2,FALSE)</f>
        <v>54820</v>
      </c>
    </row>
    <row r="1264" spans="1:13" ht="13.5" customHeight="1" x14ac:dyDescent="0.4">
      <c r="A1264" s="1">
        <v>45877</v>
      </c>
      <c r="B1264" t="s">
        <v>478</v>
      </c>
      <c r="C1264">
        <v>33.01</v>
      </c>
      <c r="D1264" s="2" t="s">
        <v>501</v>
      </c>
      <c r="E1264" t="s">
        <v>480</v>
      </c>
      <c r="F1264" s="2" t="s">
        <v>481</v>
      </c>
      <c r="G1264" s="2" t="s">
        <v>35</v>
      </c>
      <c r="H1264">
        <v>94103</v>
      </c>
      <c r="I1264" t="s">
        <v>16</v>
      </c>
      <c r="J1264" t="s">
        <v>502</v>
      </c>
      <c r="K1264" t="s">
        <v>483</v>
      </c>
      <c r="L1264" t="s">
        <v>2047</v>
      </c>
      <c r="M1264">
        <f>VLOOKUP(SUBSTITUTE(J1264,"'",""),Sheet1!L:M,2,FALSE)</f>
        <v>61130</v>
      </c>
    </row>
    <row r="1265" spans="1:13" ht="13.5" customHeight="1" x14ac:dyDescent="0.4">
      <c r="A1265" s="1">
        <v>45877</v>
      </c>
      <c r="B1265" t="s">
        <v>478</v>
      </c>
      <c r="C1265">
        <v>37.840000000000003</v>
      </c>
      <c r="D1265" s="2" t="s">
        <v>503</v>
      </c>
      <c r="E1265" t="s">
        <v>480</v>
      </c>
      <c r="F1265" s="2" t="s">
        <v>481</v>
      </c>
      <c r="G1265" s="2" t="s">
        <v>35</v>
      </c>
      <c r="H1265">
        <v>94103</v>
      </c>
      <c r="I1265" t="s">
        <v>16</v>
      </c>
      <c r="J1265" t="s">
        <v>504</v>
      </c>
      <c r="K1265" t="s">
        <v>483</v>
      </c>
      <c r="L1265" t="s">
        <v>2047</v>
      </c>
      <c r="M1265">
        <f>VLOOKUP(SUBSTITUTE(J1265,"'",""),Sheet1!L:M,2,FALSE)</f>
        <v>61130</v>
      </c>
    </row>
    <row r="1266" spans="1:13" ht="13.5" customHeight="1" x14ac:dyDescent="0.4">
      <c r="A1266" s="1">
        <v>45877</v>
      </c>
      <c r="B1266" t="s">
        <v>977</v>
      </c>
      <c r="C1266">
        <v>10</v>
      </c>
      <c r="D1266" s="2" t="s">
        <v>3078</v>
      </c>
      <c r="E1266" t="s">
        <v>977</v>
      </c>
      <c r="F1266" s="2" t="s">
        <v>979</v>
      </c>
      <c r="G1266" s="2" t="s">
        <v>980</v>
      </c>
      <c r="H1266">
        <v>78259</v>
      </c>
      <c r="I1266" t="s">
        <v>16</v>
      </c>
      <c r="J1266" t="s">
        <v>3079</v>
      </c>
      <c r="K1266" t="s">
        <v>164</v>
      </c>
      <c r="L1266" t="s">
        <v>4673</v>
      </c>
      <c r="M1266">
        <f>VLOOKUP(SUBSTITUTE(J1266,"'",""),Sheet1!L:M,2,FALSE)</f>
        <v>54820</v>
      </c>
    </row>
    <row r="1267" spans="1:13" ht="13.5" customHeight="1" x14ac:dyDescent="0.4">
      <c r="A1267" s="1">
        <v>45877</v>
      </c>
      <c r="B1267" t="s">
        <v>169</v>
      </c>
      <c r="C1267">
        <v>21.39</v>
      </c>
      <c r="D1267" s="2" t="s">
        <v>486</v>
      </c>
      <c r="E1267" t="s">
        <v>169</v>
      </c>
      <c r="F1267" s="2" t="s">
        <v>171</v>
      </c>
      <c r="G1267" s="2" t="s">
        <v>172</v>
      </c>
      <c r="H1267">
        <v>95035</v>
      </c>
      <c r="I1267" t="s">
        <v>16</v>
      </c>
      <c r="J1267" t="s">
        <v>487</v>
      </c>
      <c r="K1267" t="s">
        <v>174</v>
      </c>
      <c r="L1267" t="s">
        <v>2047</v>
      </c>
      <c r="M1267">
        <f>VLOOKUP(SUBSTITUTE(J1267,"'",""),Sheet1!L:M,2,FALSE)</f>
        <v>64100</v>
      </c>
    </row>
    <row r="1268" spans="1:13" ht="13.5" customHeight="1" x14ac:dyDescent="0.4">
      <c r="A1268" s="1">
        <v>45877</v>
      </c>
      <c r="B1268" t="s">
        <v>493</v>
      </c>
      <c r="C1268">
        <v>24</v>
      </c>
      <c r="D1268" s="2" t="s">
        <v>494</v>
      </c>
      <c r="E1268" t="s">
        <v>493</v>
      </c>
      <c r="F1268" t="s">
        <v>495</v>
      </c>
      <c r="G1268" s="2" t="s">
        <v>496</v>
      </c>
      <c r="H1268" t="s">
        <v>497</v>
      </c>
      <c r="I1268" t="s">
        <v>498</v>
      </c>
      <c r="J1268" t="s">
        <v>499</v>
      </c>
      <c r="K1268" t="s">
        <v>500</v>
      </c>
      <c r="L1268" t="s">
        <v>2047</v>
      </c>
      <c r="M1268">
        <f>VLOOKUP(SUBSTITUTE(J1268,"'",""),Sheet1!L:M,2,FALSE)</f>
        <v>67500</v>
      </c>
    </row>
    <row r="1269" spans="1:13" ht="13.5" customHeight="1" x14ac:dyDescent="0.4">
      <c r="A1269" s="1">
        <v>45877</v>
      </c>
      <c r="B1269" t="s">
        <v>488</v>
      </c>
      <c r="C1269">
        <v>42.79</v>
      </c>
      <c r="D1269" s="2" t="s">
        <v>489</v>
      </c>
      <c r="E1269" t="s">
        <v>488</v>
      </c>
      <c r="F1269" t="s">
        <v>490</v>
      </c>
      <c r="G1269" s="2" t="s">
        <v>491</v>
      </c>
      <c r="H1269">
        <v>60606</v>
      </c>
      <c r="I1269" t="s">
        <v>16</v>
      </c>
      <c r="J1269" t="s">
        <v>492</v>
      </c>
      <c r="K1269" t="s">
        <v>37</v>
      </c>
      <c r="L1269" t="s">
        <v>2047</v>
      </c>
      <c r="M1269">
        <f>VLOOKUP(SUBSTITUTE(J1269,"'",""),Sheet1!L:M,2,FALSE)</f>
        <v>64100</v>
      </c>
    </row>
    <row r="1270" spans="1:13" ht="13.5" customHeight="1" x14ac:dyDescent="0.4">
      <c r="A1270" s="1">
        <v>45877</v>
      </c>
      <c r="B1270" t="s">
        <v>3073</v>
      </c>
      <c r="C1270">
        <v>49.8</v>
      </c>
      <c r="D1270" s="2" t="s">
        <v>3074</v>
      </c>
      <c r="E1270" t="s">
        <v>3073</v>
      </c>
      <c r="F1270" s="2" t="s">
        <v>3075</v>
      </c>
      <c r="G1270" s="2" t="s">
        <v>3076</v>
      </c>
      <c r="H1270">
        <v>91436</v>
      </c>
      <c r="I1270" t="s">
        <v>16</v>
      </c>
      <c r="J1270" t="s">
        <v>3077</v>
      </c>
      <c r="K1270" t="s">
        <v>370</v>
      </c>
      <c r="L1270" t="s">
        <v>4673</v>
      </c>
      <c r="M1270">
        <f>VLOOKUP(SUBSTITUTE(J1270,"'",""),Sheet1!L:M,2,FALSE)</f>
        <v>54820</v>
      </c>
    </row>
    <row r="1271" spans="1:13" ht="13.5" customHeight="1" x14ac:dyDescent="0.4">
      <c r="A1271" s="1">
        <v>45878</v>
      </c>
      <c r="B1271" t="s">
        <v>22</v>
      </c>
      <c r="C1271">
        <v>-1000</v>
      </c>
      <c r="D1271" t="s">
        <v>22</v>
      </c>
      <c r="E1271" t="s">
        <v>22</v>
      </c>
      <c r="J1271" t="s">
        <v>477</v>
      </c>
      <c r="L1271" t="s">
        <v>2047</v>
      </c>
      <c r="M1271" t="e">
        <f>VLOOKUP(SUBSTITUTE(J1271,"'",""),Sheet1!L:M,2,FALSE)</f>
        <v>#N/A</v>
      </c>
    </row>
    <row r="1272" spans="1:13" ht="13.5" customHeight="1" x14ac:dyDescent="0.4">
      <c r="A1272" s="1">
        <v>45878</v>
      </c>
      <c r="B1272" t="s">
        <v>106</v>
      </c>
      <c r="C1272">
        <v>69.67</v>
      </c>
      <c r="D1272" s="2" t="s">
        <v>3061</v>
      </c>
      <c r="E1272" t="s">
        <v>106</v>
      </c>
      <c r="F1272" t="s">
        <v>108</v>
      </c>
      <c r="G1272" s="2" t="s">
        <v>41</v>
      </c>
      <c r="H1272">
        <v>10012</v>
      </c>
      <c r="I1272" t="s">
        <v>16</v>
      </c>
      <c r="J1272" t="s">
        <v>3062</v>
      </c>
      <c r="K1272" t="s">
        <v>110</v>
      </c>
      <c r="L1272" t="s">
        <v>4673</v>
      </c>
      <c r="M1272">
        <f>VLOOKUP(SUBSTITUTE(J1272,"'",""),Sheet1!L:M,2,FALSE)</f>
        <v>67500</v>
      </c>
    </row>
    <row r="1273" spans="1:13" ht="13.5" customHeight="1" x14ac:dyDescent="0.4">
      <c r="A1273" s="1">
        <v>45878</v>
      </c>
      <c r="B1273" t="s">
        <v>478</v>
      </c>
      <c r="C1273">
        <v>33.75</v>
      </c>
      <c r="D1273" s="2" t="s">
        <v>479</v>
      </c>
      <c r="E1273" t="s">
        <v>480</v>
      </c>
      <c r="F1273" s="2" t="s">
        <v>481</v>
      </c>
      <c r="G1273" s="2" t="s">
        <v>35</v>
      </c>
      <c r="H1273">
        <v>94103</v>
      </c>
      <c r="I1273" t="s">
        <v>16</v>
      </c>
      <c r="J1273" t="s">
        <v>482</v>
      </c>
      <c r="K1273" t="s">
        <v>483</v>
      </c>
      <c r="L1273" t="s">
        <v>2047</v>
      </c>
      <c r="M1273">
        <f>VLOOKUP(SUBSTITUTE(J1273,"'",""),Sheet1!L:M,2,FALSE)</f>
        <v>61130</v>
      </c>
    </row>
    <row r="1274" spans="1:13" ht="13.5" customHeight="1" x14ac:dyDescent="0.4">
      <c r="A1274" s="1">
        <v>45878</v>
      </c>
      <c r="B1274" t="s">
        <v>478</v>
      </c>
      <c r="C1274">
        <v>60.45</v>
      </c>
      <c r="D1274" s="2" t="s">
        <v>3071</v>
      </c>
      <c r="E1274" t="s">
        <v>480</v>
      </c>
      <c r="F1274" s="2" t="s">
        <v>481</v>
      </c>
      <c r="G1274" s="2" t="s">
        <v>35</v>
      </c>
      <c r="H1274">
        <v>94103</v>
      </c>
      <c r="I1274" t="s">
        <v>16</v>
      </c>
      <c r="J1274" t="s">
        <v>3072</v>
      </c>
      <c r="K1274" t="s">
        <v>483</v>
      </c>
      <c r="L1274" t="s">
        <v>4673</v>
      </c>
      <c r="M1274">
        <f>VLOOKUP(SUBSTITUTE(J1274,"'",""),Sheet1!L:M,2,FALSE)</f>
        <v>61130</v>
      </c>
    </row>
    <row r="1275" spans="1:13" ht="13.5" customHeight="1" x14ac:dyDescent="0.4">
      <c r="A1275" s="1">
        <v>45878</v>
      </c>
      <c r="B1275" t="s">
        <v>478</v>
      </c>
      <c r="C1275">
        <v>28.82</v>
      </c>
      <c r="D1275" s="2" t="s">
        <v>3069</v>
      </c>
      <c r="E1275" t="s">
        <v>480</v>
      </c>
      <c r="F1275" s="2" t="s">
        <v>481</v>
      </c>
      <c r="G1275" s="2" t="s">
        <v>35</v>
      </c>
      <c r="H1275">
        <v>94103</v>
      </c>
      <c r="I1275" t="s">
        <v>16</v>
      </c>
      <c r="J1275" t="s">
        <v>3070</v>
      </c>
      <c r="K1275" t="s">
        <v>483</v>
      </c>
      <c r="L1275" t="s">
        <v>4673</v>
      </c>
      <c r="M1275">
        <f>VLOOKUP(SUBSTITUTE(J1275,"'",""),Sheet1!L:M,2,FALSE)</f>
        <v>61130</v>
      </c>
    </row>
    <row r="1276" spans="1:13" ht="13.5" customHeight="1" x14ac:dyDescent="0.4">
      <c r="A1276" s="1">
        <v>45878</v>
      </c>
      <c r="B1276" t="s">
        <v>153</v>
      </c>
      <c r="C1276">
        <v>165.41</v>
      </c>
      <c r="D1276" s="2" t="s">
        <v>473</v>
      </c>
      <c r="E1276" t="s">
        <v>153</v>
      </c>
      <c r="F1276" t="s">
        <v>155</v>
      </c>
      <c r="G1276" s="2" t="s">
        <v>156</v>
      </c>
      <c r="H1276">
        <v>98052</v>
      </c>
      <c r="I1276" t="s">
        <v>16</v>
      </c>
      <c r="J1276" t="s">
        <v>474</v>
      </c>
      <c r="K1276" t="s">
        <v>96</v>
      </c>
      <c r="L1276" t="s">
        <v>2047</v>
      </c>
      <c r="M1276">
        <f>VLOOKUP(SUBSTITUTE(J1276,"'",""),Sheet1!L:M,2,FALSE)</f>
        <v>64100</v>
      </c>
    </row>
    <row r="1277" spans="1:13" ht="13.5" customHeight="1" x14ac:dyDescent="0.4">
      <c r="A1277" s="1">
        <v>45878</v>
      </c>
      <c r="B1277" t="s">
        <v>153</v>
      </c>
      <c r="C1277">
        <v>223.2</v>
      </c>
      <c r="D1277" s="2" t="s">
        <v>475</v>
      </c>
      <c r="E1277" t="s">
        <v>153</v>
      </c>
      <c r="F1277" t="s">
        <v>155</v>
      </c>
      <c r="G1277" s="2" t="s">
        <v>156</v>
      </c>
      <c r="H1277">
        <v>98052</v>
      </c>
      <c r="I1277" t="s">
        <v>16</v>
      </c>
      <c r="J1277" t="s">
        <v>476</v>
      </c>
      <c r="K1277" t="s">
        <v>96</v>
      </c>
      <c r="L1277" t="s">
        <v>2047</v>
      </c>
      <c r="M1277">
        <f>VLOOKUP(SUBSTITUTE(J1277,"'",""),Sheet1!L:M,2,FALSE)</f>
        <v>64100</v>
      </c>
    </row>
    <row r="1278" spans="1:13" ht="13.5" customHeight="1" x14ac:dyDescent="0.4">
      <c r="A1278" s="1">
        <v>45878</v>
      </c>
      <c r="B1278" t="s">
        <v>3063</v>
      </c>
      <c r="C1278">
        <v>428.5</v>
      </c>
      <c r="D1278" s="2" t="s">
        <v>3064</v>
      </c>
      <c r="E1278" t="s">
        <v>3063</v>
      </c>
      <c r="F1278" t="s">
        <v>3065</v>
      </c>
      <c r="G1278" s="2" t="s">
        <v>41</v>
      </c>
      <c r="H1278">
        <v>10004</v>
      </c>
      <c r="I1278" t="s">
        <v>16</v>
      </c>
      <c r="J1278" t="s">
        <v>3066</v>
      </c>
      <c r="K1278" t="s">
        <v>126</v>
      </c>
      <c r="L1278" t="s">
        <v>4673</v>
      </c>
      <c r="M1278">
        <f>VLOOKUP(SUBSTITUTE(J1278,"'",""),Sheet1!L:M,2,FALSE)</f>
        <v>61215</v>
      </c>
    </row>
    <row r="1279" spans="1:13" ht="13.5" customHeight="1" x14ac:dyDescent="0.4">
      <c r="A1279" s="1">
        <v>45878</v>
      </c>
      <c r="B1279" t="s">
        <v>1702</v>
      </c>
      <c r="C1279">
        <v>460</v>
      </c>
      <c r="D1279" s="2" t="s">
        <v>3067</v>
      </c>
      <c r="E1279" t="s">
        <v>1702</v>
      </c>
      <c r="F1279" s="2" t="s">
        <v>1704</v>
      </c>
      <c r="G1279" s="2" t="s">
        <v>41</v>
      </c>
      <c r="H1279">
        <v>10009</v>
      </c>
      <c r="I1279" t="s">
        <v>16</v>
      </c>
      <c r="J1279" t="s">
        <v>3068</v>
      </c>
      <c r="K1279" t="s">
        <v>126</v>
      </c>
      <c r="L1279" t="s">
        <v>4673</v>
      </c>
      <c r="M1279">
        <f>VLOOKUP(SUBSTITUTE(J1279,"'",""),Sheet1!L:M,2,FALSE)</f>
        <v>61215</v>
      </c>
    </row>
    <row r="1280" spans="1:13" ht="13.5" customHeight="1" x14ac:dyDescent="0.4">
      <c r="A1280" s="1">
        <v>45878</v>
      </c>
      <c r="B1280" t="s">
        <v>160</v>
      </c>
      <c r="C1280">
        <v>21.4</v>
      </c>
      <c r="D1280" s="2" t="s">
        <v>484</v>
      </c>
      <c r="E1280" t="s">
        <v>160</v>
      </c>
      <c r="F1280" s="2" t="s">
        <v>162</v>
      </c>
      <c r="G1280" s="2" t="s">
        <v>35</v>
      </c>
      <c r="H1280">
        <v>94104</v>
      </c>
      <c r="I1280" t="s">
        <v>16</v>
      </c>
      <c r="J1280" t="s">
        <v>485</v>
      </c>
      <c r="K1280" t="s">
        <v>164</v>
      </c>
      <c r="L1280" t="s">
        <v>2047</v>
      </c>
      <c r="M1280">
        <f>VLOOKUP(SUBSTITUTE(J1280,"'",""),Sheet1!L:M,2,FALSE)</f>
        <v>64100</v>
      </c>
    </row>
    <row r="1281" spans="1:13" ht="13.5" customHeight="1" x14ac:dyDescent="0.4">
      <c r="A1281" s="1">
        <v>45879</v>
      </c>
      <c r="B1281" t="s">
        <v>478</v>
      </c>
      <c r="C1281">
        <v>29.03</v>
      </c>
      <c r="D1281" s="2" t="s">
        <v>3057</v>
      </c>
      <c r="E1281" t="s">
        <v>480</v>
      </c>
      <c r="F1281" s="2" t="s">
        <v>481</v>
      </c>
      <c r="G1281" s="2" t="s">
        <v>35</v>
      </c>
      <c r="H1281">
        <v>94103</v>
      </c>
      <c r="I1281" t="s">
        <v>16</v>
      </c>
      <c r="J1281" t="s">
        <v>3058</v>
      </c>
      <c r="K1281" t="s">
        <v>483</v>
      </c>
      <c r="L1281" t="s">
        <v>4673</v>
      </c>
      <c r="M1281">
        <f>VLOOKUP(SUBSTITUTE(J1281,"'",""),Sheet1!L:M,2,FALSE)</f>
        <v>61130</v>
      </c>
    </row>
    <row r="1282" spans="1:13" ht="13.5" customHeight="1" x14ac:dyDescent="0.4">
      <c r="A1282" s="1">
        <v>45879</v>
      </c>
      <c r="B1282" t="s">
        <v>478</v>
      </c>
      <c r="C1282">
        <v>23.29</v>
      </c>
      <c r="D1282" s="2" t="s">
        <v>3055</v>
      </c>
      <c r="E1282" t="s">
        <v>480</v>
      </c>
      <c r="F1282" s="2" t="s">
        <v>481</v>
      </c>
      <c r="G1282" s="2" t="s">
        <v>35</v>
      </c>
      <c r="H1282">
        <v>94103</v>
      </c>
      <c r="I1282" t="s">
        <v>16</v>
      </c>
      <c r="J1282" t="s">
        <v>3056</v>
      </c>
      <c r="K1282" t="s">
        <v>483</v>
      </c>
      <c r="L1282" t="s">
        <v>4673</v>
      </c>
      <c r="M1282">
        <f>VLOOKUP(SUBSTITUTE(J1282,"'",""),Sheet1!L:M,2,FALSE)</f>
        <v>61130</v>
      </c>
    </row>
    <row r="1283" spans="1:13" ht="13.5" customHeight="1" x14ac:dyDescent="0.4">
      <c r="A1283" s="1">
        <v>45879</v>
      </c>
      <c r="B1283" t="s">
        <v>478</v>
      </c>
      <c r="C1283">
        <v>36.770000000000003</v>
      </c>
      <c r="D1283" s="2" t="s">
        <v>3059</v>
      </c>
      <c r="E1283" t="s">
        <v>480</v>
      </c>
      <c r="F1283" s="2" t="s">
        <v>481</v>
      </c>
      <c r="G1283" s="2" t="s">
        <v>35</v>
      </c>
      <c r="H1283">
        <v>94103</v>
      </c>
      <c r="I1283" t="s">
        <v>16</v>
      </c>
      <c r="J1283" t="s">
        <v>3060</v>
      </c>
      <c r="K1283" t="s">
        <v>483</v>
      </c>
      <c r="L1283" t="s">
        <v>4673</v>
      </c>
      <c r="M1283">
        <f>VLOOKUP(SUBSTITUTE(J1283,"'",""),Sheet1!L:M,2,FALSE)</f>
        <v>61130</v>
      </c>
    </row>
    <row r="1284" spans="1:13" ht="13.5" customHeight="1" x14ac:dyDescent="0.4">
      <c r="A1284" s="1">
        <v>45879</v>
      </c>
      <c r="B1284" t="s">
        <v>297</v>
      </c>
      <c r="C1284">
        <v>2.25</v>
      </c>
      <c r="D1284" s="2" t="s">
        <v>471</v>
      </c>
      <c r="E1284" t="s">
        <v>297</v>
      </c>
      <c r="F1284" t="s">
        <v>29</v>
      </c>
      <c r="G1284" t="e">
        <f>-
NY</f>
        <v>#NAME?</v>
      </c>
      <c r="H1284">
        <v>11577</v>
      </c>
      <c r="I1284" t="s">
        <v>16</v>
      </c>
      <c r="J1284" t="s">
        <v>472</v>
      </c>
      <c r="K1284" t="s">
        <v>31</v>
      </c>
      <c r="L1284" t="s">
        <v>2047</v>
      </c>
      <c r="M1284">
        <f>VLOOKUP(SUBSTITUTE(J1284,"'",""),Sheet1!L:M,2,FALSE)</f>
        <v>61131</v>
      </c>
    </row>
    <row r="1285" spans="1:13" ht="13.5" customHeight="1" x14ac:dyDescent="0.4">
      <c r="A1285" s="1">
        <v>45880</v>
      </c>
      <c r="B1285" t="s">
        <v>2181</v>
      </c>
      <c r="C1285">
        <v>9.99</v>
      </c>
      <c r="D1285" s="2" t="s">
        <v>3047</v>
      </c>
      <c r="E1285" t="s">
        <v>2181</v>
      </c>
      <c r="F1285" s="2" t="s">
        <v>2183</v>
      </c>
      <c r="G1285" s="2" t="s">
        <v>1376</v>
      </c>
      <c r="H1285" t="s">
        <v>2184</v>
      </c>
      <c r="I1285" t="s">
        <v>16</v>
      </c>
      <c r="J1285" t="s">
        <v>3048</v>
      </c>
      <c r="K1285" t="s">
        <v>18</v>
      </c>
      <c r="L1285" t="s">
        <v>4673</v>
      </c>
      <c r="M1285">
        <f>VLOOKUP(SUBSTITUTE(J1285,"'",""),Sheet1!L:M,2,FALSE)</f>
        <v>54820</v>
      </c>
    </row>
    <row r="1286" spans="1:13" ht="13.5" customHeight="1" x14ac:dyDescent="0.4">
      <c r="A1286" s="1">
        <v>45880</v>
      </c>
      <c r="B1286" t="s">
        <v>461</v>
      </c>
      <c r="C1286">
        <v>499.75</v>
      </c>
      <c r="D1286" s="2" t="s">
        <v>462</v>
      </c>
      <c r="E1286" t="s">
        <v>461</v>
      </c>
      <c r="F1286" s="2" t="s">
        <v>463</v>
      </c>
      <c r="G1286" s="2" t="s">
        <v>464</v>
      </c>
      <c r="H1286" s="3" t="s">
        <v>465</v>
      </c>
      <c r="I1286" t="s">
        <v>16</v>
      </c>
      <c r="J1286" t="s">
        <v>466</v>
      </c>
      <c r="K1286" t="s">
        <v>164</v>
      </c>
      <c r="L1286" t="s">
        <v>2047</v>
      </c>
      <c r="M1286">
        <f>VLOOKUP(SUBSTITUTE(J1286,"'",""),Sheet1!L:M,2,FALSE)</f>
        <v>64100</v>
      </c>
    </row>
    <row r="1287" spans="1:13" ht="13.5" customHeight="1" x14ac:dyDescent="0.4">
      <c r="A1287" s="1">
        <v>45880</v>
      </c>
      <c r="B1287" t="s">
        <v>2259</v>
      </c>
      <c r="C1287">
        <v>21.39</v>
      </c>
      <c r="D1287" s="2" t="s">
        <v>3045</v>
      </c>
      <c r="E1287" t="s">
        <v>2259</v>
      </c>
      <c r="F1287" t="s">
        <v>2261</v>
      </c>
      <c r="G1287" s="2" t="s">
        <v>14</v>
      </c>
      <c r="H1287">
        <v>98103</v>
      </c>
      <c r="I1287" t="s">
        <v>16</v>
      </c>
      <c r="J1287" t="s">
        <v>3046</v>
      </c>
      <c r="K1287" t="s">
        <v>1904</v>
      </c>
      <c r="L1287" t="s">
        <v>4673</v>
      </c>
      <c r="M1287">
        <f>VLOOKUP(SUBSTITUTE(J1287,"'",""),Sheet1!L:M,2,FALSE)</f>
        <v>64100</v>
      </c>
    </row>
    <row r="1288" spans="1:13" ht="13.5" customHeight="1" x14ac:dyDescent="0.4">
      <c r="A1288" s="1">
        <v>45880</v>
      </c>
      <c r="B1288" t="s">
        <v>2265</v>
      </c>
      <c r="C1288">
        <v>36.9</v>
      </c>
      <c r="D1288" s="2" t="s">
        <v>3053</v>
      </c>
      <c r="E1288" t="s">
        <v>2265</v>
      </c>
      <c r="F1288" t="s">
        <v>2261</v>
      </c>
      <c r="G1288" s="2" t="s">
        <v>14</v>
      </c>
      <c r="H1288">
        <v>98103</v>
      </c>
      <c r="I1288" t="s">
        <v>16</v>
      </c>
      <c r="J1288" t="s">
        <v>3054</v>
      </c>
      <c r="K1288" t="s">
        <v>1904</v>
      </c>
      <c r="L1288" t="s">
        <v>4673</v>
      </c>
      <c r="M1288">
        <f>VLOOKUP(SUBSTITUTE(J1288,"'",""),Sheet1!L:M,2,FALSE)</f>
        <v>64100</v>
      </c>
    </row>
    <row r="1289" spans="1:13" ht="13.5" customHeight="1" x14ac:dyDescent="0.4">
      <c r="A1289" s="1">
        <v>45880</v>
      </c>
      <c r="B1289" t="s">
        <v>2142</v>
      </c>
      <c r="C1289">
        <v>10.78</v>
      </c>
      <c r="D1289" s="2" t="s">
        <v>3051</v>
      </c>
      <c r="E1289" t="s">
        <v>2142</v>
      </c>
      <c r="F1289" t="s">
        <v>2144</v>
      </c>
      <c r="G1289" s="2" t="s">
        <v>41</v>
      </c>
      <c r="H1289">
        <v>10012</v>
      </c>
      <c r="I1289" t="s">
        <v>16</v>
      </c>
      <c r="J1289" t="s">
        <v>3052</v>
      </c>
      <c r="K1289" t="s">
        <v>1304</v>
      </c>
      <c r="L1289" t="s">
        <v>4673</v>
      </c>
      <c r="M1289">
        <f>VLOOKUP(SUBSTITUTE(J1289,"'",""),Sheet1!L:M,2,FALSE)</f>
        <v>54820</v>
      </c>
    </row>
    <row r="1290" spans="1:13" ht="13.5" customHeight="1" x14ac:dyDescent="0.4">
      <c r="A1290" s="1">
        <v>45880</v>
      </c>
      <c r="B1290" t="s">
        <v>467</v>
      </c>
      <c r="C1290">
        <v>200.81</v>
      </c>
      <c r="D1290" s="2" t="s">
        <v>468</v>
      </c>
      <c r="E1290" t="s">
        <v>467</v>
      </c>
      <c r="F1290" t="s">
        <v>469</v>
      </c>
      <c r="G1290" s="2" t="s">
        <v>41</v>
      </c>
      <c r="H1290">
        <v>10002</v>
      </c>
      <c r="I1290" t="s">
        <v>16</v>
      </c>
      <c r="J1290" t="s">
        <v>470</v>
      </c>
      <c r="K1290" t="s">
        <v>126</v>
      </c>
      <c r="L1290" t="s">
        <v>2047</v>
      </c>
      <c r="M1290">
        <f>VLOOKUP(SUBSTITUTE(J1290,"'",""),Sheet1!L:M,2,FALSE)</f>
        <v>61215</v>
      </c>
    </row>
    <row r="1291" spans="1:13" ht="13.5" customHeight="1" x14ac:dyDescent="0.4">
      <c r="A1291" s="1">
        <v>45880</v>
      </c>
      <c r="B1291" t="s">
        <v>977</v>
      </c>
      <c r="C1291">
        <v>10</v>
      </c>
      <c r="D1291" s="2" t="s">
        <v>3049</v>
      </c>
      <c r="E1291" t="s">
        <v>977</v>
      </c>
      <c r="F1291" s="2" t="s">
        <v>979</v>
      </c>
      <c r="G1291" s="2" t="s">
        <v>980</v>
      </c>
      <c r="H1291">
        <v>78259</v>
      </c>
      <c r="I1291" t="s">
        <v>16</v>
      </c>
      <c r="J1291" t="s">
        <v>3050</v>
      </c>
      <c r="K1291" t="s">
        <v>164</v>
      </c>
      <c r="L1291" t="s">
        <v>4673</v>
      </c>
      <c r="M1291">
        <f>VLOOKUP(SUBSTITUTE(J1291,"'",""),Sheet1!L:M,2,FALSE)</f>
        <v>54820</v>
      </c>
    </row>
    <row r="1292" spans="1:13" ht="13.5" customHeight="1" x14ac:dyDescent="0.4">
      <c r="A1292" s="1">
        <v>45881</v>
      </c>
      <c r="B1292" t="s">
        <v>106</v>
      </c>
      <c r="C1292">
        <v>63.68</v>
      </c>
      <c r="D1292" s="2" t="s">
        <v>3043</v>
      </c>
      <c r="E1292" t="s">
        <v>106</v>
      </c>
      <c r="F1292" t="s">
        <v>108</v>
      </c>
      <c r="G1292" s="2" t="s">
        <v>41</v>
      </c>
      <c r="H1292">
        <v>10012</v>
      </c>
      <c r="I1292" t="s">
        <v>16</v>
      </c>
      <c r="J1292" t="s">
        <v>3044</v>
      </c>
      <c r="K1292" t="s">
        <v>110</v>
      </c>
      <c r="L1292" t="s">
        <v>4673</v>
      </c>
      <c r="M1292">
        <f>VLOOKUP(SUBSTITUTE(J1292,"'",""),Sheet1!L:M,2,FALSE)</f>
        <v>67500</v>
      </c>
    </row>
    <row r="1293" spans="1:13" ht="13.5" customHeight="1" x14ac:dyDescent="0.4">
      <c r="A1293" s="1">
        <v>45881</v>
      </c>
      <c r="B1293" t="s">
        <v>458</v>
      </c>
      <c r="C1293">
        <v>16.04</v>
      </c>
      <c r="D1293" s="2" t="s">
        <v>459</v>
      </c>
      <c r="E1293" t="s">
        <v>458</v>
      </c>
      <c r="F1293" t="s">
        <v>129</v>
      </c>
      <c r="G1293" s="2" t="s">
        <v>130</v>
      </c>
      <c r="H1293" t="s">
        <v>131</v>
      </c>
      <c r="I1293" t="s">
        <v>16</v>
      </c>
      <c r="J1293" t="s">
        <v>460</v>
      </c>
      <c r="K1293" t="s">
        <v>133</v>
      </c>
      <c r="L1293" t="s">
        <v>2047</v>
      </c>
      <c r="M1293">
        <f>VLOOKUP(SUBSTITUTE(J1293,"'",""),Sheet1!L:M,2,FALSE)</f>
        <v>64100</v>
      </c>
    </row>
    <row r="1294" spans="1:13" ht="13.5" customHeight="1" x14ac:dyDescent="0.4">
      <c r="A1294" s="1">
        <v>45881</v>
      </c>
      <c r="B1294" t="s">
        <v>977</v>
      </c>
      <c r="C1294">
        <v>10</v>
      </c>
      <c r="D1294" s="2" t="s">
        <v>3039</v>
      </c>
      <c r="E1294" t="s">
        <v>977</v>
      </c>
      <c r="F1294" s="2" t="s">
        <v>979</v>
      </c>
      <c r="G1294" s="2" t="s">
        <v>980</v>
      </c>
      <c r="H1294">
        <v>78259</v>
      </c>
      <c r="I1294" t="s">
        <v>16</v>
      </c>
      <c r="J1294" t="s">
        <v>3040</v>
      </c>
      <c r="K1294" t="s">
        <v>164</v>
      </c>
      <c r="L1294" t="s">
        <v>4673</v>
      </c>
      <c r="M1294">
        <f>VLOOKUP(SUBSTITUTE(J1294,"'",""),Sheet1!L:M,2,FALSE)</f>
        <v>54820</v>
      </c>
    </row>
    <row r="1295" spans="1:13" ht="13.5" customHeight="1" x14ac:dyDescent="0.4">
      <c r="A1295" s="1">
        <v>45881</v>
      </c>
      <c r="B1295" t="s">
        <v>2246</v>
      </c>
      <c r="C1295">
        <v>11.99</v>
      </c>
      <c r="D1295" s="2" t="s">
        <v>3041</v>
      </c>
      <c r="E1295" t="s">
        <v>2246</v>
      </c>
      <c r="F1295" t="s">
        <v>2248</v>
      </c>
      <c r="G1295" s="2" t="s">
        <v>2249</v>
      </c>
      <c r="H1295">
        <v>94025</v>
      </c>
      <c r="I1295" t="s">
        <v>16</v>
      </c>
      <c r="J1295" t="s">
        <v>3042</v>
      </c>
      <c r="K1295" t="s">
        <v>164</v>
      </c>
      <c r="L1295" t="s">
        <v>4673</v>
      </c>
      <c r="M1295">
        <f>VLOOKUP(SUBSTITUTE(J1295,"'",""),Sheet1!L:M,2,FALSE)</f>
        <v>54820</v>
      </c>
    </row>
    <row r="1296" spans="1:13" ht="13.5" customHeight="1" x14ac:dyDescent="0.4">
      <c r="A1296" s="1">
        <v>45882</v>
      </c>
      <c r="B1296" t="s">
        <v>3026</v>
      </c>
      <c r="C1296">
        <v>43</v>
      </c>
      <c r="D1296" s="2" t="s">
        <v>3027</v>
      </c>
      <c r="E1296" t="s">
        <v>3026</v>
      </c>
      <c r="F1296" t="s">
        <v>2248</v>
      </c>
      <c r="G1296" s="2" t="s">
        <v>2249</v>
      </c>
      <c r="H1296">
        <v>94025</v>
      </c>
      <c r="I1296" t="s">
        <v>16</v>
      </c>
      <c r="J1296" t="s">
        <v>3028</v>
      </c>
      <c r="K1296" t="s">
        <v>2335</v>
      </c>
      <c r="L1296" t="s">
        <v>4673</v>
      </c>
      <c r="M1296">
        <f>VLOOKUP(SUBSTITUTE(J1296,"'",""),Sheet1!L:M,2,FALSE)</f>
        <v>54820</v>
      </c>
    </row>
    <row r="1297" spans="1:13" ht="13.5" customHeight="1" x14ac:dyDescent="0.4">
      <c r="A1297" s="1">
        <v>45882</v>
      </c>
      <c r="B1297" t="s">
        <v>3034</v>
      </c>
      <c r="C1297">
        <v>106.99</v>
      </c>
      <c r="D1297" s="2" t="s">
        <v>3035</v>
      </c>
      <c r="E1297" t="s">
        <v>3034</v>
      </c>
      <c r="F1297" s="2" t="s">
        <v>2233</v>
      </c>
      <c r="G1297" s="2" t="s">
        <v>130</v>
      </c>
      <c r="H1297" t="s">
        <v>2234</v>
      </c>
      <c r="I1297" t="s">
        <v>16</v>
      </c>
      <c r="J1297" t="s">
        <v>3036</v>
      </c>
      <c r="K1297" t="s">
        <v>18</v>
      </c>
      <c r="L1297" t="s">
        <v>4673</v>
      </c>
      <c r="M1297">
        <f>VLOOKUP(SUBSTITUTE(J1297,"'",""),Sheet1!L:M,2,FALSE)</f>
        <v>61100</v>
      </c>
    </row>
    <row r="1298" spans="1:13" ht="13.5" customHeight="1" x14ac:dyDescent="0.4">
      <c r="A1298" s="1">
        <v>45882</v>
      </c>
      <c r="B1298" t="s">
        <v>2934</v>
      </c>
      <c r="C1298">
        <v>12.79</v>
      </c>
      <c r="D1298" s="2" t="s">
        <v>3029</v>
      </c>
      <c r="E1298" t="s">
        <v>2934</v>
      </c>
      <c r="F1298" t="s">
        <v>2936</v>
      </c>
      <c r="G1298" s="2" t="s">
        <v>41</v>
      </c>
      <c r="H1298">
        <v>10003</v>
      </c>
      <c r="I1298" t="s">
        <v>16</v>
      </c>
      <c r="J1298" t="s">
        <v>3030</v>
      </c>
      <c r="K1298" t="s">
        <v>305</v>
      </c>
      <c r="L1298" t="s">
        <v>4673</v>
      </c>
      <c r="M1298">
        <f>VLOOKUP(SUBSTITUTE(J1298,"'",""),Sheet1!L:M,2,FALSE)</f>
        <v>54820</v>
      </c>
    </row>
    <row r="1299" spans="1:13" ht="13.5" customHeight="1" x14ac:dyDescent="0.4">
      <c r="A1299" s="1">
        <v>45882</v>
      </c>
      <c r="B1299" t="s">
        <v>2240</v>
      </c>
      <c r="C1299">
        <v>24.41</v>
      </c>
      <c r="D1299" s="2" t="s">
        <v>3037</v>
      </c>
      <c r="E1299" t="s">
        <v>2240</v>
      </c>
      <c r="F1299" t="s">
        <v>2242</v>
      </c>
      <c r="G1299" s="2" t="s">
        <v>41</v>
      </c>
      <c r="H1299">
        <v>10003</v>
      </c>
      <c r="I1299" t="s">
        <v>16</v>
      </c>
      <c r="J1299" t="s">
        <v>3038</v>
      </c>
      <c r="K1299" t="s">
        <v>1218</v>
      </c>
      <c r="L1299" t="s">
        <v>4673</v>
      </c>
      <c r="M1299">
        <f>VLOOKUP(SUBSTITUTE(J1299,"'",""),Sheet1!L:M,2,FALSE)</f>
        <v>54820</v>
      </c>
    </row>
    <row r="1300" spans="1:13" ht="13.5" customHeight="1" x14ac:dyDescent="0.4">
      <c r="A1300" s="1">
        <v>45882</v>
      </c>
      <c r="B1300" t="s">
        <v>2158</v>
      </c>
      <c r="C1300">
        <v>200</v>
      </c>
      <c r="D1300" s="2" t="s">
        <v>3031</v>
      </c>
      <c r="E1300" t="s">
        <v>2158</v>
      </c>
      <c r="F1300" s="2" t="s">
        <v>3032</v>
      </c>
      <c r="G1300" s="2" t="s">
        <v>41</v>
      </c>
      <c r="H1300">
        <v>10017</v>
      </c>
      <c r="I1300" t="s">
        <v>16</v>
      </c>
      <c r="J1300" t="s">
        <v>3033</v>
      </c>
      <c r="K1300" t="s">
        <v>116</v>
      </c>
      <c r="L1300" t="s">
        <v>4673</v>
      </c>
      <c r="M1300">
        <f>VLOOKUP(SUBSTITUTE(J1300,"'",""),Sheet1!L:M,2,FALSE)</f>
        <v>54820</v>
      </c>
    </row>
    <row r="1301" spans="1:13" ht="13.5" customHeight="1" x14ac:dyDescent="0.4">
      <c r="A1301" s="1">
        <v>45883</v>
      </c>
      <c r="B1301" t="s">
        <v>453</v>
      </c>
      <c r="C1301">
        <v>241.31</v>
      </c>
      <c r="D1301" s="2" t="s">
        <v>454</v>
      </c>
      <c r="E1301" t="s">
        <v>453</v>
      </c>
      <c r="F1301" s="2" t="s">
        <v>455</v>
      </c>
      <c r="G1301" s="2" t="s">
        <v>456</v>
      </c>
      <c r="H1301">
        <v>80027</v>
      </c>
      <c r="I1301" t="s">
        <v>16</v>
      </c>
      <c r="J1301" t="s">
        <v>457</v>
      </c>
      <c r="K1301" t="s">
        <v>370</v>
      </c>
      <c r="L1301" t="s">
        <v>2047</v>
      </c>
      <c r="M1301">
        <f>VLOOKUP(SUBSTITUTE(J1301,"'",""),Sheet1!L:M,2,FALSE)</f>
        <v>64101</v>
      </c>
    </row>
    <row r="1302" spans="1:13" ht="13.5" customHeight="1" x14ac:dyDescent="0.4">
      <c r="A1302" s="1">
        <v>45883</v>
      </c>
      <c r="B1302" t="s">
        <v>3020</v>
      </c>
      <c r="C1302">
        <v>50.67</v>
      </c>
      <c r="D1302" s="2" t="s">
        <v>3021</v>
      </c>
      <c r="E1302" t="s">
        <v>3020</v>
      </c>
      <c r="F1302" t="s">
        <v>2219</v>
      </c>
      <c r="G1302" s="2" t="s">
        <v>41</v>
      </c>
      <c r="H1302">
        <v>10013</v>
      </c>
      <c r="I1302" t="s">
        <v>16</v>
      </c>
      <c r="J1302" t="s">
        <v>3022</v>
      </c>
      <c r="K1302" t="s">
        <v>321</v>
      </c>
      <c r="L1302" t="s">
        <v>4673</v>
      </c>
      <c r="M1302">
        <f>VLOOKUP(SUBSTITUTE(J1302,"'",""),Sheet1!L:M,2,FALSE)</f>
        <v>54820</v>
      </c>
    </row>
    <row r="1303" spans="1:13" ht="13.5" customHeight="1" x14ac:dyDescent="0.4">
      <c r="A1303" s="1">
        <v>45883</v>
      </c>
      <c r="B1303" t="s">
        <v>22</v>
      </c>
      <c r="C1303">
        <v>-2500</v>
      </c>
      <c r="D1303" t="s">
        <v>22</v>
      </c>
      <c r="E1303" t="s">
        <v>22</v>
      </c>
      <c r="J1303" t="s">
        <v>3023</v>
      </c>
      <c r="L1303" t="s">
        <v>4673</v>
      </c>
      <c r="M1303" t="e">
        <f>VLOOKUP(SUBSTITUTE(J1303,"'",""),Sheet1!L:M,2,FALSE)</f>
        <v>#N/A</v>
      </c>
    </row>
    <row r="1304" spans="1:13" ht="13.5" customHeight="1" x14ac:dyDescent="0.4">
      <c r="A1304" s="1">
        <v>45883</v>
      </c>
      <c r="B1304" t="s">
        <v>22</v>
      </c>
      <c r="C1304">
        <v>-2500</v>
      </c>
      <c r="D1304" t="s">
        <v>22</v>
      </c>
      <c r="E1304" t="s">
        <v>22</v>
      </c>
      <c r="J1304" t="s">
        <v>452</v>
      </c>
      <c r="L1304" t="s">
        <v>2047</v>
      </c>
      <c r="M1304" t="e">
        <f>VLOOKUP(SUBSTITUTE(J1304,"'",""),Sheet1!L:M,2,FALSE)</f>
        <v>#N/A</v>
      </c>
    </row>
    <row r="1305" spans="1:13" ht="13.5" customHeight="1" x14ac:dyDescent="0.4">
      <c r="A1305" s="1">
        <v>45883</v>
      </c>
      <c r="B1305" t="s">
        <v>134</v>
      </c>
      <c r="C1305">
        <v>-5000</v>
      </c>
      <c r="D1305" t="s">
        <v>134</v>
      </c>
      <c r="E1305" t="s">
        <v>134</v>
      </c>
      <c r="J1305" t="s">
        <v>451</v>
      </c>
      <c r="L1305" t="s">
        <v>2047</v>
      </c>
      <c r="M1305" t="e">
        <f>VLOOKUP(SUBSTITUTE(J1305,"'",""),Sheet1!L:M,2,FALSE)</f>
        <v>#N/A</v>
      </c>
    </row>
    <row r="1306" spans="1:13" ht="13.5" customHeight="1" x14ac:dyDescent="0.4">
      <c r="A1306" s="1">
        <v>45883</v>
      </c>
      <c r="B1306" t="s">
        <v>2222</v>
      </c>
      <c r="C1306">
        <v>20.18</v>
      </c>
      <c r="D1306" s="2" t="s">
        <v>3024</v>
      </c>
      <c r="E1306" t="s">
        <v>2222</v>
      </c>
      <c r="F1306" s="2" t="s">
        <v>2224</v>
      </c>
      <c r="G1306" s="2" t="s">
        <v>35</v>
      </c>
      <c r="H1306">
        <v>94103</v>
      </c>
      <c r="I1306" t="s">
        <v>16</v>
      </c>
      <c r="J1306" t="s">
        <v>3025</v>
      </c>
      <c r="K1306" t="s">
        <v>164</v>
      </c>
      <c r="L1306" t="s">
        <v>4673</v>
      </c>
      <c r="M1306">
        <f>VLOOKUP(SUBSTITUTE(J1306,"'",""),Sheet1!L:M,2,FALSE)</f>
        <v>54820</v>
      </c>
    </row>
    <row r="1307" spans="1:13" ht="13.5" customHeight="1" x14ac:dyDescent="0.4">
      <c r="A1307" s="1">
        <v>45883</v>
      </c>
      <c r="B1307" t="s">
        <v>2934</v>
      </c>
      <c r="C1307">
        <v>12.79</v>
      </c>
      <c r="D1307" s="2" t="s">
        <v>3018</v>
      </c>
      <c r="E1307" t="s">
        <v>2934</v>
      </c>
      <c r="F1307" t="s">
        <v>2936</v>
      </c>
      <c r="G1307" s="2" t="s">
        <v>41</v>
      </c>
      <c r="H1307">
        <v>10003</v>
      </c>
      <c r="I1307" t="s">
        <v>16</v>
      </c>
      <c r="J1307" t="s">
        <v>3019</v>
      </c>
      <c r="K1307" t="s">
        <v>305</v>
      </c>
      <c r="L1307" t="s">
        <v>4673</v>
      </c>
      <c r="M1307">
        <f>VLOOKUP(SUBSTITUTE(J1307,"'",""),Sheet1!L:M,2,FALSE)</f>
        <v>54820</v>
      </c>
    </row>
    <row r="1308" spans="1:13" ht="13.5" customHeight="1" x14ac:dyDescent="0.4">
      <c r="A1308" s="1">
        <v>45883</v>
      </c>
      <c r="B1308" t="s">
        <v>448</v>
      </c>
      <c r="C1308">
        <v>18.3</v>
      </c>
      <c r="D1308" s="2" t="s">
        <v>449</v>
      </c>
      <c r="E1308" t="s">
        <v>448</v>
      </c>
      <c r="F1308" t="s">
        <v>29</v>
      </c>
      <c r="G1308" t="e">
        <f>-
NY</f>
        <v>#NAME?</v>
      </c>
      <c r="H1308">
        <v>11577</v>
      </c>
      <c r="I1308" t="s">
        <v>16</v>
      </c>
      <c r="J1308" t="s">
        <v>450</v>
      </c>
      <c r="K1308" t="s">
        <v>31</v>
      </c>
      <c r="L1308" t="s">
        <v>2047</v>
      </c>
      <c r="M1308">
        <f>VLOOKUP(SUBSTITUTE(J1308,"'",""),Sheet1!L:M,2,FALSE)</f>
        <v>61131</v>
      </c>
    </row>
    <row r="1309" spans="1:13" ht="13.5" customHeight="1" x14ac:dyDescent="0.4">
      <c r="A1309" s="1">
        <v>45883</v>
      </c>
      <c r="B1309" t="s">
        <v>2142</v>
      </c>
      <c r="C1309">
        <v>35.19</v>
      </c>
      <c r="D1309" s="2" t="s">
        <v>3016</v>
      </c>
      <c r="E1309" t="s">
        <v>2142</v>
      </c>
      <c r="F1309" t="s">
        <v>2144</v>
      </c>
      <c r="G1309" s="2" t="s">
        <v>41</v>
      </c>
      <c r="H1309">
        <v>10012</v>
      </c>
      <c r="I1309" t="s">
        <v>16</v>
      </c>
      <c r="J1309" t="s">
        <v>3017</v>
      </c>
      <c r="K1309" t="s">
        <v>1304</v>
      </c>
      <c r="L1309" t="s">
        <v>4673</v>
      </c>
      <c r="M1309">
        <f>VLOOKUP(SUBSTITUTE(J1309,"'",""),Sheet1!L:M,2,FALSE)</f>
        <v>54820</v>
      </c>
    </row>
    <row r="1310" spans="1:13" ht="13.5" customHeight="1" x14ac:dyDescent="0.4">
      <c r="A1310" s="1">
        <v>45883</v>
      </c>
      <c r="B1310" t="s">
        <v>83</v>
      </c>
      <c r="C1310">
        <v>234.9</v>
      </c>
      <c r="D1310" s="2" t="s">
        <v>446</v>
      </c>
      <c r="E1310" t="s">
        <v>315</v>
      </c>
      <c r="F1310" s="2" t="s">
        <v>86</v>
      </c>
      <c r="G1310" s="2" t="s">
        <v>87</v>
      </c>
      <c r="H1310" t="s">
        <v>88</v>
      </c>
      <c r="I1310" t="s">
        <v>16</v>
      </c>
      <c r="J1310" t="s">
        <v>447</v>
      </c>
      <c r="K1310" t="s">
        <v>90</v>
      </c>
      <c r="L1310" t="s">
        <v>2047</v>
      </c>
      <c r="M1310">
        <f>VLOOKUP(SUBSTITUTE(J1310,"'",""),Sheet1!L:M,2,FALSE)</f>
        <v>65700</v>
      </c>
    </row>
    <row r="1311" spans="1:13" ht="13.5" customHeight="1" x14ac:dyDescent="0.4">
      <c r="A1311" s="1">
        <v>45883</v>
      </c>
      <c r="B1311" t="s">
        <v>2764</v>
      </c>
      <c r="C1311">
        <v>13.48</v>
      </c>
      <c r="D1311" s="2" t="s">
        <v>3014</v>
      </c>
      <c r="E1311" t="s">
        <v>2764</v>
      </c>
      <c r="F1311" t="s">
        <v>2766</v>
      </c>
      <c r="G1311" s="2" t="s">
        <v>41</v>
      </c>
      <c r="H1311">
        <v>10011</v>
      </c>
      <c r="I1311" t="s">
        <v>16</v>
      </c>
      <c r="J1311" t="s">
        <v>3015</v>
      </c>
      <c r="K1311" t="s">
        <v>305</v>
      </c>
      <c r="L1311" t="s">
        <v>4673</v>
      </c>
      <c r="M1311">
        <f>VLOOKUP(SUBSTITUTE(J1311,"'",""),Sheet1!L:M,2,FALSE)</f>
        <v>54820</v>
      </c>
    </row>
    <row r="1312" spans="1:13" ht="13.5" customHeight="1" x14ac:dyDescent="0.4">
      <c r="A1312" s="1">
        <v>45884</v>
      </c>
      <c r="B1312" t="s">
        <v>2425</v>
      </c>
      <c r="C1312">
        <v>310</v>
      </c>
      <c r="D1312" s="2" t="s">
        <v>2981</v>
      </c>
      <c r="E1312" t="s">
        <v>2425</v>
      </c>
      <c r="F1312" s="2" t="s">
        <v>2427</v>
      </c>
      <c r="G1312" s="2" t="s">
        <v>41</v>
      </c>
      <c r="H1312">
        <v>10012</v>
      </c>
      <c r="I1312" t="s">
        <v>16</v>
      </c>
      <c r="J1312" t="s">
        <v>2982</v>
      </c>
      <c r="K1312" t="s">
        <v>2114</v>
      </c>
      <c r="L1312" t="s">
        <v>4673</v>
      </c>
      <c r="M1312">
        <f>VLOOKUP(SUBSTITUTE(J1312,"'",""),Sheet1!L:M,2,FALSE)</f>
        <v>54820</v>
      </c>
    </row>
    <row r="1313" spans="1:13" ht="13.5" customHeight="1" x14ac:dyDescent="0.4">
      <c r="A1313" s="1">
        <v>45884</v>
      </c>
      <c r="B1313" t="s">
        <v>2677</v>
      </c>
      <c r="C1313">
        <v>9.17</v>
      </c>
      <c r="D1313" s="2" t="s">
        <v>2991</v>
      </c>
      <c r="E1313" t="s">
        <v>2677</v>
      </c>
      <c r="F1313" t="s">
        <v>2679</v>
      </c>
      <c r="G1313" s="2" t="s">
        <v>41</v>
      </c>
      <c r="H1313" t="s">
        <v>2680</v>
      </c>
      <c r="I1313" t="s">
        <v>16</v>
      </c>
      <c r="J1313" t="s">
        <v>2992</v>
      </c>
      <c r="K1313" t="s">
        <v>305</v>
      </c>
      <c r="L1313" t="s">
        <v>4673</v>
      </c>
      <c r="M1313">
        <f>VLOOKUP(SUBSTITUTE(J1313,"'",""),Sheet1!L:M,2,FALSE)</f>
        <v>54820</v>
      </c>
    </row>
    <row r="1314" spans="1:13" ht="13.5" customHeight="1" x14ac:dyDescent="0.4">
      <c r="A1314" s="1">
        <v>45884</v>
      </c>
      <c r="B1314" t="s">
        <v>2181</v>
      </c>
      <c r="C1314">
        <v>7.48</v>
      </c>
      <c r="D1314" s="2" t="s">
        <v>2983</v>
      </c>
      <c r="E1314" t="s">
        <v>2181</v>
      </c>
      <c r="F1314" s="2" t="s">
        <v>2183</v>
      </c>
      <c r="G1314" s="2" t="s">
        <v>1376</v>
      </c>
      <c r="H1314" t="s">
        <v>2184</v>
      </c>
      <c r="I1314" t="s">
        <v>16</v>
      </c>
      <c r="J1314" t="s">
        <v>2984</v>
      </c>
      <c r="K1314" t="s">
        <v>18</v>
      </c>
      <c r="L1314" t="s">
        <v>4673</v>
      </c>
      <c r="M1314">
        <f>VLOOKUP(SUBSTITUTE(J1314,"'",""),Sheet1!L:M,2,FALSE)</f>
        <v>54820</v>
      </c>
    </row>
    <row r="1315" spans="1:13" ht="13.5" customHeight="1" x14ac:dyDescent="0.4">
      <c r="A1315" s="1">
        <v>45884</v>
      </c>
      <c r="B1315" t="s">
        <v>478</v>
      </c>
      <c r="C1315">
        <v>49.05</v>
      </c>
      <c r="D1315" s="2" t="s">
        <v>3006</v>
      </c>
      <c r="E1315" t="s">
        <v>480</v>
      </c>
      <c r="F1315" s="2" t="s">
        <v>481</v>
      </c>
      <c r="G1315" s="2" t="s">
        <v>35</v>
      </c>
      <c r="H1315">
        <v>94103</v>
      </c>
      <c r="I1315" t="s">
        <v>16</v>
      </c>
      <c r="J1315" t="s">
        <v>3007</v>
      </c>
      <c r="K1315" t="s">
        <v>483</v>
      </c>
      <c r="L1315" t="s">
        <v>4673</v>
      </c>
      <c r="M1315">
        <f>VLOOKUP(SUBSTITUTE(J1315,"'",""),Sheet1!L:M,2,FALSE)</f>
        <v>61130</v>
      </c>
    </row>
    <row r="1316" spans="1:13" ht="13.5" customHeight="1" x14ac:dyDescent="0.4">
      <c r="A1316" s="1">
        <v>45884</v>
      </c>
      <c r="B1316" t="s">
        <v>2993</v>
      </c>
      <c r="C1316">
        <v>139.80000000000001</v>
      </c>
      <c r="D1316" s="2" t="s">
        <v>2994</v>
      </c>
      <c r="E1316" t="s">
        <v>2993</v>
      </c>
      <c r="F1316" t="s">
        <v>2995</v>
      </c>
      <c r="G1316" s="2" t="s">
        <v>41</v>
      </c>
      <c r="H1316">
        <v>10036</v>
      </c>
      <c r="I1316" t="s">
        <v>16</v>
      </c>
      <c r="J1316" t="s">
        <v>2996</v>
      </c>
      <c r="K1316" t="s">
        <v>126</v>
      </c>
      <c r="L1316" t="s">
        <v>4673</v>
      </c>
      <c r="M1316">
        <f>VLOOKUP(SUBSTITUTE(J1316,"'",""),Sheet1!L:M,2,FALSE)</f>
        <v>61215</v>
      </c>
    </row>
    <row r="1317" spans="1:13" ht="13.5" customHeight="1" x14ac:dyDescent="0.4">
      <c r="A1317" s="1">
        <v>45884</v>
      </c>
      <c r="B1317" t="s">
        <v>478</v>
      </c>
      <c r="C1317">
        <v>49.7</v>
      </c>
      <c r="D1317" s="2" t="s">
        <v>3008</v>
      </c>
      <c r="E1317" t="s">
        <v>480</v>
      </c>
      <c r="F1317" s="2" t="s">
        <v>481</v>
      </c>
      <c r="G1317" s="2" t="s">
        <v>35</v>
      </c>
      <c r="H1317">
        <v>94103</v>
      </c>
      <c r="I1317" t="s">
        <v>16</v>
      </c>
      <c r="J1317" t="s">
        <v>3009</v>
      </c>
      <c r="K1317" t="s">
        <v>483</v>
      </c>
      <c r="L1317" t="s">
        <v>4673</v>
      </c>
      <c r="M1317">
        <f>VLOOKUP(SUBSTITUTE(J1317,"'",""),Sheet1!L:M,2,FALSE)</f>
        <v>61130</v>
      </c>
    </row>
    <row r="1318" spans="1:13" ht="13.5" customHeight="1" x14ac:dyDescent="0.4">
      <c r="A1318" s="1">
        <v>45884</v>
      </c>
      <c r="B1318" t="s">
        <v>478</v>
      </c>
      <c r="C1318">
        <v>44.42</v>
      </c>
      <c r="D1318" s="2" t="s">
        <v>3004</v>
      </c>
      <c r="E1318" t="s">
        <v>480</v>
      </c>
      <c r="F1318" s="2" t="s">
        <v>481</v>
      </c>
      <c r="G1318" s="2" t="s">
        <v>35</v>
      </c>
      <c r="H1318">
        <v>94103</v>
      </c>
      <c r="I1318" t="s">
        <v>16</v>
      </c>
      <c r="J1318" t="s">
        <v>3005</v>
      </c>
      <c r="K1318" t="s">
        <v>483</v>
      </c>
      <c r="L1318" t="s">
        <v>4673</v>
      </c>
      <c r="M1318">
        <f>VLOOKUP(SUBSTITUTE(J1318,"'",""),Sheet1!L:M,2,FALSE)</f>
        <v>61130</v>
      </c>
    </row>
    <row r="1319" spans="1:13" ht="13.5" customHeight="1" x14ac:dyDescent="0.4">
      <c r="A1319" s="1">
        <v>45884</v>
      </c>
      <c r="B1319" t="s">
        <v>478</v>
      </c>
      <c r="C1319">
        <v>115.41</v>
      </c>
      <c r="D1319" s="2" t="s">
        <v>3012</v>
      </c>
      <c r="E1319" t="s">
        <v>480</v>
      </c>
      <c r="F1319" s="2" t="s">
        <v>481</v>
      </c>
      <c r="G1319" s="2" t="s">
        <v>35</v>
      </c>
      <c r="H1319">
        <v>94103</v>
      </c>
      <c r="I1319" t="s">
        <v>16</v>
      </c>
      <c r="J1319" t="s">
        <v>3013</v>
      </c>
      <c r="K1319" t="s">
        <v>483</v>
      </c>
      <c r="L1319" t="s">
        <v>4673</v>
      </c>
      <c r="M1319">
        <f>VLOOKUP(SUBSTITUTE(J1319,"'",""),Sheet1!L:M,2,FALSE)</f>
        <v>61130</v>
      </c>
    </row>
    <row r="1320" spans="1:13" ht="13.5" customHeight="1" x14ac:dyDescent="0.4">
      <c r="A1320" s="1">
        <v>45884</v>
      </c>
      <c r="B1320" t="s">
        <v>478</v>
      </c>
      <c r="C1320">
        <v>30.52</v>
      </c>
      <c r="D1320" s="2" t="s">
        <v>3002</v>
      </c>
      <c r="E1320" t="s">
        <v>480</v>
      </c>
      <c r="F1320" s="2" t="s">
        <v>481</v>
      </c>
      <c r="G1320" s="2" t="s">
        <v>35</v>
      </c>
      <c r="H1320">
        <v>94103</v>
      </c>
      <c r="I1320" t="s">
        <v>16</v>
      </c>
      <c r="J1320" t="s">
        <v>3003</v>
      </c>
      <c r="K1320" t="s">
        <v>483</v>
      </c>
      <c r="L1320" t="s">
        <v>4673</v>
      </c>
      <c r="M1320">
        <f>VLOOKUP(SUBSTITUTE(J1320,"'",""),Sheet1!L:M,2,FALSE)</f>
        <v>61130</v>
      </c>
    </row>
    <row r="1321" spans="1:13" ht="13.5" customHeight="1" x14ac:dyDescent="0.4">
      <c r="A1321" s="1">
        <v>45884</v>
      </c>
      <c r="B1321" t="s">
        <v>478</v>
      </c>
      <c r="C1321">
        <v>71.2</v>
      </c>
      <c r="D1321" s="2" t="s">
        <v>3010</v>
      </c>
      <c r="E1321" t="s">
        <v>480</v>
      </c>
      <c r="F1321" s="2" t="s">
        <v>481</v>
      </c>
      <c r="G1321" s="2" t="s">
        <v>35</v>
      </c>
      <c r="H1321">
        <v>94103</v>
      </c>
      <c r="I1321" t="s">
        <v>16</v>
      </c>
      <c r="J1321" t="s">
        <v>3011</v>
      </c>
      <c r="K1321" t="s">
        <v>483</v>
      </c>
      <c r="L1321" t="s">
        <v>4673</v>
      </c>
      <c r="M1321">
        <f>VLOOKUP(SUBSTITUTE(J1321,"'",""),Sheet1!L:M,2,FALSE)</f>
        <v>61130</v>
      </c>
    </row>
    <row r="1322" spans="1:13" ht="13.5" customHeight="1" x14ac:dyDescent="0.4">
      <c r="A1322" s="1">
        <v>45884</v>
      </c>
      <c r="B1322" t="s">
        <v>2997</v>
      </c>
      <c r="C1322">
        <v>119.35</v>
      </c>
      <c r="D1322" s="2" t="s">
        <v>2998</v>
      </c>
      <c r="E1322" t="s">
        <v>2997</v>
      </c>
      <c r="F1322" t="s">
        <v>2999</v>
      </c>
      <c r="G1322" s="2" t="s">
        <v>3000</v>
      </c>
      <c r="H1322">
        <v>90048</v>
      </c>
      <c r="I1322" t="s">
        <v>16</v>
      </c>
      <c r="J1322" t="s">
        <v>3001</v>
      </c>
      <c r="K1322" t="s">
        <v>2114</v>
      </c>
      <c r="L1322" t="s">
        <v>4673</v>
      </c>
      <c r="M1322">
        <f>VLOOKUP(SUBSTITUTE(J1322,"'",""),Sheet1!L:M,2,FALSE)</f>
        <v>54820</v>
      </c>
    </row>
    <row r="1323" spans="1:13" ht="13.5" customHeight="1" x14ac:dyDescent="0.4">
      <c r="A1323" s="1">
        <v>45884</v>
      </c>
      <c r="B1323" t="s">
        <v>440</v>
      </c>
      <c r="C1323">
        <v>1268.77</v>
      </c>
      <c r="D1323" s="2" t="s">
        <v>441</v>
      </c>
      <c r="E1323" t="s">
        <v>440</v>
      </c>
      <c r="F1323" t="s">
        <v>442</v>
      </c>
      <c r="G1323" s="2" t="s">
        <v>443</v>
      </c>
      <c r="H1323" t="s">
        <v>444</v>
      </c>
      <c r="I1323" t="s">
        <v>16</v>
      </c>
      <c r="J1323" t="s">
        <v>445</v>
      </c>
      <c r="K1323" t="s">
        <v>126</v>
      </c>
      <c r="L1323" t="s">
        <v>2047</v>
      </c>
      <c r="M1323">
        <f>VLOOKUP(SUBSTITUTE(J1323,"'",""),Sheet1!L:M,2,FALSE)</f>
        <v>61215</v>
      </c>
    </row>
    <row r="1324" spans="1:13" ht="13.5" customHeight="1" x14ac:dyDescent="0.4">
      <c r="A1324" s="1">
        <v>45884</v>
      </c>
      <c r="B1324" t="s">
        <v>2985</v>
      </c>
      <c r="C1324">
        <v>95.42</v>
      </c>
      <c r="D1324" s="2" t="s">
        <v>2986</v>
      </c>
      <c r="E1324" t="s">
        <v>2985</v>
      </c>
      <c r="F1324" t="s">
        <v>2987</v>
      </c>
      <c r="G1324" s="2" t="s">
        <v>41</v>
      </c>
      <c r="H1324">
        <v>10012</v>
      </c>
      <c r="I1324" t="s">
        <v>16</v>
      </c>
      <c r="J1324" t="s">
        <v>2988</v>
      </c>
      <c r="K1324" t="s">
        <v>2114</v>
      </c>
      <c r="L1324" t="s">
        <v>4673</v>
      </c>
      <c r="M1324">
        <f>VLOOKUP(SUBSTITUTE(J1324,"'",""),Sheet1!L:M,2,FALSE)</f>
        <v>54820</v>
      </c>
    </row>
    <row r="1325" spans="1:13" ht="13.5" customHeight="1" x14ac:dyDescent="0.4">
      <c r="A1325" s="1">
        <v>45884</v>
      </c>
      <c r="B1325" t="s">
        <v>437</v>
      </c>
      <c r="C1325">
        <v>10</v>
      </c>
      <c r="D1325" s="2" t="s">
        <v>438</v>
      </c>
      <c r="E1325" t="s">
        <v>437</v>
      </c>
      <c r="F1325" s="2" t="s">
        <v>80</v>
      </c>
      <c r="H1325">
        <v>2150</v>
      </c>
      <c r="I1325" t="s">
        <v>81</v>
      </c>
      <c r="J1325" t="s">
        <v>439</v>
      </c>
      <c r="K1325" t="s">
        <v>37</v>
      </c>
      <c r="L1325" t="s">
        <v>2047</v>
      </c>
      <c r="M1325">
        <f>VLOOKUP(SUBSTITUTE(J1325,"'",""),Sheet1!L:M,2,FALSE)</f>
        <v>64100</v>
      </c>
    </row>
    <row r="1326" spans="1:13" ht="13.5" customHeight="1" x14ac:dyDescent="0.4">
      <c r="A1326" s="1">
        <v>45884</v>
      </c>
      <c r="B1326" t="s">
        <v>977</v>
      </c>
      <c r="C1326">
        <v>20</v>
      </c>
      <c r="D1326" s="2" t="s">
        <v>2989</v>
      </c>
      <c r="E1326" t="s">
        <v>977</v>
      </c>
      <c r="F1326" s="2" t="s">
        <v>979</v>
      </c>
      <c r="G1326" s="2" t="s">
        <v>980</v>
      </c>
      <c r="H1326">
        <v>78259</v>
      </c>
      <c r="I1326" t="s">
        <v>16</v>
      </c>
      <c r="J1326" t="s">
        <v>2990</v>
      </c>
      <c r="K1326" t="s">
        <v>164</v>
      </c>
      <c r="L1326" t="s">
        <v>4673</v>
      </c>
      <c r="M1326">
        <f>VLOOKUP(SUBSTITUTE(J1326,"'",""),Sheet1!L:M,2,FALSE)</f>
        <v>54820</v>
      </c>
    </row>
    <row r="1327" spans="1:13" ht="13.5" customHeight="1" x14ac:dyDescent="0.4">
      <c r="A1327" s="1">
        <v>45885</v>
      </c>
      <c r="B1327" t="s">
        <v>478</v>
      </c>
      <c r="C1327">
        <v>62.37</v>
      </c>
      <c r="D1327" s="2" t="s">
        <v>2977</v>
      </c>
      <c r="E1327" t="s">
        <v>480</v>
      </c>
      <c r="F1327" s="2" t="s">
        <v>481</v>
      </c>
      <c r="G1327" s="2" t="s">
        <v>35</v>
      </c>
      <c r="H1327">
        <v>94103</v>
      </c>
      <c r="I1327" t="s">
        <v>16</v>
      </c>
      <c r="J1327" t="s">
        <v>2978</v>
      </c>
      <c r="K1327" t="s">
        <v>483</v>
      </c>
      <c r="L1327" t="s">
        <v>4673</v>
      </c>
      <c r="M1327">
        <f>VLOOKUP(SUBSTITUTE(J1327,"'",""),Sheet1!L:M,2,FALSE)</f>
        <v>61130</v>
      </c>
    </row>
    <row r="1328" spans="1:13" ht="13.5" customHeight="1" x14ac:dyDescent="0.4">
      <c r="A1328" s="1">
        <v>45885</v>
      </c>
      <c r="B1328" t="s">
        <v>478</v>
      </c>
      <c r="C1328">
        <v>28.22</v>
      </c>
      <c r="D1328" s="2" t="s">
        <v>2969</v>
      </c>
      <c r="E1328" t="s">
        <v>480</v>
      </c>
      <c r="F1328" s="2" t="s">
        <v>481</v>
      </c>
      <c r="G1328" s="2" t="s">
        <v>35</v>
      </c>
      <c r="H1328">
        <v>94103</v>
      </c>
      <c r="I1328" t="s">
        <v>16</v>
      </c>
      <c r="J1328" t="s">
        <v>2970</v>
      </c>
      <c r="K1328" t="s">
        <v>483</v>
      </c>
      <c r="L1328" t="s">
        <v>4673</v>
      </c>
      <c r="M1328">
        <f>VLOOKUP(SUBSTITUTE(J1328,"'",""),Sheet1!L:M,2,FALSE)</f>
        <v>61130</v>
      </c>
    </row>
    <row r="1329" spans="1:13" ht="13.5" customHeight="1" x14ac:dyDescent="0.4">
      <c r="A1329" s="1">
        <v>45885</v>
      </c>
      <c r="B1329" t="s">
        <v>478</v>
      </c>
      <c r="C1329">
        <v>42.04</v>
      </c>
      <c r="D1329" s="2" t="s">
        <v>2973</v>
      </c>
      <c r="E1329" t="s">
        <v>480</v>
      </c>
      <c r="F1329" s="2" t="s">
        <v>481</v>
      </c>
      <c r="G1329" s="2" t="s">
        <v>35</v>
      </c>
      <c r="H1329">
        <v>94103</v>
      </c>
      <c r="I1329" t="s">
        <v>16</v>
      </c>
      <c r="J1329" t="s">
        <v>2974</v>
      </c>
      <c r="K1329" t="s">
        <v>483</v>
      </c>
      <c r="L1329" t="s">
        <v>4673</v>
      </c>
      <c r="M1329">
        <f>VLOOKUP(SUBSTITUTE(J1329,"'",""),Sheet1!L:M,2,FALSE)</f>
        <v>61130</v>
      </c>
    </row>
    <row r="1330" spans="1:13" ht="13.5" customHeight="1" x14ac:dyDescent="0.4">
      <c r="A1330" s="1">
        <v>45885</v>
      </c>
      <c r="B1330" t="s">
        <v>2954</v>
      </c>
      <c r="C1330">
        <v>73.53</v>
      </c>
      <c r="D1330" s="2" t="s">
        <v>2955</v>
      </c>
      <c r="E1330" t="s">
        <v>2954</v>
      </c>
      <c r="F1330" t="s">
        <v>2956</v>
      </c>
      <c r="G1330" s="2" t="s">
        <v>2957</v>
      </c>
      <c r="H1330" t="s">
        <v>2958</v>
      </c>
      <c r="I1330" t="s">
        <v>16</v>
      </c>
      <c r="J1330" t="s">
        <v>2959</v>
      </c>
      <c r="K1330" t="s">
        <v>2114</v>
      </c>
      <c r="L1330" t="s">
        <v>4673</v>
      </c>
      <c r="M1330">
        <f>VLOOKUP(SUBSTITUTE(J1330,"'",""),Sheet1!L:M,2,FALSE)</f>
        <v>54820</v>
      </c>
    </row>
    <row r="1331" spans="1:13" ht="13.5" customHeight="1" x14ac:dyDescent="0.4">
      <c r="A1331" s="1">
        <v>45885</v>
      </c>
      <c r="B1331" t="s">
        <v>2125</v>
      </c>
      <c r="C1331">
        <v>27.99</v>
      </c>
      <c r="D1331" s="2" t="s">
        <v>2967</v>
      </c>
      <c r="E1331" t="s">
        <v>2125</v>
      </c>
      <c r="F1331" t="s">
        <v>2127</v>
      </c>
      <c r="G1331" s="2" t="s">
        <v>41</v>
      </c>
      <c r="H1331">
        <v>10003</v>
      </c>
      <c r="I1331" t="s">
        <v>16</v>
      </c>
      <c r="J1331" t="s">
        <v>2968</v>
      </c>
      <c r="K1331" t="s">
        <v>37</v>
      </c>
      <c r="L1331" t="s">
        <v>4673</v>
      </c>
      <c r="M1331">
        <f>VLOOKUP(SUBSTITUTE(J1331,"'",""),Sheet1!L:M,2,FALSE)</f>
        <v>54820</v>
      </c>
    </row>
    <row r="1332" spans="1:13" ht="13.5" customHeight="1" x14ac:dyDescent="0.4">
      <c r="A1332" s="1">
        <v>45885</v>
      </c>
      <c r="B1332" t="s">
        <v>478</v>
      </c>
      <c r="C1332">
        <v>83.2</v>
      </c>
      <c r="D1332" s="2" t="s">
        <v>2979</v>
      </c>
      <c r="E1332" t="s">
        <v>480</v>
      </c>
      <c r="F1332" s="2" t="s">
        <v>481</v>
      </c>
      <c r="G1332" s="2" t="s">
        <v>35</v>
      </c>
      <c r="H1332">
        <v>94103</v>
      </c>
      <c r="I1332" t="s">
        <v>16</v>
      </c>
      <c r="J1332" t="s">
        <v>2980</v>
      </c>
      <c r="K1332" t="s">
        <v>483</v>
      </c>
      <c r="L1332" t="s">
        <v>4673</v>
      </c>
      <c r="M1332">
        <f>VLOOKUP(SUBSTITUTE(J1332,"'",""),Sheet1!L:M,2,FALSE)</f>
        <v>61130</v>
      </c>
    </row>
    <row r="1333" spans="1:13" ht="13.5" customHeight="1" x14ac:dyDescent="0.4">
      <c r="A1333" s="1">
        <v>45885</v>
      </c>
      <c r="B1333" t="s">
        <v>478</v>
      </c>
      <c r="C1333">
        <v>41.24</v>
      </c>
      <c r="D1333" s="2" t="s">
        <v>2971</v>
      </c>
      <c r="E1333" t="s">
        <v>480</v>
      </c>
      <c r="F1333" s="2" t="s">
        <v>481</v>
      </c>
      <c r="G1333" s="2" t="s">
        <v>35</v>
      </c>
      <c r="H1333">
        <v>94103</v>
      </c>
      <c r="I1333" t="s">
        <v>16</v>
      </c>
      <c r="J1333" t="s">
        <v>2972</v>
      </c>
      <c r="K1333" t="s">
        <v>483</v>
      </c>
      <c r="L1333" t="s">
        <v>4673</v>
      </c>
      <c r="M1333">
        <f>VLOOKUP(SUBSTITUTE(J1333,"'",""),Sheet1!L:M,2,FALSE)</f>
        <v>61130</v>
      </c>
    </row>
    <row r="1334" spans="1:13" ht="13.5" customHeight="1" x14ac:dyDescent="0.4">
      <c r="A1334" s="1">
        <v>45885</v>
      </c>
      <c r="B1334" t="s">
        <v>2960</v>
      </c>
      <c r="C1334">
        <v>81.19</v>
      </c>
      <c r="D1334" s="2" t="s">
        <v>2961</v>
      </c>
      <c r="E1334" t="s">
        <v>2960</v>
      </c>
      <c r="F1334" s="2" t="s">
        <v>2962</v>
      </c>
      <c r="G1334" s="2" t="s">
        <v>2963</v>
      </c>
      <c r="H1334" t="s">
        <v>2964</v>
      </c>
      <c r="I1334" t="s">
        <v>16</v>
      </c>
      <c r="J1334" t="s">
        <v>2965</v>
      </c>
      <c r="K1334" t="s">
        <v>2966</v>
      </c>
      <c r="L1334" t="s">
        <v>4673</v>
      </c>
      <c r="M1334">
        <f>VLOOKUP(SUBSTITUTE(J1334,"'",""),Sheet1!L:M,2,FALSE)</f>
        <v>54820</v>
      </c>
    </row>
    <row r="1335" spans="1:13" ht="13.5" customHeight="1" x14ac:dyDescent="0.4">
      <c r="A1335" s="1">
        <v>45885</v>
      </c>
      <c r="B1335" t="s">
        <v>478</v>
      </c>
      <c r="C1335">
        <v>54.98</v>
      </c>
      <c r="D1335" s="2" t="s">
        <v>2975</v>
      </c>
      <c r="E1335" t="s">
        <v>480</v>
      </c>
      <c r="F1335" s="2" t="s">
        <v>481</v>
      </c>
      <c r="G1335" s="2" t="s">
        <v>35</v>
      </c>
      <c r="H1335">
        <v>94103</v>
      </c>
      <c r="I1335" t="s">
        <v>16</v>
      </c>
      <c r="J1335" t="s">
        <v>2976</v>
      </c>
      <c r="K1335" t="s">
        <v>483</v>
      </c>
      <c r="L1335" t="s">
        <v>4673</v>
      </c>
      <c r="M1335">
        <f>VLOOKUP(SUBSTITUTE(J1335,"'",""),Sheet1!L:M,2,FALSE)</f>
        <v>61130</v>
      </c>
    </row>
    <row r="1336" spans="1:13" ht="13.5" customHeight="1" x14ac:dyDescent="0.4">
      <c r="A1336" s="1">
        <v>45886</v>
      </c>
      <c r="B1336" t="s">
        <v>22</v>
      </c>
      <c r="C1336">
        <v>-5000</v>
      </c>
      <c r="D1336" t="s">
        <v>22</v>
      </c>
      <c r="E1336" t="s">
        <v>22</v>
      </c>
      <c r="J1336" t="s">
        <v>436</v>
      </c>
      <c r="L1336" t="s">
        <v>2047</v>
      </c>
      <c r="M1336" t="e">
        <f>VLOOKUP(SUBSTITUTE(J1336,"'",""),Sheet1!L:M,2,FALSE)</f>
        <v>#N/A</v>
      </c>
    </row>
    <row r="1337" spans="1:13" ht="13.5" customHeight="1" x14ac:dyDescent="0.4">
      <c r="A1337" s="1">
        <v>45886</v>
      </c>
      <c r="B1337" t="s">
        <v>478</v>
      </c>
      <c r="C1337">
        <v>26.89</v>
      </c>
      <c r="D1337" s="2" t="s">
        <v>2950</v>
      </c>
      <c r="E1337" t="s">
        <v>480</v>
      </c>
      <c r="F1337" s="2" t="s">
        <v>481</v>
      </c>
      <c r="G1337" s="2" t="s">
        <v>35</v>
      </c>
      <c r="H1337">
        <v>94103</v>
      </c>
      <c r="I1337" t="s">
        <v>16</v>
      </c>
      <c r="J1337" t="s">
        <v>2951</v>
      </c>
      <c r="K1337" t="s">
        <v>483</v>
      </c>
      <c r="L1337" t="s">
        <v>4673</v>
      </c>
      <c r="M1337">
        <f>VLOOKUP(SUBSTITUTE(J1337,"'",""),Sheet1!L:M,2,FALSE)</f>
        <v>61130</v>
      </c>
    </row>
    <row r="1338" spans="1:13" ht="13.5" customHeight="1" x14ac:dyDescent="0.4">
      <c r="A1338" s="1">
        <v>45886</v>
      </c>
      <c r="B1338" t="s">
        <v>2592</v>
      </c>
      <c r="C1338">
        <v>17.25</v>
      </c>
      <c r="D1338" s="2" t="s">
        <v>2948</v>
      </c>
      <c r="E1338" t="s">
        <v>2592</v>
      </c>
      <c r="F1338" t="s">
        <v>2594</v>
      </c>
      <c r="G1338" s="2" t="s">
        <v>41</v>
      </c>
      <c r="H1338">
        <v>10012</v>
      </c>
      <c r="I1338" t="s">
        <v>16</v>
      </c>
      <c r="J1338" t="s">
        <v>2949</v>
      </c>
      <c r="K1338" t="s">
        <v>1218</v>
      </c>
      <c r="L1338" t="s">
        <v>4673</v>
      </c>
      <c r="M1338">
        <f>VLOOKUP(SUBSTITUTE(J1338,"'",""),Sheet1!L:M,2,FALSE)</f>
        <v>54820</v>
      </c>
    </row>
    <row r="1339" spans="1:13" ht="13.5" customHeight="1" x14ac:dyDescent="0.4">
      <c r="A1339" s="1">
        <v>45886</v>
      </c>
      <c r="B1339" t="s">
        <v>2934</v>
      </c>
      <c r="C1339">
        <v>12.79</v>
      </c>
      <c r="D1339" s="2" t="s">
        <v>2946</v>
      </c>
      <c r="E1339" t="s">
        <v>2934</v>
      </c>
      <c r="F1339" t="s">
        <v>2936</v>
      </c>
      <c r="G1339" s="2" t="s">
        <v>41</v>
      </c>
      <c r="H1339">
        <v>10003</v>
      </c>
      <c r="I1339" t="s">
        <v>16</v>
      </c>
      <c r="J1339" t="s">
        <v>2947</v>
      </c>
      <c r="K1339" t="s">
        <v>305</v>
      </c>
      <c r="L1339" t="s">
        <v>4673</v>
      </c>
      <c r="M1339">
        <f>VLOOKUP(SUBSTITUTE(J1339,"'",""),Sheet1!L:M,2,FALSE)</f>
        <v>54820</v>
      </c>
    </row>
    <row r="1340" spans="1:13" ht="13.5" customHeight="1" x14ac:dyDescent="0.4">
      <c r="A1340" s="1">
        <v>45886</v>
      </c>
      <c r="B1340" t="s">
        <v>2240</v>
      </c>
      <c r="C1340">
        <v>36.29</v>
      </c>
      <c r="D1340" s="2" t="s">
        <v>2952</v>
      </c>
      <c r="E1340" t="s">
        <v>2240</v>
      </c>
      <c r="F1340" t="s">
        <v>2242</v>
      </c>
      <c r="G1340" s="2" t="s">
        <v>41</v>
      </c>
      <c r="H1340">
        <v>10003</v>
      </c>
      <c r="I1340" t="s">
        <v>16</v>
      </c>
      <c r="J1340" t="s">
        <v>2953</v>
      </c>
      <c r="K1340" t="s">
        <v>1218</v>
      </c>
      <c r="L1340" t="s">
        <v>4673</v>
      </c>
      <c r="M1340">
        <f>VLOOKUP(SUBSTITUTE(J1340,"'",""),Sheet1!L:M,2,FALSE)</f>
        <v>54820</v>
      </c>
    </row>
    <row r="1341" spans="1:13" ht="13.5" customHeight="1" x14ac:dyDescent="0.4">
      <c r="A1341" s="1">
        <v>45886</v>
      </c>
      <c r="B1341" t="s">
        <v>427</v>
      </c>
      <c r="C1341">
        <v>1000</v>
      </c>
      <c r="D1341" s="2" t="s">
        <v>434</v>
      </c>
      <c r="E1341" t="s">
        <v>427</v>
      </c>
      <c r="F1341" t="s">
        <v>429</v>
      </c>
      <c r="G1341" s="2" t="s">
        <v>430</v>
      </c>
      <c r="H1341" s="3" t="s">
        <v>431</v>
      </c>
      <c r="I1341" t="s">
        <v>16</v>
      </c>
      <c r="J1341" t="s">
        <v>435</v>
      </c>
      <c r="K1341" t="s">
        <v>433</v>
      </c>
      <c r="L1341" t="s">
        <v>2047</v>
      </c>
      <c r="M1341">
        <f>VLOOKUP(SUBSTITUTE(J1341,"'",""),Sheet1!L:M,2,FALSE)</f>
        <v>65505</v>
      </c>
    </row>
    <row r="1342" spans="1:13" ht="13.5" customHeight="1" x14ac:dyDescent="0.4">
      <c r="A1342" s="1">
        <v>45886</v>
      </c>
      <c r="B1342" t="s">
        <v>427</v>
      </c>
      <c r="C1342">
        <v>100</v>
      </c>
      <c r="D1342" s="2" t="s">
        <v>428</v>
      </c>
      <c r="E1342" t="s">
        <v>427</v>
      </c>
      <c r="F1342" t="s">
        <v>429</v>
      </c>
      <c r="G1342" s="2" t="s">
        <v>430</v>
      </c>
      <c r="H1342" s="3" t="s">
        <v>431</v>
      </c>
      <c r="I1342" t="s">
        <v>16</v>
      </c>
      <c r="J1342" t="s">
        <v>432</v>
      </c>
      <c r="K1342" t="s">
        <v>433</v>
      </c>
      <c r="L1342" t="s">
        <v>2047</v>
      </c>
      <c r="M1342">
        <f>VLOOKUP(SUBSTITUTE(J1342,"'",""),Sheet1!L:M,2,FALSE)</f>
        <v>65505</v>
      </c>
    </row>
    <row r="1343" spans="1:13" ht="13.5" customHeight="1" x14ac:dyDescent="0.4">
      <c r="A1343" s="1">
        <v>45887</v>
      </c>
      <c r="B1343" t="s">
        <v>2291</v>
      </c>
      <c r="C1343">
        <v>219.06</v>
      </c>
      <c r="D1343" s="2" t="s">
        <v>2942</v>
      </c>
      <c r="E1343" t="s">
        <v>2291</v>
      </c>
      <c r="F1343" s="2" t="s">
        <v>2206</v>
      </c>
      <c r="G1343" s="2" t="s">
        <v>491</v>
      </c>
      <c r="H1343">
        <v>60602</v>
      </c>
      <c r="I1343" t="s">
        <v>16</v>
      </c>
      <c r="J1343" t="s">
        <v>2943</v>
      </c>
      <c r="K1343" t="s">
        <v>126</v>
      </c>
      <c r="L1343" t="s">
        <v>4673</v>
      </c>
      <c r="M1343">
        <f>VLOOKUP(SUBSTITUTE(J1343,"'",""),Sheet1!L:M,2,FALSE)</f>
        <v>54820</v>
      </c>
    </row>
    <row r="1344" spans="1:13" ht="13.5" customHeight="1" x14ac:dyDescent="0.4">
      <c r="A1344" s="1">
        <v>45887</v>
      </c>
      <c r="B1344" t="s">
        <v>106</v>
      </c>
      <c r="C1344">
        <v>36.770000000000003</v>
      </c>
      <c r="D1344" s="2" t="s">
        <v>2944</v>
      </c>
      <c r="E1344" t="s">
        <v>106</v>
      </c>
      <c r="F1344" t="s">
        <v>108</v>
      </c>
      <c r="G1344" s="2" t="s">
        <v>41</v>
      </c>
      <c r="H1344">
        <v>10012</v>
      </c>
      <c r="I1344" t="s">
        <v>16</v>
      </c>
      <c r="J1344" t="s">
        <v>2945</v>
      </c>
      <c r="K1344" t="s">
        <v>110</v>
      </c>
      <c r="L1344" t="s">
        <v>4673</v>
      </c>
      <c r="M1344">
        <f>VLOOKUP(SUBSTITUTE(J1344,"'",""),Sheet1!L:M,2,FALSE)</f>
        <v>67500</v>
      </c>
    </row>
    <row r="1345" spans="1:13" ht="13.5" customHeight="1" x14ac:dyDescent="0.4">
      <c r="A1345" s="1">
        <v>45887</v>
      </c>
      <c r="B1345" t="s">
        <v>422</v>
      </c>
      <c r="C1345">
        <v>2826.66</v>
      </c>
      <c r="D1345" s="2" t="s">
        <v>423</v>
      </c>
      <c r="E1345" t="s">
        <v>422</v>
      </c>
      <c r="F1345" t="s">
        <v>424</v>
      </c>
      <c r="G1345" s="2" t="s">
        <v>41</v>
      </c>
      <c r="H1345" t="s">
        <v>425</v>
      </c>
      <c r="I1345" t="s">
        <v>16</v>
      </c>
      <c r="J1345" t="s">
        <v>426</v>
      </c>
      <c r="K1345" t="s">
        <v>50</v>
      </c>
      <c r="L1345" t="s">
        <v>2047</v>
      </c>
      <c r="M1345">
        <f>VLOOKUP(SUBSTITUTE(J1345,"'",""),Sheet1!L:M,2,FALSE)</f>
        <v>54820</v>
      </c>
    </row>
    <row r="1346" spans="1:13" ht="13.5" customHeight="1" x14ac:dyDescent="0.4">
      <c r="A1346" s="1">
        <v>45887</v>
      </c>
      <c r="B1346" t="s">
        <v>977</v>
      </c>
      <c r="C1346">
        <v>10</v>
      </c>
      <c r="D1346" s="2" t="s">
        <v>2940</v>
      </c>
      <c r="E1346" t="s">
        <v>977</v>
      </c>
      <c r="F1346" s="2" t="s">
        <v>979</v>
      </c>
      <c r="G1346" s="2" t="s">
        <v>980</v>
      </c>
      <c r="H1346">
        <v>78259</v>
      </c>
      <c r="I1346" t="s">
        <v>16</v>
      </c>
      <c r="J1346" t="s">
        <v>2941</v>
      </c>
      <c r="K1346" t="s">
        <v>164</v>
      </c>
      <c r="L1346" t="s">
        <v>4673</v>
      </c>
      <c r="M1346">
        <f>VLOOKUP(SUBSTITUTE(J1346,"'",""),Sheet1!L:M,2,FALSE)</f>
        <v>54820</v>
      </c>
    </row>
    <row r="1347" spans="1:13" ht="13.5" customHeight="1" x14ac:dyDescent="0.4">
      <c r="A1347" s="1">
        <v>45887</v>
      </c>
      <c r="B1347" t="s">
        <v>38</v>
      </c>
      <c r="C1347">
        <v>885.96</v>
      </c>
      <c r="D1347" s="2" t="s">
        <v>420</v>
      </c>
      <c r="E1347" t="s">
        <v>38</v>
      </c>
      <c r="F1347" t="s">
        <v>40</v>
      </c>
      <c r="G1347" s="2" t="s">
        <v>41</v>
      </c>
      <c r="H1347">
        <v>10012</v>
      </c>
      <c r="I1347" t="s">
        <v>16</v>
      </c>
      <c r="J1347" t="s">
        <v>421</v>
      </c>
      <c r="K1347" t="s">
        <v>43</v>
      </c>
      <c r="L1347" t="s">
        <v>2047</v>
      </c>
      <c r="M1347">
        <f>VLOOKUP(SUBSTITUTE(J1347,"'",""),Sheet1!L:M,2,FALSE)</f>
        <v>61131</v>
      </c>
    </row>
    <row r="1348" spans="1:13" ht="13.5" customHeight="1" x14ac:dyDescent="0.4">
      <c r="A1348" s="1">
        <v>45888</v>
      </c>
      <c r="B1348" t="s">
        <v>2928</v>
      </c>
      <c r="C1348">
        <v>105.93</v>
      </c>
      <c r="D1348" s="2" t="s">
        <v>2929</v>
      </c>
      <c r="E1348" t="s">
        <v>2928</v>
      </c>
      <c r="F1348" t="s">
        <v>2287</v>
      </c>
      <c r="G1348" s="2" t="s">
        <v>41</v>
      </c>
      <c r="H1348">
        <v>10003</v>
      </c>
      <c r="I1348" t="s">
        <v>16</v>
      </c>
      <c r="J1348" t="s">
        <v>2930</v>
      </c>
      <c r="K1348" t="s">
        <v>96</v>
      </c>
      <c r="L1348" t="s">
        <v>4673</v>
      </c>
      <c r="M1348">
        <f>VLOOKUP(SUBSTITUTE(J1348,"'",""),Sheet1!L:M,2,FALSE)</f>
        <v>54820</v>
      </c>
    </row>
    <row r="1349" spans="1:13" ht="13.5" customHeight="1" x14ac:dyDescent="0.4">
      <c r="A1349" s="1">
        <v>45888</v>
      </c>
      <c r="B1349" t="s">
        <v>2934</v>
      </c>
      <c r="C1349">
        <v>12.79</v>
      </c>
      <c r="D1349" s="2" t="s">
        <v>2935</v>
      </c>
      <c r="E1349" t="s">
        <v>2934</v>
      </c>
      <c r="F1349" t="s">
        <v>2936</v>
      </c>
      <c r="G1349" s="2" t="s">
        <v>41</v>
      </c>
      <c r="H1349">
        <v>10003</v>
      </c>
      <c r="I1349" t="s">
        <v>16</v>
      </c>
      <c r="J1349" t="s">
        <v>2937</v>
      </c>
      <c r="K1349" t="s">
        <v>305</v>
      </c>
      <c r="L1349" t="s">
        <v>4673</v>
      </c>
      <c r="M1349">
        <f>VLOOKUP(SUBSTITUTE(J1349,"'",""),Sheet1!L:M,2,FALSE)</f>
        <v>54820</v>
      </c>
    </row>
    <row r="1350" spans="1:13" ht="13.5" customHeight="1" x14ac:dyDescent="0.4">
      <c r="A1350" s="1">
        <v>45888</v>
      </c>
      <c r="B1350" t="s">
        <v>2285</v>
      </c>
      <c r="C1350">
        <v>1.06</v>
      </c>
      <c r="D1350" s="2" t="s">
        <v>2923</v>
      </c>
      <c r="E1350" t="s">
        <v>2285</v>
      </c>
      <c r="F1350" t="s">
        <v>2287</v>
      </c>
      <c r="G1350" s="2" t="s">
        <v>41</v>
      </c>
      <c r="H1350">
        <v>10003</v>
      </c>
      <c r="I1350" t="s">
        <v>16</v>
      </c>
      <c r="J1350" t="s">
        <v>2924</v>
      </c>
      <c r="K1350" t="s">
        <v>96</v>
      </c>
      <c r="L1350" t="s">
        <v>4673</v>
      </c>
      <c r="M1350">
        <f>VLOOKUP(SUBSTITUTE(J1350,"'",""),Sheet1!L:M,2,FALSE)</f>
        <v>54820</v>
      </c>
    </row>
    <row r="1351" spans="1:13" ht="13.5" customHeight="1" x14ac:dyDescent="0.4">
      <c r="A1351" s="1">
        <v>45888</v>
      </c>
      <c r="B1351" t="s">
        <v>2931</v>
      </c>
      <c r="C1351">
        <v>206.75</v>
      </c>
      <c r="D1351" s="2" t="s">
        <v>2932</v>
      </c>
      <c r="E1351" t="s">
        <v>2931</v>
      </c>
      <c r="F1351" s="2" t="s">
        <v>2206</v>
      </c>
      <c r="G1351" s="2" t="s">
        <v>491</v>
      </c>
      <c r="H1351">
        <v>60602</v>
      </c>
      <c r="I1351" t="s">
        <v>16</v>
      </c>
      <c r="J1351" t="s">
        <v>2933</v>
      </c>
      <c r="K1351" t="s">
        <v>126</v>
      </c>
      <c r="L1351" t="s">
        <v>4673</v>
      </c>
      <c r="M1351">
        <f>VLOOKUP(SUBSTITUTE(J1351,"'",""),Sheet1!L:M,2,FALSE)</f>
        <v>54820</v>
      </c>
    </row>
    <row r="1352" spans="1:13" ht="13.5" customHeight="1" x14ac:dyDescent="0.4">
      <c r="A1352" s="1">
        <v>45888</v>
      </c>
      <c r="B1352" t="s">
        <v>2085</v>
      </c>
      <c r="C1352">
        <v>111.02</v>
      </c>
      <c r="D1352" s="2" t="s">
        <v>2938</v>
      </c>
      <c r="E1352" t="s">
        <v>2085</v>
      </c>
      <c r="F1352" t="s">
        <v>2087</v>
      </c>
      <c r="G1352" s="2" t="s">
        <v>41</v>
      </c>
      <c r="H1352">
        <v>10001</v>
      </c>
      <c r="I1352" t="s">
        <v>16</v>
      </c>
      <c r="J1352" t="s">
        <v>2939</v>
      </c>
      <c r="K1352" t="s">
        <v>1218</v>
      </c>
      <c r="L1352" t="s">
        <v>4673</v>
      </c>
      <c r="M1352">
        <f>VLOOKUP(SUBSTITUTE(J1352,"'",""),Sheet1!L:M,2,FALSE)</f>
        <v>54820</v>
      </c>
    </row>
    <row r="1353" spans="1:13" ht="13.5" customHeight="1" x14ac:dyDescent="0.4">
      <c r="A1353" s="1">
        <v>45888</v>
      </c>
      <c r="B1353" t="s">
        <v>2925</v>
      </c>
      <c r="C1353">
        <v>11.22</v>
      </c>
      <c r="D1353" s="2" t="s">
        <v>2926</v>
      </c>
      <c r="E1353" t="s">
        <v>2925</v>
      </c>
      <c r="F1353" t="s">
        <v>2287</v>
      </c>
      <c r="G1353" s="2" t="s">
        <v>41</v>
      </c>
      <c r="H1353">
        <v>10003</v>
      </c>
      <c r="I1353" t="s">
        <v>16</v>
      </c>
      <c r="J1353" t="s">
        <v>2927</v>
      </c>
      <c r="K1353" t="s">
        <v>96</v>
      </c>
      <c r="L1353" t="s">
        <v>4673</v>
      </c>
      <c r="M1353">
        <f>VLOOKUP(SUBSTITUTE(J1353,"'",""),Sheet1!L:M,2,FALSE)</f>
        <v>54820</v>
      </c>
    </row>
    <row r="1354" spans="1:13" ht="13.5" customHeight="1" x14ac:dyDescent="0.4">
      <c r="A1354" s="1">
        <v>45889</v>
      </c>
      <c r="B1354" t="s">
        <v>2448</v>
      </c>
      <c r="C1354">
        <v>32.25</v>
      </c>
      <c r="D1354" s="2" t="s">
        <v>2917</v>
      </c>
      <c r="E1354" t="s">
        <v>2448</v>
      </c>
      <c r="F1354" s="2" t="s">
        <v>2450</v>
      </c>
      <c r="G1354" s="2" t="s">
        <v>1143</v>
      </c>
      <c r="H1354">
        <v>10120</v>
      </c>
      <c r="I1354" t="s">
        <v>16</v>
      </c>
      <c r="J1354" t="s">
        <v>2918</v>
      </c>
      <c r="K1354" t="s">
        <v>1218</v>
      </c>
      <c r="L1354" t="s">
        <v>4673</v>
      </c>
      <c r="M1354">
        <f>VLOOKUP(SUBSTITUTE(J1354,"'",""),Sheet1!L:M,2,FALSE)</f>
        <v>54820</v>
      </c>
    </row>
    <row r="1355" spans="1:13" ht="13.5" customHeight="1" x14ac:dyDescent="0.4">
      <c r="A1355" s="1">
        <v>45889</v>
      </c>
      <c r="B1355" t="s">
        <v>2914</v>
      </c>
      <c r="C1355">
        <v>48</v>
      </c>
      <c r="D1355" s="2" t="s">
        <v>2915</v>
      </c>
      <c r="E1355" t="s">
        <v>2914</v>
      </c>
      <c r="F1355" t="s">
        <v>2248</v>
      </c>
      <c r="G1355" s="2" t="s">
        <v>2249</v>
      </c>
      <c r="H1355">
        <v>94025</v>
      </c>
      <c r="I1355" t="s">
        <v>16</v>
      </c>
      <c r="J1355" t="s">
        <v>2916</v>
      </c>
      <c r="K1355" t="s">
        <v>2335</v>
      </c>
      <c r="L1355" t="s">
        <v>4673</v>
      </c>
      <c r="M1355">
        <f>VLOOKUP(SUBSTITUTE(J1355,"'",""),Sheet1!L:M,2,FALSE)</f>
        <v>54820</v>
      </c>
    </row>
    <row r="1356" spans="1:13" ht="13.5" customHeight="1" x14ac:dyDescent="0.4">
      <c r="A1356" s="1">
        <v>45889</v>
      </c>
      <c r="B1356" t="s">
        <v>2125</v>
      </c>
      <c r="C1356">
        <v>13.9</v>
      </c>
      <c r="D1356" s="2" t="s">
        <v>2919</v>
      </c>
      <c r="E1356" t="s">
        <v>2125</v>
      </c>
      <c r="F1356" t="s">
        <v>2127</v>
      </c>
      <c r="G1356" s="2" t="s">
        <v>41</v>
      </c>
      <c r="H1356">
        <v>10003</v>
      </c>
      <c r="I1356" t="s">
        <v>16</v>
      </c>
      <c r="J1356" t="s">
        <v>2920</v>
      </c>
      <c r="K1356" t="s">
        <v>37</v>
      </c>
      <c r="L1356" t="s">
        <v>4673</v>
      </c>
      <c r="M1356">
        <f>VLOOKUP(SUBSTITUTE(J1356,"'",""),Sheet1!L:M,2,FALSE)</f>
        <v>54820</v>
      </c>
    </row>
    <row r="1357" spans="1:13" ht="13.5" customHeight="1" x14ac:dyDescent="0.4">
      <c r="A1357" s="1">
        <v>45889</v>
      </c>
      <c r="B1357" t="s">
        <v>106</v>
      </c>
      <c r="C1357">
        <v>95.13</v>
      </c>
      <c r="D1357" s="2" t="s">
        <v>2921</v>
      </c>
      <c r="E1357" t="s">
        <v>106</v>
      </c>
      <c r="F1357" t="s">
        <v>108</v>
      </c>
      <c r="G1357" s="2" t="s">
        <v>41</v>
      </c>
      <c r="H1357">
        <v>10012</v>
      </c>
      <c r="I1357" t="s">
        <v>16</v>
      </c>
      <c r="J1357" t="s">
        <v>2922</v>
      </c>
      <c r="K1357" t="s">
        <v>110</v>
      </c>
      <c r="L1357" t="s">
        <v>4673</v>
      </c>
      <c r="M1357">
        <f>VLOOKUP(SUBSTITUTE(J1357,"'",""),Sheet1!L:M,2,FALSE)</f>
        <v>67500</v>
      </c>
    </row>
    <row r="1358" spans="1:13" ht="13.5" customHeight="1" x14ac:dyDescent="0.4">
      <c r="A1358" s="1">
        <v>45889</v>
      </c>
      <c r="B1358" t="s">
        <v>317</v>
      </c>
      <c r="C1358">
        <v>24.95</v>
      </c>
      <c r="D1358" s="2" t="s">
        <v>418</v>
      </c>
      <c r="E1358" t="s">
        <v>317</v>
      </c>
      <c r="F1358" s="2" t="s">
        <v>319</v>
      </c>
      <c r="G1358" s="2" t="s">
        <v>41</v>
      </c>
      <c r="H1358">
        <v>10285</v>
      </c>
      <c r="I1358" t="s">
        <v>16</v>
      </c>
      <c r="J1358" t="s">
        <v>419</v>
      </c>
      <c r="K1358" t="s">
        <v>321</v>
      </c>
      <c r="L1358" t="s">
        <v>2047</v>
      </c>
      <c r="M1358">
        <f>VLOOKUP(SUBSTITUTE(J1358,"'",""),Sheet1!L:M,2,FALSE)</f>
        <v>61131</v>
      </c>
    </row>
    <row r="1359" spans="1:13" ht="13.5" customHeight="1" x14ac:dyDescent="0.4">
      <c r="A1359" s="1">
        <v>45889</v>
      </c>
      <c r="B1359" t="s">
        <v>2142</v>
      </c>
      <c r="C1359">
        <v>6.29</v>
      </c>
      <c r="D1359" s="2" t="s">
        <v>2912</v>
      </c>
      <c r="E1359" t="s">
        <v>2142</v>
      </c>
      <c r="F1359" t="s">
        <v>2144</v>
      </c>
      <c r="G1359" s="2" t="s">
        <v>41</v>
      </c>
      <c r="H1359">
        <v>10012</v>
      </c>
      <c r="I1359" t="s">
        <v>16</v>
      </c>
      <c r="J1359" t="s">
        <v>2913</v>
      </c>
      <c r="K1359" t="s">
        <v>1304</v>
      </c>
      <c r="L1359" t="s">
        <v>4673</v>
      </c>
      <c r="M1359">
        <f>VLOOKUP(SUBSTITUTE(J1359,"'",""),Sheet1!L:M,2,FALSE)</f>
        <v>54820</v>
      </c>
    </row>
    <row r="1360" spans="1:13" ht="13.5" customHeight="1" x14ac:dyDescent="0.4">
      <c r="A1360" s="1">
        <v>45890</v>
      </c>
      <c r="B1360" t="s">
        <v>583</v>
      </c>
      <c r="C1360">
        <v>167.56</v>
      </c>
      <c r="D1360" s="2" t="s">
        <v>2910</v>
      </c>
      <c r="E1360" t="s">
        <v>583</v>
      </c>
      <c r="F1360" s="2" t="s">
        <v>585</v>
      </c>
      <c r="G1360" s="2" t="s">
        <v>35</v>
      </c>
      <c r="H1360">
        <v>94103</v>
      </c>
      <c r="I1360" t="s">
        <v>16</v>
      </c>
      <c r="J1360" t="s">
        <v>2911</v>
      </c>
      <c r="K1360" t="s">
        <v>126</v>
      </c>
      <c r="L1360" t="s">
        <v>4673</v>
      </c>
      <c r="M1360">
        <f>VLOOKUP(SUBSTITUTE(J1360,"'",""),Sheet1!L:M,2,FALSE)</f>
        <v>54820</v>
      </c>
    </row>
    <row r="1361" spans="1:13" ht="13.5" customHeight="1" x14ac:dyDescent="0.4">
      <c r="A1361" s="1">
        <v>45890</v>
      </c>
      <c r="B1361" t="s">
        <v>2901</v>
      </c>
      <c r="C1361">
        <v>15</v>
      </c>
      <c r="D1361" s="2" t="s">
        <v>2902</v>
      </c>
      <c r="E1361" t="s">
        <v>2901</v>
      </c>
      <c r="F1361" t="s">
        <v>2091</v>
      </c>
      <c r="G1361" s="2" t="s">
        <v>2092</v>
      </c>
      <c r="H1361">
        <v>19934</v>
      </c>
      <c r="I1361" t="s">
        <v>16</v>
      </c>
      <c r="J1361" t="s">
        <v>2903</v>
      </c>
      <c r="K1361" t="s">
        <v>56</v>
      </c>
      <c r="L1361" t="s">
        <v>4673</v>
      </c>
      <c r="M1361">
        <f>VLOOKUP(SUBSTITUTE(J1361,"'",""),Sheet1!L:M,2,FALSE)</f>
        <v>64100</v>
      </c>
    </row>
    <row r="1362" spans="1:13" ht="13.5" customHeight="1" x14ac:dyDescent="0.4">
      <c r="A1362" s="1">
        <v>45890</v>
      </c>
      <c r="B1362" t="s">
        <v>2741</v>
      </c>
      <c r="C1362">
        <v>58.59</v>
      </c>
      <c r="D1362" s="2" t="s">
        <v>2908</v>
      </c>
      <c r="E1362" t="s">
        <v>2741</v>
      </c>
      <c r="F1362" t="s">
        <v>2743</v>
      </c>
      <c r="G1362" s="2" t="s">
        <v>41</v>
      </c>
      <c r="H1362">
        <v>10003</v>
      </c>
      <c r="I1362" t="s">
        <v>16</v>
      </c>
      <c r="J1362" t="s">
        <v>2909</v>
      </c>
      <c r="K1362" t="s">
        <v>207</v>
      </c>
      <c r="L1362" t="s">
        <v>4673</v>
      </c>
      <c r="M1362">
        <f>VLOOKUP(SUBSTITUTE(J1362,"'",""),Sheet1!L:M,2,FALSE)</f>
        <v>54820</v>
      </c>
    </row>
    <row r="1363" spans="1:13" ht="13.5" customHeight="1" x14ac:dyDescent="0.4">
      <c r="A1363" s="1">
        <v>45890</v>
      </c>
      <c r="B1363" t="s">
        <v>2764</v>
      </c>
      <c r="C1363">
        <v>10.34</v>
      </c>
      <c r="D1363" s="2" t="s">
        <v>2899</v>
      </c>
      <c r="E1363" t="s">
        <v>2764</v>
      </c>
      <c r="F1363" t="s">
        <v>2766</v>
      </c>
      <c r="G1363" s="2" t="s">
        <v>41</v>
      </c>
      <c r="H1363">
        <v>10011</v>
      </c>
      <c r="I1363" t="s">
        <v>16</v>
      </c>
      <c r="J1363" t="s">
        <v>2900</v>
      </c>
      <c r="K1363" t="s">
        <v>305</v>
      </c>
      <c r="L1363" t="s">
        <v>4673</v>
      </c>
      <c r="M1363">
        <f>VLOOKUP(SUBSTITUTE(J1363,"'",""),Sheet1!L:M,2,FALSE)</f>
        <v>54820</v>
      </c>
    </row>
    <row r="1364" spans="1:13" ht="13.5" customHeight="1" x14ac:dyDescent="0.4">
      <c r="A1364" s="1">
        <v>45890</v>
      </c>
      <c r="B1364" t="s">
        <v>977</v>
      </c>
      <c r="C1364">
        <v>20</v>
      </c>
      <c r="D1364" s="2" t="s">
        <v>2904</v>
      </c>
      <c r="E1364" t="s">
        <v>977</v>
      </c>
      <c r="F1364" s="2" t="s">
        <v>979</v>
      </c>
      <c r="G1364" s="2" t="s">
        <v>980</v>
      </c>
      <c r="H1364">
        <v>78259</v>
      </c>
      <c r="I1364" t="s">
        <v>16</v>
      </c>
      <c r="J1364" t="s">
        <v>2905</v>
      </c>
      <c r="K1364" t="s">
        <v>164</v>
      </c>
      <c r="L1364" t="s">
        <v>4673</v>
      </c>
      <c r="M1364">
        <f>VLOOKUP(SUBSTITUTE(J1364,"'",""),Sheet1!L:M,2,FALSE)</f>
        <v>54820</v>
      </c>
    </row>
    <row r="1365" spans="1:13" ht="13.5" customHeight="1" x14ac:dyDescent="0.4">
      <c r="A1365" s="1">
        <v>45890</v>
      </c>
      <c r="B1365" t="s">
        <v>977</v>
      </c>
      <c r="C1365">
        <v>20</v>
      </c>
      <c r="D1365" s="2" t="s">
        <v>2906</v>
      </c>
      <c r="E1365" t="s">
        <v>977</v>
      </c>
      <c r="F1365" s="2" t="s">
        <v>979</v>
      </c>
      <c r="G1365" s="2" t="s">
        <v>980</v>
      </c>
      <c r="H1365">
        <v>78259</v>
      </c>
      <c r="I1365" t="s">
        <v>16</v>
      </c>
      <c r="J1365" t="s">
        <v>2907</v>
      </c>
      <c r="K1365" t="s">
        <v>164</v>
      </c>
      <c r="L1365" t="s">
        <v>4673</v>
      </c>
      <c r="M1365">
        <f>VLOOKUP(SUBSTITUTE(J1365,"'",""),Sheet1!L:M,2,FALSE)</f>
        <v>54820</v>
      </c>
    </row>
    <row r="1366" spans="1:13" ht="13.5" customHeight="1" x14ac:dyDescent="0.4">
      <c r="A1366" s="1">
        <v>45891</v>
      </c>
      <c r="B1366" t="s">
        <v>2365</v>
      </c>
      <c r="C1366">
        <v>135.47999999999999</v>
      </c>
      <c r="D1366" s="2" t="s">
        <v>2895</v>
      </c>
      <c r="E1366" t="s">
        <v>2365</v>
      </c>
      <c r="F1366" t="s">
        <v>519</v>
      </c>
      <c r="G1366" s="2" t="s">
        <v>35</v>
      </c>
      <c r="H1366">
        <v>94107</v>
      </c>
      <c r="I1366" t="s">
        <v>16</v>
      </c>
      <c r="J1366" t="s">
        <v>2896</v>
      </c>
      <c r="K1366" t="s">
        <v>96</v>
      </c>
      <c r="L1366" t="s">
        <v>4673</v>
      </c>
      <c r="M1366">
        <f>VLOOKUP(SUBSTITUTE(J1366,"'",""),Sheet1!L:M,2,FALSE)</f>
        <v>64100</v>
      </c>
    </row>
    <row r="1367" spans="1:13" ht="13.5" customHeight="1" x14ac:dyDescent="0.4">
      <c r="A1367" s="1">
        <v>45891</v>
      </c>
      <c r="B1367" t="s">
        <v>32</v>
      </c>
      <c r="C1367">
        <v>21.4</v>
      </c>
      <c r="D1367" s="2" t="s">
        <v>416</v>
      </c>
      <c r="E1367" t="s">
        <v>32</v>
      </c>
      <c r="F1367" s="2" t="s">
        <v>34</v>
      </c>
      <c r="G1367" s="2" t="s">
        <v>35</v>
      </c>
      <c r="H1367">
        <v>94110</v>
      </c>
      <c r="I1367" t="s">
        <v>16</v>
      </c>
      <c r="J1367" t="s">
        <v>417</v>
      </c>
      <c r="K1367" t="s">
        <v>37</v>
      </c>
      <c r="L1367" t="s">
        <v>2047</v>
      </c>
      <c r="M1367">
        <f>VLOOKUP(SUBSTITUTE(J1367,"'",""),Sheet1!L:M,2,FALSE)</f>
        <v>64100</v>
      </c>
    </row>
    <row r="1368" spans="1:13" ht="13.5" customHeight="1" x14ac:dyDescent="0.4">
      <c r="A1368" s="1">
        <v>45891</v>
      </c>
      <c r="B1368" t="s">
        <v>583</v>
      </c>
      <c r="C1368">
        <v>206.26</v>
      </c>
      <c r="D1368" s="2" t="s">
        <v>2897</v>
      </c>
      <c r="E1368" t="s">
        <v>583</v>
      </c>
      <c r="F1368" s="2" t="s">
        <v>585</v>
      </c>
      <c r="G1368" s="2" t="s">
        <v>35</v>
      </c>
      <c r="H1368">
        <v>94103</v>
      </c>
      <c r="I1368" t="s">
        <v>16</v>
      </c>
      <c r="J1368" t="s">
        <v>2898</v>
      </c>
      <c r="K1368" t="s">
        <v>126</v>
      </c>
      <c r="L1368" t="s">
        <v>4673</v>
      </c>
      <c r="M1368">
        <f>VLOOKUP(SUBSTITUTE(J1368,"'",""),Sheet1!L:M,2,FALSE)</f>
        <v>54820</v>
      </c>
    </row>
    <row r="1369" spans="1:13" ht="13.5" customHeight="1" x14ac:dyDescent="0.4">
      <c r="A1369" s="1">
        <v>45891</v>
      </c>
      <c r="B1369" t="s">
        <v>2887</v>
      </c>
      <c r="C1369">
        <v>3750</v>
      </c>
      <c r="D1369" s="2" t="s">
        <v>2888</v>
      </c>
      <c r="E1369" t="s">
        <v>2887</v>
      </c>
      <c r="F1369" s="2" t="s">
        <v>2889</v>
      </c>
      <c r="G1369" s="2" t="s">
        <v>443</v>
      </c>
      <c r="H1369">
        <v>11206</v>
      </c>
      <c r="I1369" t="s">
        <v>16</v>
      </c>
      <c r="J1369" t="s">
        <v>2890</v>
      </c>
      <c r="K1369" t="s">
        <v>500</v>
      </c>
      <c r="L1369" t="s">
        <v>4673</v>
      </c>
      <c r="M1369">
        <f>VLOOKUP(SUBSTITUTE(J1369,"'",""),Sheet1!L:M,2,FALSE)</f>
        <v>61100</v>
      </c>
    </row>
    <row r="1370" spans="1:13" ht="13.5" customHeight="1" x14ac:dyDescent="0.4">
      <c r="A1370" s="1">
        <v>45891</v>
      </c>
      <c r="B1370" t="s">
        <v>2142</v>
      </c>
      <c r="C1370">
        <v>64.5</v>
      </c>
      <c r="D1370" s="2" t="s">
        <v>2891</v>
      </c>
      <c r="E1370" t="s">
        <v>2142</v>
      </c>
      <c r="F1370" t="s">
        <v>2144</v>
      </c>
      <c r="G1370" s="2" t="s">
        <v>41</v>
      </c>
      <c r="H1370">
        <v>10012</v>
      </c>
      <c r="I1370" t="s">
        <v>16</v>
      </c>
      <c r="J1370" t="s">
        <v>2892</v>
      </c>
      <c r="K1370" t="s">
        <v>1304</v>
      </c>
      <c r="L1370" t="s">
        <v>4673</v>
      </c>
      <c r="M1370">
        <f>VLOOKUP(SUBSTITUTE(J1370,"'",""),Sheet1!L:M,2,FALSE)</f>
        <v>54820</v>
      </c>
    </row>
    <row r="1371" spans="1:13" ht="13.5" customHeight="1" x14ac:dyDescent="0.4">
      <c r="A1371" s="1">
        <v>45891</v>
      </c>
      <c r="B1371" t="s">
        <v>2146</v>
      </c>
      <c r="C1371">
        <v>41.72</v>
      </c>
      <c r="D1371" s="2" t="s">
        <v>2893</v>
      </c>
      <c r="E1371" t="s">
        <v>2146</v>
      </c>
      <c r="F1371" t="s">
        <v>2148</v>
      </c>
      <c r="G1371" s="2" t="s">
        <v>2149</v>
      </c>
      <c r="H1371" s="3" t="s">
        <v>2150</v>
      </c>
      <c r="I1371" t="s">
        <v>16</v>
      </c>
      <c r="J1371" t="s">
        <v>2894</v>
      </c>
      <c r="K1371" t="s">
        <v>1904</v>
      </c>
      <c r="L1371" t="s">
        <v>4673</v>
      </c>
      <c r="M1371">
        <f>VLOOKUP(SUBSTITUTE(J1371,"'",""),Sheet1!L:M,2,FALSE)</f>
        <v>67500</v>
      </c>
    </row>
    <row r="1372" spans="1:13" ht="13.5" customHeight="1" x14ac:dyDescent="0.4">
      <c r="A1372" s="1">
        <v>45892</v>
      </c>
      <c r="B1372" t="s">
        <v>583</v>
      </c>
      <c r="C1372">
        <v>52.68</v>
      </c>
      <c r="D1372" s="2" t="s">
        <v>2883</v>
      </c>
      <c r="E1372" t="s">
        <v>583</v>
      </c>
      <c r="F1372" s="2" t="s">
        <v>585</v>
      </c>
      <c r="G1372" s="2" t="s">
        <v>35</v>
      </c>
      <c r="H1372">
        <v>94103</v>
      </c>
      <c r="I1372" t="s">
        <v>16</v>
      </c>
      <c r="J1372" t="s">
        <v>2884</v>
      </c>
      <c r="K1372" t="s">
        <v>126</v>
      </c>
      <c r="L1372" t="s">
        <v>4673</v>
      </c>
      <c r="M1372">
        <f>VLOOKUP(SUBSTITUTE(J1372,"'",""),Sheet1!L:M,2,FALSE)</f>
        <v>54820</v>
      </c>
    </row>
    <row r="1373" spans="1:13" ht="13.5" customHeight="1" x14ac:dyDescent="0.4">
      <c r="A1373" s="1">
        <v>45892</v>
      </c>
      <c r="B1373" t="s">
        <v>583</v>
      </c>
      <c r="C1373">
        <v>157.1</v>
      </c>
      <c r="D1373" s="2" t="s">
        <v>2885</v>
      </c>
      <c r="E1373" t="s">
        <v>583</v>
      </c>
      <c r="F1373" s="2" t="s">
        <v>585</v>
      </c>
      <c r="G1373" s="2" t="s">
        <v>35</v>
      </c>
      <c r="H1373">
        <v>94103</v>
      </c>
      <c r="I1373" t="s">
        <v>16</v>
      </c>
      <c r="J1373" t="s">
        <v>2886</v>
      </c>
      <c r="K1373" t="s">
        <v>126</v>
      </c>
      <c r="L1373" t="s">
        <v>4673</v>
      </c>
      <c r="M1373">
        <f>VLOOKUP(SUBSTITUTE(J1373,"'",""),Sheet1!L:M,2,FALSE)</f>
        <v>54820</v>
      </c>
    </row>
    <row r="1374" spans="1:13" ht="13.5" customHeight="1" x14ac:dyDescent="0.4">
      <c r="A1374" s="1">
        <v>45892</v>
      </c>
      <c r="B1374" t="s">
        <v>179</v>
      </c>
      <c r="C1374">
        <v>28.58</v>
      </c>
      <c r="D1374" s="2" t="s">
        <v>2881</v>
      </c>
      <c r="E1374" t="s">
        <v>179</v>
      </c>
      <c r="F1374" t="s">
        <v>143</v>
      </c>
      <c r="G1374" s="2" t="s">
        <v>14</v>
      </c>
      <c r="H1374">
        <v>98109</v>
      </c>
      <c r="I1374" t="s">
        <v>16</v>
      </c>
      <c r="J1374" t="s">
        <v>2882</v>
      </c>
      <c r="K1374" t="s">
        <v>18</v>
      </c>
      <c r="L1374" t="s">
        <v>4673</v>
      </c>
      <c r="M1374">
        <f>VLOOKUP(SUBSTITUTE(J1374,"'",""),Sheet1!L:M,2,FALSE)</f>
        <v>54820</v>
      </c>
    </row>
    <row r="1375" spans="1:13" ht="13.5" customHeight="1" x14ac:dyDescent="0.4">
      <c r="A1375" s="1">
        <v>45893</v>
      </c>
      <c r="B1375" t="s">
        <v>2871</v>
      </c>
      <c r="C1375">
        <v>45.55</v>
      </c>
      <c r="D1375" s="2" t="s">
        <v>2875</v>
      </c>
      <c r="E1375" t="s">
        <v>2871</v>
      </c>
      <c r="F1375" s="2" t="s">
        <v>2873</v>
      </c>
      <c r="G1375" s="2" t="s">
        <v>35</v>
      </c>
      <c r="H1375">
        <v>94105</v>
      </c>
      <c r="I1375" t="s">
        <v>16</v>
      </c>
      <c r="J1375" t="s">
        <v>2876</v>
      </c>
      <c r="K1375" t="s">
        <v>1218</v>
      </c>
      <c r="L1375" t="s">
        <v>4673</v>
      </c>
      <c r="M1375">
        <f>VLOOKUP(SUBSTITUTE(J1375,"'",""),Sheet1!L:M,2,FALSE)</f>
        <v>54820</v>
      </c>
    </row>
    <row r="1376" spans="1:13" ht="13.5" customHeight="1" x14ac:dyDescent="0.4">
      <c r="A1376" s="1">
        <v>45893</v>
      </c>
      <c r="B1376" t="s">
        <v>2871</v>
      </c>
      <c r="C1376">
        <v>0.6</v>
      </c>
      <c r="D1376" s="2" t="s">
        <v>2872</v>
      </c>
      <c r="E1376" t="s">
        <v>2871</v>
      </c>
      <c r="F1376" s="2" t="s">
        <v>2873</v>
      </c>
      <c r="G1376" s="2" t="s">
        <v>35</v>
      </c>
      <c r="H1376">
        <v>94105</v>
      </c>
      <c r="I1376" t="s">
        <v>16</v>
      </c>
      <c r="J1376" t="s">
        <v>2874</v>
      </c>
      <c r="K1376" t="s">
        <v>1218</v>
      </c>
      <c r="L1376" t="s">
        <v>4673</v>
      </c>
      <c r="M1376">
        <f>VLOOKUP(SUBSTITUTE(J1376,"'",""),Sheet1!L:M,2,FALSE)</f>
        <v>54820</v>
      </c>
    </row>
    <row r="1377" spans="1:13" ht="13.5" customHeight="1" x14ac:dyDescent="0.4">
      <c r="A1377" s="1">
        <v>45893</v>
      </c>
      <c r="B1377" t="s">
        <v>546</v>
      </c>
      <c r="C1377">
        <v>21.67</v>
      </c>
      <c r="D1377" s="2" t="s">
        <v>2879</v>
      </c>
      <c r="E1377" t="s">
        <v>546</v>
      </c>
      <c r="F1377" t="s">
        <v>548</v>
      </c>
      <c r="G1377" s="2" t="s">
        <v>41</v>
      </c>
      <c r="H1377">
        <v>10011</v>
      </c>
      <c r="I1377" t="s">
        <v>16</v>
      </c>
      <c r="J1377" t="s">
        <v>2880</v>
      </c>
      <c r="K1377" t="s">
        <v>305</v>
      </c>
      <c r="L1377" t="s">
        <v>4673</v>
      </c>
      <c r="M1377">
        <f>VLOOKUP(SUBSTITUTE(J1377,"'",""),Sheet1!L:M,2,FALSE)</f>
        <v>54820</v>
      </c>
    </row>
    <row r="1378" spans="1:13" ht="13.5" customHeight="1" x14ac:dyDescent="0.4">
      <c r="A1378" s="1">
        <v>45893</v>
      </c>
      <c r="B1378" t="s">
        <v>2458</v>
      </c>
      <c r="C1378">
        <v>2.9</v>
      </c>
      <c r="D1378" s="2" t="s">
        <v>2877</v>
      </c>
      <c r="E1378" t="s">
        <v>2458</v>
      </c>
      <c r="F1378" s="2" t="s">
        <v>2460</v>
      </c>
      <c r="G1378" s="2" t="s">
        <v>41</v>
      </c>
      <c r="H1378">
        <v>10004</v>
      </c>
      <c r="I1378" t="s">
        <v>16</v>
      </c>
      <c r="J1378" t="s">
        <v>2878</v>
      </c>
      <c r="K1378" t="s">
        <v>2462</v>
      </c>
      <c r="L1378" t="s">
        <v>4673</v>
      </c>
      <c r="M1378">
        <f>VLOOKUP(SUBSTITUTE(J1378,"'",""),Sheet1!L:M,2,FALSE)</f>
        <v>61133</v>
      </c>
    </row>
    <row r="1379" spans="1:13" ht="13.5" customHeight="1" x14ac:dyDescent="0.4">
      <c r="A1379" s="1">
        <v>45893</v>
      </c>
      <c r="B1379" t="s">
        <v>2866</v>
      </c>
      <c r="C1379">
        <v>1461.46</v>
      </c>
      <c r="D1379" s="2" t="s">
        <v>2867</v>
      </c>
      <c r="E1379" t="s">
        <v>2866</v>
      </c>
      <c r="F1379" t="s">
        <v>2868</v>
      </c>
      <c r="G1379" s="2" t="s">
        <v>47</v>
      </c>
      <c r="H1379" t="s">
        <v>2869</v>
      </c>
      <c r="I1379" t="s">
        <v>16</v>
      </c>
      <c r="J1379" t="s">
        <v>2870</v>
      </c>
      <c r="K1379" t="s">
        <v>50</v>
      </c>
      <c r="L1379" t="s">
        <v>4673</v>
      </c>
      <c r="M1379">
        <f>VLOOKUP(SUBSTITUTE(J1379,"'",""),Sheet1!L:M,2,FALSE)</f>
        <v>61110</v>
      </c>
    </row>
    <row r="1380" spans="1:13" ht="13.5" customHeight="1" x14ac:dyDescent="0.4">
      <c r="A1380" s="1">
        <v>45893</v>
      </c>
      <c r="B1380" t="s">
        <v>412</v>
      </c>
      <c r="C1380">
        <v>43.29</v>
      </c>
      <c r="D1380" s="2" t="s">
        <v>413</v>
      </c>
      <c r="E1380" t="s">
        <v>412</v>
      </c>
      <c r="F1380" t="s">
        <v>29</v>
      </c>
      <c r="G1380" s="2" t="s">
        <v>414</v>
      </c>
      <c r="H1380">
        <v>77389</v>
      </c>
      <c r="I1380" t="s">
        <v>16</v>
      </c>
      <c r="J1380" t="s">
        <v>415</v>
      </c>
      <c r="K1380" t="s">
        <v>61</v>
      </c>
      <c r="L1380" t="s">
        <v>2047</v>
      </c>
      <c r="M1380">
        <f>VLOOKUP(SUBSTITUTE(J1380,"'",""),Sheet1!L:M,2,FALSE)</f>
        <v>63100</v>
      </c>
    </row>
    <row r="1381" spans="1:13" ht="13.5" customHeight="1" x14ac:dyDescent="0.4">
      <c r="A1381" s="1">
        <v>45894</v>
      </c>
      <c r="B1381" t="s">
        <v>19</v>
      </c>
      <c r="C1381">
        <v>230.75</v>
      </c>
      <c r="D1381" t="s">
        <v>19</v>
      </c>
      <c r="E1381" t="s">
        <v>19</v>
      </c>
      <c r="J1381" t="s">
        <v>411</v>
      </c>
      <c r="K1381" t="s">
        <v>21</v>
      </c>
      <c r="L1381" t="s">
        <v>2047</v>
      </c>
      <c r="M1381">
        <f>VLOOKUP(SUBSTITUTE(J1381,"'",""),Sheet1!L:M,2,FALSE)</f>
        <v>80100</v>
      </c>
    </row>
    <row r="1382" spans="1:13" ht="13.5" customHeight="1" x14ac:dyDescent="0.4">
      <c r="A1382" s="1">
        <v>45894</v>
      </c>
      <c r="B1382" t="s">
        <v>2142</v>
      </c>
      <c r="C1382">
        <v>4.99</v>
      </c>
      <c r="D1382" s="2" t="s">
        <v>2861</v>
      </c>
      <c r="E1382" t="s">
        <v>2142</v>
      </c>
      <c r="F1382" t="s">
        <v>2144</v>
      </c>
      <c r="G1382" s="2" t="s">
        <v>41</v>
      </c>
      <c r="H1382">
        <v>10012</v>
      </c>
      <c r="I1382" t="s">
        <v>16</v>
      </c>
      <c r="J1382" t="s">
        <v>2862</v>
      </c>
      <c r="K1382" t="s">
        <v>1304</v>
      </c>
      <c r="L1382" t="s">
        <v>4673</v>
      </c>
      <c r="M1382">
        <f>VLOOKUP(SUBSTITUTE(J1382,"'",""),Sheet1!L:M,2,FALSE)</f>
        <v>54820</v>
      </c>
    </row>
    <row r="1383" spans="1:13" ht="13.5" customHeight="1" x14ac:dyDescent="0.4">
      <c r="A1383" s="1">
        <v>45894</v>
      </c>
      <c r="B1383" t="s">
        <v>2863</v>
      </c>
      <c r="C1383">
        <v>47.99</v>
      </c>
      <c r="D1383" s="2" t="s">
        <v>2864</v>
      </c>
      <c r="E1383" t="s">
        <v>2863</v>
      </c>
      <c r="F1383" t="s">
        <v>1615</v>
      </c>
      <c r="G1383" s="2" t="s">
        <v>1616</v>
      </c>
      <c r="H1383">
        <v>95131</v>
      </c>
      <c r="I1383" t="s">
        <v>16</v>
      </c>
      <c r="J1383" t="s">
        <v>2865</v>
      </c>
      <c r="K1383" t="s">
        <v>133</v>
      </c>
      <c r="L1383" t="s">
        <v>4673</v>
      </c>
      <c r="M1383">
        <f>VLOOKUP(SUBSTITUTE(J1383,"'",""),Sheet1!L:M,2,FALSE)</f>
        <v>54820</v>
      </c>
    </row>
    <row r="1384" spans="1:13" ht="13.5" customHeight="1" x14ac:dyDescent="0.4">
      <c r="A1384" s="1">
        <v>45895</v>
      </c>
      <c r="B1384" t="s">
        <v>406</v>
      </c>
      <c r="C1384">
        <v>10.99</v>
      </c>
      <c r="D1384" s="2" t="s">
        <v>407</v>
      </c>
      <c r="E1384" t="s">
        <v>406</v>
      </c>
      <c r="F1384" t="s">
        <v>13</v>
      </c>
      <c r="G1384" s="2" t="s">
        <v>14</v>
      </c>
      <c r="H1384" t="s">
        <v>15</v>
      </c>
      <c r="I1384" t="s">
        <v>16</v>
      </c>
      <c r="J1384" t="s">
        <v>408</v>
      </c>
      <c r="K1384" t="s">
        <v>18</v>
      </c>
      <c r="L1384" t="s">
        <v>2047</v>
      </c>
      <c r="M1384">
        <f>VLOOKUP(SUBSTITUTE(J1384,"'",""),Sheet1!L:M,2,FALSE)</f>
        <v>54820</v>
      </c>
    </row>
    <row r="1385" spans="1:13" ht="13.5" customHeight="1" x14ac:dyDescent="0.4">
      <c r="A1385" s="1">
        <v>45895</v>
      </c>
      <c r="B1385" t="s">
        <v>2855</v>
      </c>
      <c r="C1385">
        <v>755.72</v>
      </c>
      <c r="D1385" s="2" t="s">
        <v>2856</v>
      </c>
      <c r="E1385" t="s">
        <v>2855</v>
      </c>
      <c r="F1385" t="s">
        <v>2857</v>
      </c>
      <c r="G1385" s="2" t="s">
        <v>41</v>
      </c>
      <c r="H1385">
        <v>10003</v>
      </c>
      <c r="I1385" t="s">
        <v>16</v>
      </c>
      <c r="J1385" t="s">
        <v>2858</v>
      </c>
      <c r="K1385" t="s">
        <v>126</v>
      </c>
      <c r="L1385" t="s">
        <v>4673</v>
      </c>
      <c r="M1385">
        <f>VLOOKUP(SUBSTITUTE(J1385,"'",""),Sheet1!L:M,2,FALSE)</f>
        <v>61215</v>
      </c>
    </row>
    <row r="1386" spans="1:13" ht="13.5" customHeight="1" x14ac:dyDescent="0.4">
      <c r="A1386" s="1">
        <v>45895</v>
      </c>
      <c r="B1386" t="s">
        <v>2142</v>
      </c>
      <c r="C1386">
        <v>5</v>
      </c>
      <c r="D1386" s="2" t="s">
        <v>2849</v>
      </c>
      <c r="E1386" t="s">
        <v>2142</v>
      </c>
      <c r="F1386" t="s">
        <v>2144</v>
      </c>
      <c r="G1386" s="2" t="s">
        <v>41</v>
      </c>
      <c r="H1386">
        <v>10012</v>
      </c>
      <c r="I1386" t="s">
        <v>16</v>
      </c>
      <c r="J1386" t="s">
        <v>2850</v>
      </c>
      <c r="K1386" t="s">
        <v>1304</v>
      </c>
      <c r="L1386" t="s">
        <v>4673</v>
      </c>
      <c r="M1386">
        <f>VLOOKUP(SUBSTITUTE(J1386,"'",""),Sheet1!L:M,2,FALSE)</f>
        <v>54820</v>
      </c>
    </row>
    <row r="1387" spans="1:13" ht="13.5" customHeight="1" x14ac:dyDescent="0.4">
      <c r="A1387" s="1">
        <v>45895</v>
      </c>
      <c r="B1387" t="s">
        <v>2764</v>
      </c>
      <c r="C1387">
        <v>9.8000000000000007</v>
      </c>
      <c r="D1387" s="2" t="s">
        <v>2843</v>
      </c>
      <c r="E1387" t="s">
        <v>2764</v>
      </c>
      <c r="F1387" t="s">
        <v>2766</v>
      </c>
      <c r="G1387" s="2" t="s">
        <v>41</v>
      </c>
      <c r="H1387">
        <v>10011</v>
      </c>
      <c r="I1387" t="s">
        <v>16</v>
      </c>
      <c r="J1387" t="s">
        <v>2844</v>
      </c>
      <c r="K1387" t="s">
        <v>305</v>
      </c>
      <c r="L1387" t="s">
        <v>4673</v>
      </c>
      <c r="M1387">
        <f>VLOOKUP(SUBSTITUTE(J1387,"'",""),Sheet1!L:M,2,FALSE)</f>
        <v>54820</v>
      </c>
    </row>
    <row r="1388" spans="1:13" ht="13.5" customHeight="1" x14ac:dyDescent="0.4">
      <c r="A1388" s="1">
        <v>45895</v>
      </c>
      <c r="B1388" t="s">
        <v>2085</v>
      </c>
      <c r="C1388">
        <v>43.14</v>
      </c>
      <c r="D1388" s="2" t="s">
        <v>2859</v>
      </c>
      <c r="E1388" t="s">
        <v>2085</v>
      </c>
      <c r="F1388" t="s">
        <v>2087</v>
      </c>
      <c r="G1388" s="2" t="s">
        <v>41</v>
      </c>
      <c r="H1388">
        <v>10001</v>
      </c>
      <c r="I1388" t="s">
        <v>16</v>
      </c>
      <c r="J1388" t="s">
        <v>2860</v>
      </c>
      <c r="K1388" t="s">
        <v>1218</v>
      </c>
      <c r="L1388" t="s">
        <v>4673</v>
      </c>
      <c r="M1388">
        <f>VLOOKUP(SUBSTITUTE(J1388,"'",""),Sheet1!L:M,2,FALSE)</f>
        <v>54820</v>
      </c>
    </row>
    <row r="1389" spans="1:13" ht="13.5" customHeight="1" x14ac:dyDescent="0.4">
      <c r="A1389" s="1">
        <v>45895</v>
      </c>
      <c r="B1389" t="s">
        <v>38</v>
      </c>
      <c r="C1389">
        <v>847.2</v>
      </c>
      <c r="D1389" s="2" t="s">
        <v>409</v>
      </c>
      <c r="E1389" t="s">
        <v>38</v>
      </c>
      <c r="F1389" t="s">
        <v>40</v>
      </c>
      <c r="G1389" s="2" t="s">
        <v>41</v>
      </c>
      <c r="H1389">
        <v>10012</v>
      </c>
      <c r="I1389" t="s">
        <v>16</v>
      </c>
      <c r="J1389" t="s">
        <v>410</v>
      </c>
      <c r="K1389" t="s">
        <v>43</v>
      </c>
      <c r="L1389" t="s">
        <v>2047</v>
      </c>
      <c r="M1389">
        <f>VLOOKUP(SUBSTITUTE(J1389,"'",""),Sheet1!L:M,2,FALSE)</f>
        <v>61131</v>
      </c>
    </row>
    <row r="1390" spans="1:13" ht="13.5" customHeight="1" x14ac:dyDescent="0.4">
      <c r="A1390" s="1">
        <v>45895</v>
      </c>
      <c r="B1390" t="s">
        <v>977</v>
      </c>
      <c r="C1390">
        <v>10</v>
      </c>
      <c r="D1390" s="2" t="s">
        <v>2847</v>
      </c>
      <c r="E1390" t="s">
        <v>977</v>
      </c>
      <c r="F1390" s="2" t="s">
        <v>979</v>
      </c>
      <c r="G1390" s="2" t="s">
        <v>980</v>
      </c>
      <c r="H1390">
        <v>78259</v>
      </c>
      <c r="I1390" t="s">
        <v>16</v>
      </c>
      <c r="J1390" t="s">
        <v>2848</v>
      </c>
      <c r="K1390" t="s">
        <v>164</v>
      </c>
      <c r="L1390" t="s">
        <v>4673</v>
      </c>
      <c r="M1390">
        <f>VLOOKUP(SUBSTITUTE(J1390,"'",""),Sheet1!L:M,2,FALSE)</f>
        <v>54820</v>
      </c>
    </row>
    <row r="1391" spans="1:13" ht="13.5" customHeight="1" x14ac:dyDescent="0.4">
      <c r="A1391" s="1">
        <v>45895</v>
      </c>
      <c r="B1391" t="s">
        <v>1792</v>
      </c>
      <c r="C1391">
        <v>16.05</v>
      </c>
      <c r="D1391" s="2" t="s">
        <v>2845</v>
      </c>
      <c r="E1391" t="s">
        <v>1792</v>
      </c>
      <c r="F1391" t="s">
        <v>1794</v>
      </c>
      <c r="G1391" s="2" t="s">
        <v>35</v>
      </c>
      <c r="H1391">
        <v>94105</v>
      </c>
      <c r="I1391" t="s">
        <v>16</v>
      </c>
      <c r="J1391" t="s">
        <v>2846</v>
      </c>
      <c r="K1391" t="s">
        <v>37</v>
      </c>
      <c r="L1391" t="s">
        <v>4673</v>
      </c>
      <c r="M1391">
        <f>VLOOKUP(SUBSTITUTE(J1391,"'",""),Sheet1!L:M,2,FALSE)</f>
        <v>64100</v>
      </c>
    </row>
    <row r="1392" spans="1:13" ht="13.5" customHeight="1" x14ac:dyDescent="0.4">
      <c r="A1392" s="1">
        <v>45895</v>
      </c>
      <c r="B1392" t="s">
        <v>2851</v>
      </c>
      <c r="C1392">
        <v>71.34</v>
      </c>
      <c r="D1392" s="2" t="s">
        <v>2852</v>
      </c>
      <c r="E1392" t="s">
        <v>2851</v>
      </c>
      <c r="F1392" t="s">
        <v>2853</v>
      </c>
      <c r="G1392" s="2" t="s">
        <v>41</v>
      </c>
      <c r="H1392">
        <v>10003</v>
      </c>
      <c r="I1392" t="s">
        <v>16</v>
      </c>
      <c r="J1392" t="s">
        <v>2854</v>
      </c>
      <c r="K1392" t="s">
        <v>1390</v>
      </c>
      <c r="L1392" t="s">
        <v>4673</v>
      </c>
      <c r="M1392">
        <f>VLOOKUP(SUBSTITUTE(J1392,"'",""),Sheet1!L:M,2,FALSE)</f>
        <v>54820</v>
      </c>
    </row>
    <row r="1393" spans="1:13" ht="13.5" customHeight="1" x14ac:dyDescent="0.4">
      <c r="A1393" s="1">
        <v>45896</v>
      </c>
      <c r="B1393" t="s">
        <v>2181</v>
      </c>
      <c r="C1393">
        <v>49.67</v>
      </c>
      <c r="D1393" s="2" t="s">
        <v>2841</v>
      </c>
      <c r="E1393" t="s">
        <v>2181</v>
      </c>
      <c r="F1393" s="2" t="s">
        <v>2183</v>
      </c>
      <c r="G1393" s="2" t="s">
        <v>1376</v>
      </c>
      <c r="H1393" t="s">
        <v>2184</v>
      </c>
      <c r="I1393" t="s">
        <v>16</v>
      </c>
      <c r="J1393" t="s">
        <v>2842</v>
      </c>
      <c r="K1393" t="s">
        <v>18</v>
      </c>
      <c r="L1393" t="s">
        <v>4673</v>
      </c>
      <c r="M1393">
        <f>VLOOKUP(SUBSTITUTE(J1393,"'",""),Sheet1!L:M,2,FALSE)</f>
        <v>54820</v>
      </c>
    </row>
    <row r="1394" spans="1:13" ht="13.5" customHeight="1" x14ac:dyDescent="0.4">
      <c r="A1394" s="1">
        <v>45896</v>
      </c>
      <c r="B1394" t="s">
        <v>403</v>
      </c>
      <c r="C1394">
        <v>13.95</v>
      </c>
      <c r="D1394" s="2" t="s">
        <v>404</v>
      </c>
      <c r="E1394" t="s">
        <v>403</v>
      </c>
      <c r="F1394" t="s">
        <v>29</v>
      </c>
      <c r="G1394" t="e">
        <f>-
NY</f>
        <v>#NAME?</v>
      </c>
      <c r="H1394">
        <v>11577</v>
      </c>
      <c r="I1394" t="s">
        <v>16</v>
      </c>
      <c r="J1394" t="s">
        <v>405</v>
      </c>
      <c r="K1394" t="s">
        <v>31</v>
      </c>
      <c r="L1394" t="s">
        <v>2047</v>
      </c>
      <c r="M1394">
        <f>VLOOKUP(SUBSTITUTE(J1394,"'",""),Sheet1!L:M,2,FALSE)</f>
        <v>61131</v>
      </c>
    </row>
    <row r="1395" spans="1:13" ht="13.5" customHeight="1" x14ac:dyDescent="0.4">
      <c r="A1395" s="1">
        <v>45897</v>
      </c>
      <c r="B1395" t="s">
        <v>977</v>
      </c>
      <c r="C1395">
        <v>10</v>
      </c>
      <c r="D1395" s="2" t="s">
        <v>2823</v>
      </c>
      <c r="E1395" t="s">
        <v>977</v>
      </c>
      <c r="F1395" s="2" t="s">
        <v>979</v>
      </c>
      <c r="G1395" s="2" t="s">
        <v>980</v>
      </c>
      <c r="H1395">
        <v>78259</v>
      </c>
      <c r="I1395" t="s">
        <v>16</v>
      </c>
      <c r="J1395" t="s">
        <v>2824</v>
      </c>
      <c r="K1395" t="s">
        <v>164</v>
      </c>
      <c r="L1395" t="s">
        <v>4673</v>
      </c>
      <c r="M1395">
        <f>VLOOKUP(SUBSTITUTE(J1395,"'",""),Sheet1!L:M,2,FALSE)</f>
        <v>54820</v>
      </c>
    </row>
    <row r="1396" spans="1:13" ht="13.5" customHeight="1" x14ac:dyDescent="0.4">
      <c r="A1396" s="1">
        <v>45897</v>
      </c>
      <c r="B1396" t="s">
        <v>977</v>
      </c>
      <c r="C1396">
        <v>10</v>
      </c>
      <c r="D1396" s="2" t="s">
        <v>2825</v>
      </c>
      <c r="E1396" t="s">
        <v>977</v>
      </c>
      <c r="F1396" s="2" t="s">
        <v>979</v>
      </c>
      <c r="G1396" s="2" t="s">
        <v>980</v>
      </c>
      <c r="H1396">
        <v>78259</v>
      </c>
      <c r="I1396" t="s">
        <v>16</v>
      </c>
      <c r="J1396" t="s">
        <v>2826</v>
      </c>
      <c r="K1396" t="s">
        <v>164</v>
      </c>
      <c r="L1396" t="s">
        <v>4673</v>
      </c>
      <c r="M1396">
        <f>VLOOKUP(SUBSTITUTE(J1396,"'",""),Sheet1!L:M,2,FALSE)</f>
        <v>54820</v>
      </c>
    </row>
    <row r="1397" spans="1:13" ht="13.5" customHeight="1" x14ac:dyDescent="0.4">
      <c r="A1397" s="1">
        <v>45897</v>
      </c>
      <c r="B1397" t="s">
        <v>2829</v>
      </c>
      <c r="C1397">
        <v>13.46</v>
      </c>
      <c r="D1397" s="2" t="s">
        <v>2830</v>
      </c>
      <c r="E1397" t="s">
        <v>2829</v>
      </c>
      <c r="F1397" t="s">
        <v>2831</v>
      </c>
      <c r="G1397" s="2" t="s">
        <v>41</v>
      </c>
      <c r="H1397">
        <v>10011</v>
      </c>
      <c r="I1397" t="s">
        <v>16</v>
      </c>
      <c r="J1397" t="s">
        <v>2832</v>
      </c>
      <c r="K1397" t="s">
        <v>305</v>
      </c>
      <c r="L1397" t="s">
        <v>4673</v>
      </c>
      <c r="M1397">
        <f>VLOOKUP(SUBSTITUTE(J1397,"'",""),Sheet1!L:M,2,FALSE)</f>
        <v>54820</v>
      </c>
    </row>
    <row r="1398" spans="1:13" ht="13.5" customHeight="1" x14ac:dyDescent="0.4">
      <c r="A1398" s="1">
        <v>45897</v>
      </c>
      <c r="B1398" t="s">
        <v>106</v>
      </c>
      <c r="C1398">
        <v>29.07</v>
      </c>
      <c r="D1398" s="2" t="s">
        <v>2833</v>
      </c>
      <c r="E1398" t="s">
        <v>106</v>
      </c>
      <c r="F1398" t="s">
        <v>108</v>
      </c>
      <c r="G1398" s="2" t="s">
        <v>41</v>
      </c>
      <c r="H1398">
        <v>10012</v>
      </c>
      <c r="I1398" t="s">
        <v>16</v>
      </c>
      <c r="J1398" t="s">
        <v>2834</v>
      </c>
      <c r="K1398" t="s">
        <v>110</v>
      </c>
      <c r="L1398" t="s">
        <v>4673</v>
      </c>
      <c r="M1398">
        <f>VLOOKUP(SUBSTITUTE(J1398,"'",""),Sheet1!L:M,2,FALSE)</f>
        <v>67500</v>
      </c>
    </row>
    <row r="1399" spans="1:13" ht="13.5" customHeight="1" x14ac:dyDescent="0.4">
      <c r="A1399" s="1">
        <v>45897</v>
      </c>
      <c r="B1399" t="s">
        <v>317</v>
      </c>
      <c r="C1399">
        <v>24.95</v>
      </c>
      <c r="D1399" s="2" t="s">
        <v>397</v>
      </c>
      <c r="E1399" t="s">
        <v>317</v>
      </c>
      <c r="F1399" s="2" t="s">
        <v>319</v>
      </c>
      <c r="G1399" s="2" t="s">
        <v>41</v>
      </c>
      <c r="H1399">
        <v>10285</v>
      </c>
      <c r="I1399" t="s">
        <v>16</v>
      </c>
      <c r="J1399" t="s">
        <v>398</v>
      </c>
      <c r="K1399" t="s">
        <v>321</v>
      </c>
      <c r="L1399" t="s">
        <v>2047</v>
      </c>
      <c r="M1399">
        <f>VLOOKUP(SUBSTITUTE(J1399,"'",""),Sheet1!L:M,2,FALSE)</f>
        <v>61131</v>
      </c>
    </row>
    <row r="1400" spans="1:13" ht="13.5" customHeight="1" x14ac:dyDescent="0.4">
      <c r="A1400" s="1">
        <v>45897</v>
      </c>
      <c r="B1400" t="s">
        <v>399</v>
      </c>
      <c r="C1400">
        <v>139.22</v>
      </c>
      <c r="D1400" s="2" t="s">
        <v>400</v>
      </c>
      <c r="E1400" t="s">
        <v>399</v>
      </c>
      <c r="F1400" t="s">
        <v>401</v>
      </c>
      <c r="G1400" s="2" t="s">
        <v>41</v>
      </c>
      <c r="H1400">
        <v>10010</v>
      </c>
      <c r="I1400" t="s">
        <v>16</v>
      </c>
      <c r="J1400" t="s">
        <v>402</v>
      </c>
      <c r="K1400" t="s">
        <v>126</v>
      </c>
      <c r="L1400" t="s">
        <v>2047</v>
      </c>
      <c r="M1400">
        <f>VLOOKUP(SUBSTITUTE(J1400,"'",""),Sheet1!L:M,2,FALSE)</f>
        <v>61215</v>
      </c>
    </row>
    <row r="1401" spans="1:13" ht="13.5" customHeight="1" x14ac:dyDescent="0.4">
      <c r="A1401" s="1">
        <v>45897</v>
      </c>
      <c r="B1401" t="s">
        <v>2835</v>
      </c>
      <c r="C1401">
        <v>870.19</v>
      </c>
      <c r="D1401" s="2" t="s">
        <v>2836</v>
      </c>
      <c r="E1401" t="s">
        <v>2835</v>
      </c>
      <c r="F1401" t="s">
        <v>2837</v>
      </c>
      <c r="G1401" s="2" t="s">
        <v>41</v>
      </c>
      <c r="H1401">
        <v>10003</v>
      </c>
      <c r="I1401" t="s">
        <v>16</v>
      </c>
      <c r="J1401" t="s">
        <v>2838</v>
      </c>
      <c r="K1401" t="s">
        <v>126</v>
      </c>
      <c r="L1401" t="s">
        <v>4673</v>
      </c>
      <c r="M1401">
        <f>VLOOKUP(SUBSTITUTE(J1401,"'",""),Sheet1!L:M,2,FALSE)</f>
        <v>61215</v>
      </c>
    </row>
    <row r="1402" spans="1:13" ht="13.5" customHeight="1" x14ac:dyDescent="0.4">
      <c r="A1402" s="1">
        <v>45897</v>
      </c>
      <c r="B1402" t="s">
        <v>2533</v>
      </c>
      <c r="C1402">
        <v>7.35</v>
      </c>
      <c r="D1402" s="2" t="s">
        <v>2827</v>
      </c>
      <c r="E1402" t="s">
        <v>2533</v>
      </c>
      <c r="F1402" t="s">
        <v>2535</v>
      </c>
      <c r="G1402" s="2" t="s">
        <v>41</v>
      </c>
      <c r="H1402" t="s">
        <v>2536</v>
      </c>
      <c r="I1402" t="s">
        <v>16</v>
      </c>
      <c r="J1402" t="s">
        <v>2828</v>
      </c>
      <c r="K1402" t="s">
        <v>164</v>
      </c>
      <c r="L1402" t="s">
        <v>4673</v>
      </c>
      <c r="M1402">
        <f>VLOOKUP(SUBSTITUTE(J1402,"'",""),Sheet1!L:M,2,FALSE)</f>
        <v>54820</v>
      </c>
    </row>
    <row r="1403" spans="1:13" ht="13.5" customHeight="1" x14ac:dyDescent="0.4">
      <c r="A1403" s="1">
        <v>45897</v>
      </c>
      <c r="B1403" t="s">
        <v>2085</v>
      </c>
      <c r="C1403">
        <v>35.24</v>
      </c>
      <c r="D1403" s="2" t="s">
        <v>2839</v>
      </c>
      <c r="E1403" t="s">
        <v>2085</v>
      </c>
      <c r="F1403" t="s">
        <v>2087</v>
      </c>
      <c r="G1403" s="2" t="s">
        <v>41</v>
      </c>
      <c r="H1403">
        <v>10001</v>
      </c>
      <c r="I1403" t="s">
        <v>16</v>
      </c>
      <c r="J1403" t="s">
        <v>2840</v>
      </c>
      <c r="K1403" t="s">
        <v>1218</v>
      </c>
      <c r="L1403" t="s">
        <v>4673</v>
      </c>
      <c r="M1403">
        <f>VLOOKUP(SUBSTITUTE(J1403,"'",""),Sheet1!L:M,2,FALSE)</f>
        <v>54820</v>
      </c>
    </row>
    <row r="1404" spans="1:13" ht="13.5" customHeight="1" x14ac:dyDescent="0.4">
      <c r="A1404" s="1">
        <v>45898</v>
      </c>
      <c r="B1404" t="s">
        <v>478</v>
      </c>
      <c r="C1404">
        <v>56.16</v>
      </c>
      <c r="D1404" s="2" t="s">
        <v>2816</v>
      </c>
      <c r="E1404" t="s">
        <v>480</v>
      </c>
      <c r="F1404" s="2" t="s">
        <v>481</v>
      </c>
      <c r="G1404" s="2" t="s">
        <v>35</v>
      </c>
      <c r="H1404">
        <v>94103</v>
      </c>
      <c r="I1404" t="s">
        <v>16</v>
      </c>
      <c r="J1404" t="s">
        <v>2817</v>
      </c>
      <c r="K1404" t="s">
        <v>483</v>
      </c>
      <c r="L1404" t="s">
        <v>4673</v>
      </c>
      <c r="M1404">
        <f>VLOOKUP(SUBSTITUTE(J1404,"'",""),Sheet1!L:M,2,FALSE)</f>
        <v>61130</v>
      </c>
    </row>
    <row r="1405" spans="1:13" ht="13.5" customHeight="1" x14ac:dyDescent="0.4">
      <c r="A1405" s="1">
        <v>45898</v>
      </c>
      <c r="B1405" t="s">
        <v>478</v>
      </c>
      <c r="C1405">
        <v>11.97</v>
      </c>
      <c r="D1405" s="2" t="s">
        <v>2812</v>
      </c>
      <c r="E1405" t="s">
        <v>480</v>
      </c>
      <c r="F1405" s="2" t="s">
        <v>481</v>
      </c>
      <c r="G1405" s="2" t="s">
        <v>35</v>
      </c>
      <c r="H1405">
        <v>94103</v>
      </c>
      <c r="I1405" t="s">
        <v>16</v>
      </c>
      <c r="J1405" t="s">
        <v>2813</v>
      </c>
      <c r="K1405" t="s">
        <v>483</v>
      </c>
      <c r="L1405" t="s">
        <v>4673</v>
      </c>
      <c r="M1405">
        <f>VLOOKUP(SUBSTITUTE(J1405,"'",""),Sheet1!L:M,2,FALSE)</f>
        <v>61130</v>
      </c>
    </row>
    <row r="1406" spans="1:13" ht="13.5" customHeight="1" x14ac:dyDescent="0.4">
      <c r="A1406" s="1">
        <v>45898</v>
      </c>
      <c r="B1406" t="s">
        <v>478</v>
      </c>
      <c r="C1406">
        <v>33.619999999999997</v>
      </c>
      <c r="D1406" s="2" t="s">
        <v>2814</v>
      </c>
      <c r="E1406" t="s">
        <v>480</v>
      </c>
      <c r="F1406" s="2" t="s">
        <v>481</v>
      </c>
      <c r="G1406" s="2" t="s">
        <v>35</v>
      </c>
      <c r="H1406">
        <v>94103</v>
      </c>
      <c r="I1406" t="s">
        <v>16</v>
      </c>
      <c r="J1406" t="s">
        <v>2815</v>
      </c>
      <c r="K1406" t="s">
        <v>483</v>
      </c>
      <c r="L1406" t="s">
        <v>4673</v>
      </c>
      <c r="M1406">
        <f>VLOOKUP(SUBSTITUTE(J1406,"'",""),Sheet1!L:M,2,FALSE)</f>
        <v>61130</v>
      </c>
    </row>
    <row r="1407" spans="1:13" ht="13.5" customHeight="1" x14ac:dyDescent="0.4">
      <c r="A1407" s="1">
        <v>45898</v>
      </c>
      <c r="B1407" t="s">
        <v>2818</v>
      </c>
      <c r="C1407">
        <v>22</v>
      </c>
      <c r="D1407" s="2" t="s">
        <v>2819</v>
      </c>
      <c r="E1407" t="s">
        <v>2818</v>
      </c>
      <c r="F1407" t="s">
        <v>2820</v>
      </c>
      <c r="G1407" s="2" t="s">
        <v>443</v>
      </c>
      <c r="H1407" t="s">
        <v>2821</v>
      </c>
      <c r="I1407" t="s">
        <v>16</v>
      </c>
      <c r="J1407" t="s">
        <v>2822</v>
      </c>
      <c r="K1407" t="s">
        <v>532</v>
      </c>
      <c r="L1407" t="s">
        <v>4673</v>
      </c>
      <c r="M1407">
        <f>VLOOKUP(SUBSTITUTE(J1407,"'",""),Sheet1!L:M,2,FALSE)</f>
        <v>54820</v>
      </c>
    </row>
    <row r="1408" spans="1:13" ht="13.5" customHeight="1" x14ac:dyDescent="0.4">
      <c r="A1408" s="1">
        <v>45898</v>
      </c>
      <c r="B1408" t="s">
        <v>392</v>
      </c>
      <c r="C1408">
        <v>51.05</v>
      </c>
      <c r="D1408" s="2" t="s">
        <v>393</v>
      </c>
      <c r="E1408" t="s">
        <v>392</v>
      </c>
      <c r="F1408" t="s">
        <v>394</v>
      </c>
      <c r="G1408" s="2" t="s">
        <v>41</v>
      </c>
      <c r="H1408" t="s">
        <v>395</v>
      </c>
      <c r="I1408" t="s">
        <v>16</v>
      </c>
      <c r="J1408" t="s">
        <v>396</v>
      </c>
      <c r="K1408" t="s">
        <v>126</v>
      </c>
      <c r="L1408" t="s">
        <v>2047</v>
      </c>
      <c r="M1408">
        <f>VLOOKUP(SUBSTITUTE(J1408,"'",""),Sheet1!L:M,2,FALSE)</f>
        <v>61215</v>
      </c>
    </row>
    <row r="1409" spans="1:13" ht="13.5" customHeight="1" x14ac:dyDescent="0.4">
      <c r="A1409" s="1">
        <v>45898</v>
      </c>
      <c r="B1409" t="s">
        <v>2458</v>
      </c>
      <c r="C1409">
        <v>2.9</v>
      </c>
      <c r="D1409" s="2" t="s">
        <v>2810</v>
      </c>
      <c r="E1409" t="s">
        <v>2458</v>
      </c>
      <c r="F1409" s="2" t="s">
        <v>2460</v>
      </c>
      <c r="G1409" s="2" t="s">
        <v>41</v>
      </c>
      <c r="H1409">
        <v>10004</v>
      </c>
      <c r="I1409" t="s">
        <v>16</v>
      </c>
      <c r="J1409" t="s">
        <v>2811</v>
      </c>
      <c r="K1409" t="s">
        <v>2462</v>
      </c>
      <c r="L1409" t="s">
        <v>4673</v>
      </c>
      <c r="M1409">
        <f>VLOOKUP(SUBSTITUTE(J1409,"'",""),Sheet1!L:M,2,FALSE)</f>
        <v>61133</v>
      </c>
    </row>
    <row r="1410" spans="1:13" ht="13.5" customHeight="1" x14ac:dyDescent="0.4">
      <c r="A1410" s="1">
        <v>45899</v>
      </c>
      <c r="B1410" t="s">
        <v>478</v>
      </c>
      <c r="C1410">
        <v>74.010000000000005</v>
      </c>
      <c r="D1410" s="2" t="s">
        <v>2806</v>
      </c>
      <c r="E1410" t="s">
        <v>480</v>
      </c>
      <c r="F1410" s="2" t="s">
        <v>481</v>
      </c>
      <c r="G1410" s="2" t="s">
        <v>35</v>
      </c>
      <c r="H1410">
        <v>94103</v>
      </c>
      <c r="I1410" t="s">
        <v>16</v>
      </c>
      <c r="J1410" t="s">
        <v>2807</v>
      </c>
      <c r="K1410" t="s">
        <v>483</v>
      </c>
      <c r="L1410" t="s">
        <v>4673</v>
      </c>
      <c r="M1410">
        <f>VLOOKUP(SUBSTITUTE(J1410,"'",""),Sheet1!L:M,2,FALSE)</f>
        <v>61130</v>
      </c>
    </row>
    <row r="1411" spans="1:13" ht="13.5" customHeight="1" x14ac:dyDescent="0.4">
      <c r="A1411" s="1">
        <v>45899</v>
      </c>
      <c r="B1411" t="s">
        <v>478</v>
      </c>
      <c r="C1411">
        <v>95.53</v>
      </c>
      <c r="D1411" s="2" t="s">
        <v>2808</v>
      </c>
      <c r="E1411" t="s">
        <v>480</v>
      </c>
      <c r="F1411" s="2" t="s">
        <v>481</v>
      </c>
      <c r="G1411" s="2" t="s">
        <v>35</v>
      </c>
      <c r="H1411">
        <v>94103</v>
      </c>
      <c r="I1411" t="s">
        <v>16</v>
      </c>
      <c r="J1411" t="s">
        <v>2809</v>
      </c>
      <c r="K1411" t="s">
        <v>483</v>
      </c>
      <c r="L1411" t="s">
        <v>4673</v>
      </c>
      <c r="M1411">
        <f>VLOOKUP(SUBSTITUTE(J1411,"'",""),Sheet1!L:M,2,FALSE)</f>
        <v>61130</v>
      </c>
    </row>
    <row r="1412" spans="1:13" ht="13.5" customHeight="1" x14ac:dyDescent="0.4">
      <c r="A1412" s="1">
        <v>45899</v>
      </c>
      <c r="B1412" t="s">
        <v>478</v>
      </c>
      <c r="C1412">
        <v>51.22</v>
      </c>
      <c r="D1412" s="2" t="s">
        <v>2804</v>
      </c>
      <c r="E1412" t="s">
        <v>480</v>
      </c>
      <c r="F1412" s="2" t="s">
        <v>481</v>
      </c>
      <c r="G1412" s="2" t="s">
        <v>35</v>
      </c>
      <c r="H1412">
        <v>94103</v>
      </c>
      <c r="I1412" t="s">
        <v>16</v>
      </c>
      <c r="J1412" t="s">
        <v>2805</v>
      </c>
      <c r="K1412" t="s">
        <v>483</v>
      </c>
      <c r="L1412" t="s">
        <v>4673</v>
      </c>
      <c r="M1412">
        <f>VLOOKUP(SUBSTITUTE(J1412,"'",""),Sheet1!L:M,2,FALSE)</f>
        <v>61130</v>
      </c>
    </row>
    <row r="1413" spans="1:13" ht="13.5" customHeight="1" x14ac:dyDescent="0.4">
      <c r="A1413" s="1">
        <v>45899</v>
      </c>
      <c r="B1413" t="s">
        <v>2799</v>
      </c>
      <c r="C1413">
        <v>1520</v>
      </c>
      <c r="D1413" s="2" t="s">
        <v>2800</v>
      </c>
      <c r="E1413" t="s">
        <v>2799</v>
      </c>
      <c r="F1413" t="s">
        <v>2801</v>
      </c>
      <c r="G1413" s="2" t="s">
        <v>41</v>
      </c>
      <c r="H1413" t="s">
        <v>2802</v>
      </c>
      <c r="I1413" t="s">
        <v>16</v>
      </c>
      <c r="J1413" t="s">
        <v>2803</v>
      </c>
      <c r="K1413" t="s">
        <v>126</v>
      </c>
      <c r="L1413" t="s">
        <v>4673</v>
      </c>
      <c r="M1413">
        <f>VLOOKUP(SUBSTITUTE(J1413,"'",""),Sheet1!L:M,2,FALSE)</f>
        <v>61215</v>
      </c>
    </row>
    <row r="1414" spans="1:13" ht="13.5" customHeight="1" x14ac:dyDescent="0.4">
      <c r="A1414" s="1">
        <v>45899</v>
      </c>
      <c r="B1414" t="s">
        <v>140</v>
      </c>
      <c r="C1414">
        <v>35.9</v>
      </c>
      <c r="D1414" s="2" t="s">
        <v>2795</v>
      </c>
      <c r="E1414" t="s">
        <v>142</v>
      </c>
      <c r="F1414" t="s">
        <v>143</v>
      </c>
      <c r="G1414" s="2" t="s">
        <v>14</v>
      </c>
      <c r="H1414">
        <v>98109</v>
      </c>
      <c r="I1414" t="s">
        <v>16</v>
      </c>
      <c r="J1414" t="s">
        <v>2796</v>
      </c>
      <c r="K1414" t="s">
        <v>18</v>
      </c>
      <c r="L1414" t="s">
        <v>4673</v>
      </c>
      <c r="M1414">
        <f>VLOOKUP(SUBSTITUTE(J1414,"'",""),Sheet1!L:M,2,FALSE)</f>
        <v>54820</v>
      </c>
    </row>
    <row r="1415" spans="1:13" ht="13.5" customHeight="1" x14ac:dyDescent="0.4">
      <c r="A1415" s="1">
        <v>45899</v>
      </c>
      <c r="B1415" t="s">
        <v>977</v>
      </c>
      <c r="C1415">
        <v>10</v>
      </c>
      <c r="D1415" s="2" t="s">
        <v>2797</v>
      </c>
      <c r="E1415" t="s">
        <v>977</v>
      </c>
      <c r="F1415" s="2" t="s">
        <v>979</v>
      </c>
      <c r="G1415" s="2" t="s">
        <v>980</v>
      </c>
      <c r="H1415">
        <v>78259</v>
      </c>
      <c r="I1415" t="s">
        <v>16</v>
      </c>
      <c r="J1415" t="s">
        <v>2798</v>
      </c>
      <c r="K1415" t="s">
        <v>164</v>
      </c>
      <c r="L1415" t="s">
        <v>4673</v>
      </c>
      <c r="M1415">
        <f>VLOOKUP(SUBSTITUTE(J1415,"'",""),Sheet1!L:M,2,FALSE)</f>
        <v>54820</v>
      </c>
    </row>
    <row r="1416" spans="1:13" ht="13.5" customHeight="1" x14ac:dyDescent="0.4">
      <c r="A1416" s="1">
        <v>45900</v>
      </c>
      <c r="B1416" t="s">
        <v>583</v>
      </c>
      <c r="C1416">
        <v>117.77</v>
      </c>
      <c r="D1416" s="2" t="s">
        <v>2793</v>
      </c>
      <c r="E1416" t="s">
        <v>583</v>
      </c>
      <c r="F1416" s="2" t="s">
        <v>585</v>
      </c>
      <c r="G1416" s="2" t="s">
        <v>35</v>
      </c>
      <c r="H1416">
        <v>94103</v>
      </c>
      <c r="I1416" t="s">
        <v>16</v>
      </c>
      <c r="J1416" t="s">
        <v>2794</v>
      </c>
      <c r="K1416" t="s">
        <v>126</v>
      </c>
      <c r="L1416" t="s">
        <v>4673</v>
      </c>
      <c r="M1416">
        <f>VLOOKUP(SUBSTITUTE(J1416,"'",""),Sheet1!L:M,2,FALSE)</f>
        <v>54820</v>
      </c>
    </row>
    <row r="1417" spans="1:13" ht="13.5" customHeight="1" x14ac:dyDescent="0.4">
      <c r="A1417" s="1">
        <v>45900</v>
      </c>
      <c r="B1417" t="s">
        <v>2788</v>
      </c>
      <c r="C1417">
        <v>53</v>
      </c>
      <c r="D1417" s="2" t="s">
        <v>2789</v>
      </c>
      <c r="E1417" t="s">
        <v>2788</v>
      </c>
      <c r="F1417" t="s">
        <v>2248</v>
      </c>
      <c r="G1417" s="2" t="s">
        <v>2249</v>
      </c>
      <c r="H1417">
        <v>94025</v>
      </c>
      <c r="I1417" t="s">
        <v>16</v>
      </c>
      <c r="J1417" t="s">
        <v>2790</v>
      </c>
      <c r="K1417" t="s">
        <v>2335</v>
      </c>
      <c r="L1417" t="s">
        <v>4673</v>
      </c>
      <c r="M1417">
        <f>VLOOKUP(SUBSTITUTE(J1417,"'",""),Sheet1!L:M,2,FALSE)</f>
        <v>54820</v>
      </c>
    </row>
    <row r="1418" spans="1:13" ht="13.5" customHeight="1" x14ac:dyDescent="0.4">
      <c r="A1418" s="1">
        <v>45900</v>
      </c>
      <c r="B1418" t="s">
        <v>2706</v>
      </c>
      <c r="C1418">
        <v>80</v>
      </c>
      <c r="D1418" s="2" t="s">
        <v>2791</v>
      </c>
      <c r="E1418" t="s">
        <v>2706</v>
      </c>
      <c r="F1418" s="2" t="s">
        <v>2708</v>
      </c>
      <c r="G1418" s="2" t="s">
        <v>2411</v>
      </c>
      <c r="H1418">
        <v>19805</v>
      </c>
      <c r="I1418" t="s">
        <v>16</v>
      </c>
      <c r="J1418" t="s">
        <v>2792</v>
      </c>
      <c r="K1418" t="s">
        <v>2710</v>
      </c>
      <c r="L1418" t="s">
        <v>4673</v>
      </c>
      <c r="M1418">
        <f>VLOOKUP(SUBSTITUTE(J1418,"'",""),Sheet1!L:M,2,FALSE)</f>
        <v>54820</v>
      </c>
    </row>
    <row r="1419" spans="1:13" ht="13.5" customHeight="1" x14ac:dyDescent="0.4">
      <c r="A1419" s="1">
        <v>45900</v>
      </c>
      <c r="B1419" t="s">
        <v>2783</v>
      </c>
      <c r="C1419">
        <v>40</v>
      </c>
      <c r="D1419" s="2" t="s">
        <v>2784</v>
      </c>
      <c r="E1419" t="s">
        <v>2783</v>
      </c>
      <c r="F1419" s="2" t="s">
        <v>2785</v>
      </c>
      <c r="G1419" s="2" t="s">
        <v>2786</v>
      </c>
      <c r="H1419">
        <v>10011</v>
      </c>
      <c r="I1419" t="s">
        <v>16</v>
      </c>
      <c r="J1419" t="s">
        <v>2787</v>
      </c>
      <c r="K1419" t="s">
        <v>1304</v>
      </c>
      <c r="L1419" t="s">
        <v>4673</v>
      </c>
      <c r="M1419">
        <f>VLOOKUP(SUBSTITUTE(J1419,"'",""),Sheet1!L:M,2,FALSE)</f>
        <v>54820</v>
      </c>
    </row>
    <row r="1420" spans="1:13" ht="13.5" customHeight="1" x14ac:dyDescent="0.4">
      <c r="A1420" s="1">
        <v>45901</v>
      </c>
      <c r="B1420" t="s">
        <v>2429</v>
      </c>
      <c r="C1420">
        <v>576.09</v>
      </c>
      <c r="D1420" s="2" t="s">
        <v>2779</v>
      </c>
      <c r="E1420" t="s">
        <v>2429</v>
      </c>
      <c r="F1420" t="s">
        <v>13</v>
      </c>
      <c r="G1420" s="2" t="s">
        <v>14</v>
      </c>
      <c r="H1420">
        <v>98101</v>
      </c>
      <c r="I1420" t="s">
        <v>16</v>
      </c>
      <c r="J1420" t="s">
        <v>2780</v>
      </c>
      <c r="K1420" t="s">
        <v>18</v>
      </c>
      <c r="L1420" t="s">
        <v>4673</v>
      </c>
      <c r="M1420">
        <f>VLOOKUP(SUBSTITUTE(J1420,"'",""),Sheet1!L:M,2,FALSE)</f>
        <v>64101</v>
      </c>
    </row>
    <row r="1421" spans="1:13" ht="13.5" customHeight="1" x14ac:dyDescent="0.4">
      <c r="A1421" s="1">
        <v>45901</v>
      </c>
      <c r="B1421" t="s">
        <v>583</v>
      </c>
      <c r="C1421">
        <v>192.3</v>
      </c>
      <c r="D1421" s="2" t="s">
        <v>2781</v>
      </c>
      <c r="E1421" t="s">
        <v>583</v>
      </c>
      <c r="F1421" s="2" t="s">
        <v>585</v>
      </c>
      <c r="G1421" s="2" t="s">
        <v>35</v>
      </c>
      <c r="H1421">
        <v>94103</v>
      </c>
      <c r="I1421" t="s">
        <v>16</v>
      </c>
      <c r="J1421" t="s">
        <v>2782</v>
      </c>
      <c r="K1421" t="s">
        <v>126</v>
      </c>
      <c r="L1421" t="s">
        <v>4673</v>
      </c>
      <c r="M1421">
        <f>VLOOKUP(SUBSTITUTE(J1421,"'",""),Sheet1!L:M,2,FALSE)</f>
        <v>54820</v>
      </c>
    </row>
    <row r="1422" spans="1:13" ht="13.5" customHeight="1" x14ac:dyDescent="0.4">
      <c r="A1422" s="1">
        <v>45901</v>
      </c>
      <c r="B1422" t="s">
        <v>234</v>
      </c>
      <c r="C1422">
        <v>334.49</v>
      </c>
      <c r="D1422" s="2" t="s">
        <v>390</v>
      </c>
      <c r="E1422" t="s">
        <v>236</v>
      </c>
      <c r="F1422" t="s">
        <v>237</v>
      </c>
      <c r="G1422" s="2" t="s">
        <v>238</v>
      </c>
      <c r="H1422" t="s">
        <v>239</v>
      </c>
      <c r="I1422" t="s">
        <v>16</v>
      </c>
      <c r="J1422" t="s">
        <v>391</v>
      </c>
      <c r="K1422" t="s">
        <v>90</v>
      </c>
      <c r="L1422" t="s">
        <v>2047</v>
      </c>
      <c r="M1422">
        <f>VLOOKUP(SUBSTITUTE(J1422,"'",""),Sheet1!L:M,2,FALSE)</f>
        <v>65700</v>
      </c>
    </row>
    <row r="1423" spans="1:13" ht="13.5" customHeight="1" x14ac:dyDescent="0.4">
      <c r="A1423" s="1">
        <v>45901</v>
      </c>
      <c r="B1423" t="s">
        <v>140</v>
      </c>
      <c r="C1423">
        <v>42.44</v>
      </c>
      <c r="D1423" s="2" t="s">
        <v>2777</v>
      </c>
      <c r="E1423" t="s">
        <v>142</v>
      </c>
      <c r="F1423" t="s">
        <v>143</v>
      </c>
      <c r="G1423" s="2" t="s">
        <v>14</v>
      </c>
      <c r="H1423">
        <v>98109</v>
      </c>
      <c r="I1423" t="s">
        <v>16</v>
      </c>
      <c r="J1423" t="s">
        <v>2778</v>
      </c>
      <c r="K1423" t="s">
        <v>18</v>
      </c>
      <c r="L1423" t="s">
        <v>4673</v>
      </c>
      <c r="M1423">
        <f>VLOOKUP(SUBSTITUTE(J1423,"'",""),Sheet1!L:M,2,FALSE)</f>
        <v>54820</v>
      </c>
    </row>
    <row r="1424" spans="1:13" ht="13.5" customHeight="1" x14ac:dyDescent="0.4">
      <c r="A1424" s="1">
        <v>45902</v>
      </c>
      <c r="B1424" t="s">
        <v>478</v>
      </c>
      <c r="C1424">
        <v>7.68</v>
      </c>
      <c r="D1424" s="2" t="s">
        <v>2775</v>
      </c>
      <c r="E1424" t="s">
        <v>480</v>
      </c>
      <c r="F1424" s="2" t="s">
        <v>481</v>
      </c>
      <c r="G1424" s="2" t="s">
        <v>35</v>
      </c>
      <c r="H1424">
        <v>94103</v>
      </c>
      <c r="I1424" t="s">
        <v>16</v>
      </c>
      <c r="J1424" t="s">
        <v>2776</v>
      </c>
      <c r="K1424" t="s">
        <v>483</v>
      </c>
      <c r="L1424" t="s">
        <v>4673</v>
      </c>
      <c r="M1424">
        <f>VLOOKUP(SUBSTITUTE(J1424,"'",""),Sheet1!L:M,2,FALSE)</f>
        <v>61130</v>
      </c>
    </row>
    <row r="1425" spans="1:13" ht="13.5" customHeight="1" x14ac:dyDescent="0.4">
      <c r="A1425" s="1">
        <v>45902</v>
      </c>
      <c r="B1425" t="s">
        <v>2181</v>
      </c>
      <c r="C1425">
        <v>42.68</v>
      </c>
      <c r="D1425" s="2" t="s">
        <v>2762</v>
      </c>
      <c r="E1425" t="s">
        <v>2181</v>
      </c>
      <c r="F1425" s="2" t="s">
        <v>2183</v>
      </c>
      <c r="G1425" s="2" t="s">
        <v>1376</v>
      </c>
      <c r="H1425" t="s">
        <v>2184</v>
      </c>
      <c r="I1425" t="s">
        <v>16</v>
      </c>
      <c r="J1425" t="s">
        <v>2763</v>
      </c>
      <c r="K1425" t="s">
        <v>18</v>
      </c>
      <c r="L1425" t="s">
        <v>4673</v>
      </c>
      <c r="M1425">
        <f>VLOOKUP(SUBSTITUTE(J1425,"'",""),Sheet1!L:M,2,FALSE)</f>
        <v>54820</v>
      </c>
    </row>
    <row r="1426" spans="1:13" ht="13.5" customHeight="1" x14ac:dyDescent="0.4">
      <c r="A1426" s="1">
        <v>45902</v>
      </c>
      <c r="B1426" t="s">
        <v>106</v>
      </c>
      <c r="C1426">
        <v>136.26</v>
      </c>
      <c r="D1426" s="2" t="s">
        <v>386</v>
      </c>
      <c r="E1426" t="s">
        <v>106</v>
      </c>
      <c r="F1426" t="s">
        <v>108</v>
      </c>
      <c r="G1426" s="2" t="s">
        <v>41</v>
      </c>
      <c r="H1426">
        <v>10012</v>
      </c>
      <c r="I1426" t="s">
        <v>16</v>
      </c>
      <c r="J1426" t="s">
        <v>387</v>
      </c>
      <c r="K1426" t="s">
        <v>110</v>
      </c>
      <c r="L1426" t="s">
        <v>2047</v>
      </c>
      <c r="M1426">
        <f>VLOOKUP(SUBSTITUTE(J1426,"'",""),Sheet1!L:M,2,FALSE)</f>
        <v>67500</v>
      </c>
    </row>
    <row r="1427" spans="1:13" ht="13.5" customHeight="1" x14ac:dyDescent="0.4">
      <c r="A1427" s="1">
        <v>45902</v>
      </c>
      <c r="B1427" t="s">
        <v>2190</v>
      </c>
      <c r="C1427">
        <v>9.7100000000000009</v>
      </c>
      <c r="D1427" s="2" t="s">
        <v>2773</v>
      </c>
      <c r="E1427" t="s">
        <v>2190</v>
      </c>
      <c r="F1427" t="s">
        <v>2192</v>
      </c>
      <c r="G1427" s="2" t="s">
        <v>41</v>
      </c>
      <c r="H1427">
        <v>10003</v>
      </c>
      <c r="I1427" t="s">
        <v>16</v>
      </c>
      <c r="J1427" t="s">
        <v>2774</v>
      </c>
      <c r="K1427" t="s">
        <v>305</v>
      </c>
      <c r="L1427" t="s">
        <v>4673</v>
      </c>
      <c r="M1427">
        <f>VLOOKUP(SUBSTITUTE(J1427,"'",""),Sheet1!L:M,2,FALSE)</f>
        <v>54820</v>
      </c>
    </row>
    <row r="1428" spans="1:13" ht="13.5" customHeight="1" x14ac:dyDescent="0.4">
      <c r="A1428" s="1">
        <v>45902</v>
      </c>
      <c r="B1428" t="s">
        <v>213</v>
      </c>
      <c r="C1428">
        <v>21.4</v>
      </c>
      <c r="D1428" s="2" t="s">
        <v>384</v>
      </c>
      <c r="E1428" t="s">
        <v>213</v>
      </c>
      <c r="F1428" s="2" t="s">
        <v>215</v>
      </c>
      <c r="G1428" s="2" t="s">
        <v>216</v>
      </c>
      <c r="H1428" s="3" t="s">
        <v>217</v>
      </c>
      <c r="I1428" t="s">
        <v>16</v>
      </c>
      <c r="J1428" t="s">
        <v>385</v>
      </c>
      <c r="K1428" t="s">
        <v>188</v>
      </c>
      <c r="L1428" t="s">
        <v>2047</v>
      </c>
      <c r="M1428">
        <f>VLOOKUP(SUBSTITUTE(J1428,"'",""),Sheet1!L:M,2,FALSE)</f>
        <v>64100</v>
      </c>
    </row>
    <row r="1429" spans="1:13" ht="13.5" customHeight="1" x14ac:dyDescent="0.4">
      <c r="A1429" s="1">
        <v>45902</v>
      </c>
      <c r="B1429" t="s">
        <v>2768</v>
      </c>
      <c r="C1429">
        <v>117.95</v>
      </c>
      <c r="D1429" s="2" t="s">
        <v>2769</v>
      </c>
      <c r="E1429" t="s">
        <v>2768</v>
      </c>
      <c r="F1429" t="s">
        <v>2770</v>
      </c>
      <c r="G1429" s="2" t="s">
        <v>819</v>
      </c>
      <c r="H1429" t="s">
        <v>2771</v>
      </c>
      <c r="I1429" t="s">
        <v>16</v>
      </c>
      <c r="J1429" t="s">
        <v>2772</v>
      </c>
      <c r="K1429" t="s">
        <v>174</v>
      </c>
      <c r="L1429" t="s">
        <v>4673</v>
      </c>
      <c r="M1429">
        <f>VLOOKUP(SUBSTITUTE(J1429,"'",""),Sheet1!L:M,2,FALSE)</f>
        <v>54820</v>
      </c>
    </row>
    <row r="1430" spans="1:13" ht="13.5" customHeight="1" x14ac:dyDescent="0.4">
      <c r="A1430" s="1">
        <v>45902</v>
      </c>
      <c r="B1430" t="s">
        <v>2764</v>
      </c>
      <c r="C1430">
        <v>13.77</v>
      </c>
      <c r="D1430" s="2" t="s">
        <v>2765</v>
      </c>
      <c r="E1430" t="s">
        <v>2764</v>
      </c>
      <c r="F1430" t="s">
        <v>2766</v>
      </c>
      <c r="G1430" s="2" t="s">
        <v>41</v>
      </c>
      <c r="H1430">
        <v>10011</v>
      </c>
      <c r="I1430" t="s">
        <v>16</v>
      </c>
      <c r="J1430" t="s">
        <v>2767</v>
      </c>
      <c r="K1430" t="s">
        <v>305</v>
      </c>
      <c r="L1430" t="s">
        <v>4673</v>
      </c>
      <c r="M1430">
        <f>VLOOKUP(SUBSTITUTE(J1430,"'",""),Sheet1!L:M,2,FALSE)</f>
        <v>54820</v>
      </c>
    </row>
    <row r="1431" spans="1:13" ht="13.5" customHeight="1" x14ac:dyDescent="0.4">
      <c r="A1431" s="1">
        <v>45902</v>
      </c>
      <c r="B1431" t="s">
        <v>222</v>
      </c>
      <c r="C1431">
        <v>79</v>
      </c>
      <c r="D1431" s="2" t="s">
        <v>388</v>
      </c>
      <c r="E1431" t="s">
        <v>222</v>
      </c>
      <c r="F1431" t="s">
        <v>224</v>
      </c>
      <c r="G1431" s="2" t="s">
        <v>35</v>
      </c>
      <c r="H1431">
        <v>94104</v>
      </c>
      <c r="I1431" t="s">
        <v>16</v>
      </c>
      <c r="J1431" t="s">
        <v>389</v>
      </c>
      <c r="K1431" t="s">
        <v>37</v>
      </c>
      <c r="L1431" t="s">
        <v>2047</v>
      </c>
      <c r="M1431">
        <f>VLOOKUP(SUBSTITUTE(J1431,"'",""),Sheet1!L:M,2,FALSE)</f>
        <v>64200</v>
      </c>
    </row>
    <row r="1432" spans="1:13" ht="13.5" customHeight="1" x14ac:dyDescent="0.4">
      <c r="A1432" s="1">
        <v>45903</v>
      </c>
      <c r="B1432" t="s">
        <v>478</v>
      </c>
      <c r="C1432">
        <v>68.709999999999994</v>
      </c>
      <c r="D1432" s="2" t="s">
        <v>2758</v>
      </c>
      <c r="E1432" t="s">
        <v>480</v>
      </c>
      <c r="F1432" s="2" t="s">
        <v>481</v>
      </c>
      <c r="G1432" s="2" t="s">
        <v>35</v>
      </c>
      <c r="H1432">
        <v>94103</v>
      </c>
      <c r="I1432" t="s">
        <v>16</v>
      </c>
      <c r="J1432" t="s">
        <v>2759</v>
      </c>
      <c r="K1432" t="s">
        <v>483</v>
      </c>
      <c r="L1432" t="s">
        <v>4673</v>
      </c>
      <c r="M1432">
        <f>VLOOKUP(SUBSTITUTE(J1432,"'",""),Sheet1!L:M,2,FALSE)</f>
        <v>61130</v>
      </c>
    </row>
    <row r="1433" spans="1:13" ht="13.5" customHeight="1" x14ac:dyDescent="0.4">
      <c r="A1433" s="1">
        <v>45903</v>
      </c>
      <c r="B1433" t="s">
        <v>153</v>
      </c>
      <c r="C1433">
        <v>25.84</v>
      </c>
      <c r="D1433" s="2" t="s">
        <v>382</v>
      </c>
      <c r="E1433" t="s">
        <v>153</v>
      </c>
      <c r="F1433" t="s">
        <v>155</v>
      </c>
      <c r="G1433" s="2" t="s">
        <v>156</v>
      </c>
      <c r="H1433">
        <v>98052</v>
      </c>
      <c r="I1433" t="s">
        <v>16</v>
      </c>
      <c r="J1433" t="s">
        <v>383</v>
      </c>
      <c r="K1433" t="s">
        <v>96</v>
      </c>
      <c r="L1433" t="s">
        <v>2047</v>
      </c>
      <c r="M1433">
        <f>VLOOKUP(SUBSTITUTE(J1433,"'",""),Sheet1!L:M,2,FALSE)</f>
        <v>64100</v>
      </c>
    </row>
    <row r="1434" spans="1:13" ht="13.5" customHeight="1" x14ac:dyDescent="0.4">
      <c r="A1434" s="1">
        <v>45903</v>
      </c>
      <c r="B1434" t="s">
        <v>2400</v>
      </c>
      <c r="C1434">
        <v>21.39</v>
      </c>
      <c r="D1434" s="2" t="s">
        <v>2401</v>
      </c>
      <c r="E1434" t="s">
        <v>2400</v>
      </c>
      <c r="F1434" t="s">
        <v>2402</v>
      </c>
      <c r="G1434" s="2" t="s">
        <v>41</v>
      </c>
      <c r="H1434">
        <v>10019</v>
      </c>
      <c r="I1434" t="s">
        <v>16</v>
      </c>
      <c r="J1434" t="s">
        <v>2751</v>
      </c>
      <c r="K1434" t="s">
        <v>110</v>
      </c>
      <c r="L1434" t="s">
        <v>4673</v>
      </c>
      <c r="M1434">
        <f>VLOOKUP(SUBSTITUTE(J1434,"'",""),Sheet1!L:M,2,FALSE)</f>
        <v>67500</v>
      </c>
    </row>
    <row r="1435" spans="1:13" ht="13.5" customHeight="1" x14ac:dyDescent="0.4">
      <c r="A1435" s="1">
        <v>45903</v>
      </c>
      <c r="B1435" t="s">
        <v>379</v>
      </c>
      <c r="C1435">
        <v>9.15</v>
      </c>
      <c r="D1435" s="2" t="s">
        <v>380</v>
      </c>
      <c r="E1435" t="s">
        <v>379</v>
      </c>
      <c r="F1435" t="s">
        <v>29</v>
      </c>
      <c r="G1435" t="e">
        <f>-
NY</f>
        <v>#NAME?</v>
      </c>
      <c r="H1435">
        <v>11577</v>
      </c>
      <c r="I1435" t="s">
        <v>16</v>
      </c>
      <c r="J1435" t="s">
        <v>381</v>
      </c>
      <c r="K1435" t="s">
        <v>31</v>
      </c>
      <c r="L1435" t="s">
        <v>2047</v>
      </c>
      <c r="M1435">
        <f>VLOOKUP(SUBSTITUTE(J1435,"'",""),Sheet1!L:M,2,FALSE)</f>
        <v>61131</v>
      </c>
    </row>
    <row r="1436" spans="1:13" ht="13.5" customHeight="1" x14ac:dyDescent="0.4">
      <c r="A1436" s="1">
        <v>45903</v>
      </c>
      <c r="B1436" t="s">
        <v>2240</v>
      </c>
      <c r="C1436">
        <v>78.430000000000007</v>
      </c>
      <c r="D1436" s="2" t="s">
        <v>2760</v>
      </c>
      <c r="E1436" t="s">
        <v>2240</v>
      </c>
      <c r="F1436" t="s">
        <v>2242</v>
      </c>
      <c r="G1436" s="2" t="s">
        <v>41</v>
      </c>
      <c r="H1436">
        <v>10003</v>
      </c>
      <c r="I1436" t="s">
        <v>16</v>
      </c>
      <c r="J1436" t="s">
        <v>2761</v>
      </c>
      <c r="K1436" t="s">
        <v>1218</v>
      </c>
      <c r="L1436" t="s">
        <v>4673</v>
      </c>
      <c r="M1436">
        <f>VLOOKUP(SUBSTITUTE(J1436,"'",""),Sheet1!L:M,2,FALSE)</f>
        <v>54820</v>
      </c>
    </row>
    <row r="1437" spans="1:13" ht="13.5" customHeight="1" x14ac:dyDescent="0.4">
      <c r="A1437" s="1">
        <v>45903</v>
      </c>
      <c r="B1437" t="s">
        <v>2752</v>
      </c>
      <c r="C1437">
        <v>32.07</v>
      </c>
      <c r="D1437" s="2" t="s">
        <v>2753</v>
      </c>
      <c r="E1437" t="s">
        <v>2752</v>
      </c>
      <c r="F1437" s="2" t="s">
        <v>167</v>
      </c>
      <c r="G1437" s="2" t="s">
        <v>87</v>
      </c>
      <c r="H1437">
        <v>75202</v>
      </c>
      <c r="I1437" t="s">
        <v>16</v>
      </c>
      <c r="J1437" t="s">
        <v>2754</v>
      </c>
      <c r="K1437" t="s">
        <v>96</v>
      </c>
      <c r="L1437" t="s">
        <v>4673</v>
      </c>
      <c r="M1437">
        <f>VLOOKUP(SUBSTITUTE(J1437,"'",""),Sheet1!L:M,2,FALSE)</f>
        <v>64100</v>
      </c>
    </row>
    <row r="1438" spans="1:13" ht="13.5" customHeight="1" x14ac:dyDescent="0.4">
      <c r="A1438" s="1">
        <v>45903</v>
      </c>
      <c r="B1438" t="s">
        <v>2755</v>
      </c>
      <c r="C1438">
        <v>68.48</v>
      </c>
      <c r="D1438" s="2" t="s">
        <v>2756</v>
      </c>
      <c r="E1438" t="s">
        <v>2755</v>
      </c>
      <c r="F1438" s="2" t="s">
        <v>167</v>
      </c>
      <c r="G1438" s="2" t="s">
        <v>87</v>
      </c>
      <c r="H1438">
        <v>75202</v>
      </c>
      <c r="I1438" t="s">
        <v>16</v>
      </c>
      <c r="J1438" t="s">
        <v>2757</v>
      </c>
      <c r="K1438" t="s">
        <v>96</v>
      </c>
      <c r="L1438" t="s">
        <v>4673</v>
      </c>
      <c r="M1438">
        <f>VLOOKUP(SUBSTITUTE(J1438,"'",""),Sheet1!L:M,2,FALSE)</f>
        <v>64100</v>
      </c>
    </row>
    <row r="1439" spans="1:13" ht="13.5" customHeight="1" x14ac:dyDescent="0.4">
      <c r="A1439" s="1">
        <v>45904</v>
      </c>
      <c r="B1439" t="s">
        <v>196</v>
      </c>
      <c r="C1439">
        <v>10.99</v>
      </c>
      <c r="D1439" s="2" t="s">
        <v>197</v>
      </c>
      <c r="E1439" t="s">
        <v>196</v>
      </c>
      <c r="F1439" t="s">
        <v>198</v>
      </c>
      <c r="G1439" s="2" t="s">
        <v>199</v>
      </c>
      <c r="H1439">
        <v>91608</v>
      </c>
      <c r="I1439" t="s">
        <v>16</v>
      </c>
      <c r="J1439" t="s">
        <v>378</v>
      </c>
      <c r="K1439" t="s">
        <v>201</v>
      </c>
      <c r="L1439" t="s">
        <v>2047</v>
      </c>
      <c r="M1439">
        <f>VLOOKUP(SUBSTITUTE(J1439,"'",""),Sheet1!L:M,2,FALSE)</f>
        <v>54820</v>
      </c>
    </row>
    <row r="1440" spans="1:13" ht="13.5" customHeight="1" x14ac:dyDescent="0.4">
      <c r="A1440" s="1">
        <v>45904</v>
      </c>
      <c r="B1440" t="s">
        <v>2190</v>
      </c>
      <c r="C1440">
        <v>8.44</v>
      </c>
      <c r="D1440" s="2" t="s">
        <v>2739</v>
      </c>
      <c r="E1440" t="s">
        <v>2190</v>
      </c>
      <c r="F1440" t="s">
        <v>2192</v>
      </c>
      <c r="G1440" s="2" t="s">
        <v>41</v>
      </c>
      <c r="H1440">
        <v>10003</v>
      </c>
      <c r="I1440" t="s">
        <v>16</v>
      </c>
      <c r="J1440" t="s">
        <v>2740</v>
      </c>
      <c r="K1440" t="s">
        <v>305</v>
      </c>
      <c r="L1440" t="s">
        <v>4673</v>
      </c>
      <c r="M1440">
        <f>VLOOKUP(SUBSTITUTE(J1440,"'",""),Sheet1!L:M,2,FALSE)</f>
        <v>54820</v>
      </c>
    </row>
    <row r="1441" spans="1:13" ht="13.5" customHeight="1" x14ac:dyDescent="0.4">
      <c r="A1441" s="1">
        <v>45904</v>
      </c>
      <c r="B1441" t="s">
        <v>583</v>
      </c>
      <c r="C1441">
        <v>106.85</v>
      </c>
      <c r="D1441" s="2" t="s">
        <v>2747</v>
      </c>
      <c r="E1441" t="s">
        <v>583</v>
      </c>
      <c r="F1441" s="2" t="s">
        <v>585</v>
      </c>
      <c r="G1441" s="2" t="s">
        <v>35</v>
      </c>
      <c r="H1441">
        <v>94103</v>
      </c>
      <c r="I1441" t="s">
        <v>16</v>
      </c>
      <c r="J1441" t="s">
        <v>2748</v>
      </c>
      <c r="K1441" t="s">
        <v>126</v>
      </c>
      <c r="L1441" t="s">
        <v>4673</v>
      </c>
      <c r="M1441">
        <f>VLOOKUP(SUBSTITUTE(J1441,"'",""),Sheet1!L:M,2,FALSE)</f>
        <v>54820</v>
      </c>
    </row>
    <row r="1442" spans="1:13" ht="13.5" customHeight="1" x14ac:dyDescent="0.4">
      <c r="A1442" s="1">
        <v>45904</v>
      </c>
      <c r="B1442" t="s">
        <v>2393</v>
      </c>
      <c r="C1442">
        <v>9.9499999999999993</v>
      </c>
      <c r="D1442" s="2" t="s">
        <v>2731</v>
      </c>
      <c r="E1442" t="s">
        <v>2393</v>
      </c>
      <c r="F1442" s="2" t="s">
        <v>2395</v>
      </c>
      <c r="G1442" s="2" t="s">
        <v>2396</v>
      </c>
      <c r="H1442">
        <v>55331</v>
      </c>
      <c r="I1442" t="s">
        <v>16</v>
      </c>
      <c r="J1442" t="s">
        <v>2732</v>
      </c>
      <c r="K1442" t="s">
        <v>37</v>
      </c>
      <c r="L1442" t="s">
        <v>4673</v>
      </c>
      <c r="M1442">
        <f>VLOOKUP(SUBSTITUTE(J1442,"'",""),Sheet1!L:M,2,FALSE)</f>
        <v>54820</v>
      </c>
    </row>
    <row r="1443" spans="1:13" ht="13.5" customHeight="1" x14ac:dyDescent="0.4">
      <c r="A1443" s="1">
        <v>45904</v>
      </c>
      <c r="B1443" t="s">
        <v>153</v>
      </c>
      <c r="C1443">
        <v>25.84</v>
      </c>
      <c r="D1443" s="2" t="s">
        <v>376</v>
      </c>
      <c r="E1443" t="s">
        <v>153</v>
      </c>
      <c r="F1443" t="s">
        <v>155</v>
      </c>
      <c r="G1443" s="2" t="s">
        <v>156</v>
      </c>
      <c r="H1443">
        <v>98052</v>
      </c>
      <c r="I1443" t="s">
        <v>16</v>
      </c>
      <c r="J1443" t="s">
        <v>377</v>
      </c>
      <c r="K1443" t="s">
        <v>96</v>
      </c>
      <c r="L1443" t="s">
        <v>2047</v>
      </c>
      <c r="M1443">
        <f>VLOOKUP(SUBSTITUTE(J1443,"'",""),Sheet1!L:M,2,FALSE)</f>
        <v>64100</v>
      </c>
    </row>
    <row r="1444" spans="1:13" ht="13.5" customHeight="1" x14ac:dyDescent="0.4">
      <c r="A1444" s="1">
        <v>45904</v>
      </c>
      <c r="B1444" t="s">
        <v>165</v>
      </c>
      <c r="C1444">
        <v>42.8</v>
      </c>
      <c r="D1444" s="2" t="s">
        <v>2723</v>
      </c>
      <c r="E1444" t="s">
        <v>165</v>
      </c>
      <c r="F1444" s="2" t="s">
        <v>167</v>
      </c>
      <c r="G1444" s="2" t="s">
        <v>87</v>
      </c>
      <c r="H1444">
        <v>75202</v>
      </c>
      <c r="I1444" t="s">
        <v>16</v>
      </c>
      <c r="J1444" t="s">
        <v>2724</v>
      </c>
      <c r="K1444" t="s">
        <v>96</v>
      </c>
      <c r="L1444" t="s">
        <v>4673</v>
      </c>
      <c r="M1444">
        <f>VLOOKUP(SUBSTITUTE(J1444,"'",""),Sheet1!L:M,2,FALSE)</f>
        <v>64100</v>
      </c>
    </row>
    <row r="1445" spans="1:13" ht="13.5" customHeight="1" x14ac:dyDescent="0.4">
      <c r="A1445" s="1">
        <v>45904</v>
      </c>
      <c r="B1445" t="s">
        <v>165</v>
      </c>
      <c r="C1445">
        <v>25.68</v>
      </c>
      <c r="D1445" s="2" t="s">
        <v>2721</v>
      </c>
      <c r="E1445" t="s">
        <v>165</v>
      </c>
      <c r="F1445" s="2" t="s">
        <v>167</v>
      </c>
      <c r="G1445" s="2" t="s">
        <v>87</v>
      </c>
      <c r="H1445">
        <v>75202</v>
      </c>
      <c r="I1445" t="s">
        <v>16</v>
      </c>
      <c r="J1445" t="s">
        <v>2722</v>
      </c>
      <c r="K1445" t="s">
        <v>96</v>
      </c>
      <c r="L1445" t="s">
        <v>4673</v>
      </c>
      <c r="M1445">
        <f>VLOOKUP(SUBSTITUTE(J1445,"'",""),Sheet1!L:M,2,FALSE)</f>
        <v>64100</v>
      </c>
    </row>
    <row r="1446" spans="1:13" ht="13.5" customHeight="1" x14ac:dyDescent="0.4">
      <c r="A1446" s="1">
        <v>45904</v>
      </c>
      <c r="B1446" t="s">
        <v>2390</v>
      </c>
      <c r="C1446">
        <v>21.4</v>
      </c>
      <c r="D1446" s="2" t="s">
        <v>2727</v>
      </c>
      <c r="E1446" t="s">
        <v>2390</v>
      </c>
      <c r="F1446" s="2" t="s">
        <v>167</v>
      </c>
      <c r="G1446" s="2" t="s">
        <v>87</v>
      </c>
      <c r="H1446">
        <v>75202</v>
      </c>
      <c r="I1446" t="s">
        <v>16</v>
      </c>
      <c r="J1446" t="s">
        <v>2728</v>
      </c>
      <c r="K1446" t="s">
        <v>96</v>
      </c>
      <c r="L1446" t="s">
        <v>4673</v>
      </c>
      <c r="M1446">
        <f>VLOOKUP(SUBSTITUTE(J1446,"'",""),Sheet1!L:M,2,FALSE)</f>
        <v>64100</v>
      </c>
    </row>
    <row r="1447" spans="1:13" ht="13.5" customHeight="1" x14ac:dyDescent="0.4">
      <c r="A1447" s="1">
        <v>45904</v>
      </c>
      <c r="B1447" t="s">
        <v>165</v>
      </c>
      <c r="C1447">
        <v>289.06</v>
      </c>
      <c r="D1447" s="2" t="s">
        <v>2725</v>
      </c>
      <c r="E1447" t="s">
        <v>165</v>
      </c>
      <c r="F1447" s="2" t="s">
        <v>167</v>
      </c>
      <c r="G1447" s="2" t="s">
        <v>87</v>
      </c>
      <c r="H1447">
        <v>75202</v>
      </c>
      <c r="I1447" t="s">
        <v>16</v>
      </c>
      <c r="J1447" t="s">
        <v>2726</v>
      </c>
      <c r="K1447" t="s">
        <v>96</v>
      </c>
      <c r="L1447" t="s">
        <v>4673</v>
      </c>
      <c r="M1447">
        <f>VLOOKUP(SUBSTITUTE(J1447,"'",""),Sheet1!L:M,2,FALSE)</f>
        <v>64100</v>
      </c>
    </row>
    <row r="1448" spans="1:13" ht="13.5" customHeight="1" x14ac:dyDescent="0.4">
      <c r="A1448" s="1">
        <v>45904</v>
      </c>
      <c r="B1448" t="s">
        <v>2733</v>
      </c>
      <c r="C1448">
        <v>-17500</v>
      </c>
      <c r="D1448" t="s">
        <v>2733</v>
      </c>
      <c r="E1448" t="s">
        <v>2733</v>
      </c>
      <c r="J1448" t="s">
        <v>2734</v>
      </c>
      <c r="L1448" t="s">
        <v>4673</v>
      </c>
      <c r="M1448" t="e">
        <f>VLOOKUP(SUBSTITUTE(J1448,"'",""),Sheet1!L:M,2,FALSE)</f>
        <v>#N/A</v>
      </c>
    </row>
    <row r="1449" spans="1:13" ht="13.5" customHeight="1" x14ac:dyDescent="0.4">
      <c r="A1449" s="1">
        <v>45904</v>
      </c>
      <c r="B1449" t="s">
        <v>202</v>
      </c>
      <c r="C1449">
        <v>175</v>
      </c>
      <c r="D1449" s="2" t="s">
        <v>2735</v>
      </c>
      <c r="E1449" t="s">
        <v>202</v>
      </c>
      <c r="F1449" t="s">
        <v>204</v>
      </c>
      <c r="G1449" s="2" t="s">
        <v>205</v>
      </c>
      <c r="H1449">
        <v>19003</v>
      </c>
      <c r="I1449" t="s">
        <v>16</v>
      </c>
      <c r="J1449" t="s">
        <v>2736</v>
      </c>
      <c r="K1449" t="s">
        <v>207</v>
      </c>
      <c r="L1449" t="s">
        <v>4673</v>
      </c>
      <c r="M1449">
        <f>VLOOKUP(SUBSTITUTE(J1449,"'",""),Sheet1!L:M,2,FALSE)</f>
        <v>61100</v>
      </c>
    </row>
    <row r="1450" spans="1:13" ht="13.5" customHeight="1" x14ac:dyDescent="0.4">
      <c r="A1450" s="1">
        <v>45904</v>
      </c>
      <c r="B1450" t="s">
        <v>583</v>
      </c>
      <c r="C1450">
        <v>20.46</v>
      </c>
      <c r="D1450" s="2" t="s">
        <v>2745</v>
      </c>
      <c r="E1450" t="s">
        <v>583</v>
      </c>
      <c r="F1450" s="2" t="s">
        <v>585</v>
      </c>
      <c r="G1450" s="2" t="s">
        <v>35</v>
      </c>
      <c r="H1450">
        <v>94103</v>
      </c>
      <c r="I1450" t="s">
        <v>16</v>
      </c>
      <c r="J1450" t="s">
        <v>2746</v>
      </c>
      <c r="K1450" t="s">
        <v>126</v>
      </c>
      <c r="L1450" t="s">
        <v>4673</v>
      </c>
      <c r="M1450">
        <f>VLOOKUP(SUBSTITUTE(J1450,"'",""),Sheet1!L:M,2,FALSE)</f>
        <v>54820</v>
      </c>
    </row>
    <row r="1451" spans="1:13" ht="13.5" customHeight="1" x14ac:dyDescent="0.4">
      <c r="A1451" s="1">
        <v>45904</v>
      </c>
      <c r="B1451" t="s">
        <v>140</v>
      </c>
      <c r="C1451">
        <v>10.33</v>
      </c>
      <c r="D1451" s="2" t="s">
        <v>2729</v>
      </c>
      <c r="E1451" t="s">
        <v>142</v>
      </c>
      <c r="F1451" t="s">
        <v>143</v>
      </c>
      <c r="G1451" s="2" t="s">
        <v>14</v>
      </c>
      <c r="H1451">
        <v>98109</v>
      </c>
      <c r="I1451" t="s">
        <v>16</v>
      </c>
      <c r="J1451" t="s">
        <v>2730</v>
      </c>
      <c r="K1451" t="s">
        <v>18</v>
      </c>
      <c r="L1451" t="s">
        <v>4673</v>
      </c>
      <c r="M1451">
        <f>VLOOKUP(SUBSTITUTE(J1451,"'",""),Sheet1!L:M,2,FALSE)</f>
        <v>54820</v>
      </c>
    </row>
    <row r="1452" spans="1:13" ht="13.5" customHeight="1" x14ac:dyDescent="0.4">
      <c r="A1452" s="1">
        <v>45904</v>
      </c>
      <c r="B1452" t="s">
        <v>2741</v>
      </c>
      <c r="C1452">
        <v>90.8</v>
      </c>
      <c r="D1452" s="2" t="s">
        <v>2742</v>
      </c>
      <c r="E1452" t="s">
        <v>2741</v>
      </c>
      <c r="F1452" t="s">
        <v>2743</v>
      </c>
      <c r="G1452" s="2" t="s">
        <v>41</v>
      </c>
      <c r="H1452">
        <v>10003</v>
      </c>
      <c r="I1452" t="s">
        <v>16</v>
      </c>
      <c r="J1452" t="s">
        <v>2744</v>
      </c>
      <c r="K1452" t="s">
        <v>207</v>
      </c>
      <c r="L1452" t="s">
        <v>4673</v>
      </c>
      <c r="M1452">
        <f>VLOOKUP(SUBSTITUTE(J1452,"'",""),Sheet1!L:M,2,FALSE)</f>
        <v>54820</v>
      </c>
    </row>
    <row r="1453" spans="1:13" ht="13.5" customHeight="1" x14ac:dyDescent="0.4">
      <c r="A1453" s="1">
        <v>45904</v>
      </c>
      <c r="B1453" t="s">
        <v>327</v>
      </c>
      <c r="C1453">
        <v>9.15</v>
      </c>
      <c r="D1453" s="2" t="s">
        <v>374</v>
      </c>
      <c r="E1453" t="s">
        <v>327</v>
      </c>
      <c r="F1453" t="s">
        <v>29</v>
      </c>
      <c r="G1453" t="e">
        <f>-
NY</f>
        <v>#NAME?</v>
      </c>
      <c r="H1453">
        <v>11577</v>
      </c>
      <c r="I1453" t="s">
        <v>16</v>
      </c>
      <c r="J1453" t="s">
        <v>375</v>
      </c>
      <c r="K1453" t="s">
        <v>31</v>
      </c>
      <c r="L1453" t="s">
        <v>2047</v>
      </c>
      <c r="M1453">
        <f>VLOOKUP(SUBSTITUTE(J1453,"'",""),Sheet1!L:M,2,FALSE)</f>
        <v>61131</v>
      </c>
    </row>
    <row r="1454" spans="1:13" ht="13.5" customHeight="1" x14ac:dyDescent="0.4">
      <c r="A1454" s="1">
        <v>45904</v>
      </c>
      <c r="B1454" t="s">
        <v>2085</v>
      </c>
      <c r="C1454">
        <v>34.18</v>
      </c>
      <c r="D1454" s="2" t="s">
        <v>2749</v>
      </c>
      <c r="E1454" t="s">
        <v>2085</v>
      </c>
      <c r="F1454" t="s">
        <v>2087</v>
      </c>
      <c r="G1454" s="2" t="s">
        <v>41</v>
      </c>
      <c r="H1454">
        <v>10001</v>
      </c>
      <c r="I1454" t="s">
        <v>16</v>
      </c>
      <c r="J1454" t="s">
        <v>2750</v>
      </c>
      <c r="K1454" t="s">
        <v>1218</v>
      </c>
      <c r="L1454" t="s">
        <v>4673</v>
      </c>
      <c r="M1454">
        <f>VLOOKUP(SUBSTITUTE(J1454,"'",""),Sheet1!L:M,2,FALSE)</f>
        <v>54820</v>
      </c>
    </row>
    <row r="1455" spans="1:13" ht="13.5" customHeight="1" x14ac:dyDescent="0.4">
      <c r="A1455" s="1">
        <v>45904</v>
      </c>
      <c r="B1455" t="s">
        <v>2340</v>
      </c>
      <c r="C1455">
        <v>19.059999999999999</v>
      </c>
      <c r="D1455" s="2" t="s">
        <v>2737</v>
      </c>
      <c r="E1455" t="s">
        <v>2340</v>
      </c>
      <c r="F1455" s="2" t="s">
        <v>2342</v>
      </c>
      <c r="G1455" s="2" t="s">
        <v>14</v>
      </c>
      <c r="H1455">
        <v>98119</v>
      </c>
      <c r="I1455" t="s">
        <v>16</v>
      </c>
      <c r="J1455" t="s">
        <v>2738</v>
      </c>
      <c r="K1455" t="s">
        <v>96</v>
      </c>
      <c r="L1455" t="s">
        <v>4673</v>
      </c>
      <c r="M1455">
        <f>VLOOKUP(SUBSTITUTE(J1455,"'",""),Sheet1!L:M,2,FALSE)</f>
        <v>65700</v>
      </c>
    </row>
    <row r="1456" spans="1:13" ht="13.5" customHeight="1" x14ac:dyDescent="0.4">
      <c r="A1456" s="1">
        <v>45905</v>
      </c>
      <c r="B1456" t="s">
        <v>478</v>
      </c>
      <c r="C1456">
        <v>13.74</v>
      </c>
      <c r="D1456" s="2" t="s">
        <v>2715</v>
      </c>
      <c r="E1456" t="s">
        <v>480</v>
      </c>
      <c r="F1456" s="2" t="s">
        <v>481</v>
      </c>
      <c r="G1456" s="2" t="s">
        <v>35</v>
      </c>
      <c r="H1456">
        <v>94103</v>
      </c>
      <c r="I1456" t="s">
        <v>16</v>
      </c>
      <c r="J1456" t="s">
        <v>2716</v>
      </c>
      <c r="K1456" t="s">
        <v>483</v>
      </c>
      <c r="L1456" t="s">
        <v>4673</v>
      </c>
      <c r="M1456">
        <f>VLOOKUP(SUBSTITUTE(J1456,"'",""),Sheet1!L:M,2,FALSE)</f>
        <v>61130</v>
      </c>
    </row>
    <row r="1457" spans="1:13" ht="13.5" customHeight="1" x14ac:dyDescent="0.4">
      <c r="A1457" s="1">
        <v>45905</v>
      </c>
      <c r="B1457" t="s">
        <v>478</v>
      </c>
      <c r="C1457">
        <v>65.709999999999994</v>
      </c>
      <c r="D1457" s="2" t="s">
        <v>2719</v>
      </c>
      <c r="E1457" t="s">
        <v>480</v>
      </c>
      <c r="F1457" s="2" t="s">
        <v>481</v>
      </c>
      <c r="G1457" s="2" t="s">
        <v>35</v>
      </c>
      <c r="H1457">
        <v>94103</v>
      </c>
      <c r="I1457" t="s">
        <v>16</v>
      </c>
      <c r="J1457" t="s">
        <v>2720</v>
      </c>
      <c r="K1457" t="s">
        <v>483</v>
      </c>
      <c r="L1457" t="s">
        <v>4673</v>
      </c>
      <c r="M1457">
        <f>VLOOKUP(SUBSTITUTE(J1457,"'",""),Sheet1!L:M,2,FALSE)</f>
        <v>61130</v>
      </c>
    </row>
    <row r="1458" spans="1:13" ht="13.5" customHeight="1" x14ac:dyDescent="0.4">
      <c r="A1458" s="1">
        <v>45905</v>
      </c>
      <c r="B1458" t="s">
        <v>2365</v>
      </c>
      <c r="C1458">
        <v>300</v>
      </c>
      <c r="D1458" s="2" t="s">
        <v>2702</v>
      </c>
      <c r="E1458" t="s">
        <v>2365</v>
      </c>
      <c r="F1458" t="s">
        <v>519</v>
      </c>
      <c r="G1458" s="2" t="s">
        <v>35</v>
      </c>
      <c r="H1458">
        <v>94107</v>
      </c>
      <c r="I1458" t="s">
        <v>16</v>
      </c>
      <c r="J1458" t="s">
        <v>2703</v>
      </c>
      <c r="K1458" t="s">
        <v>96</v>
      </c>
      <c r="L1458" t="s">
        <v>4673</v>
      </c>
      <c r="M1458">
        <f>VLOOKUP(SUBSTITUTE(J1458,"'",""),Sheet1!L:M,2,FALSE)</f>
        <v>64100</v>
      </c>
    </row>
    <row r="1459" spans="1:13" ht="13.5" customHeight="1" x14ac:dyDescent="0.4">
      <c r="A1459" s="1">
        <v>45905</v>
      </c>
      <c r="B1459" t="s">
        <v>517</v>
      </c>
      <c r="C1459">
        <v>4</v>
      </c>
      <c r="D1459" s="2" t="s">
        <v>2704</v>
      </c>
      <c r="E1459" t="s">
        <v>517</v>
      </c>
      <c r="F1459" t="s">
        <v>519</v>
      </c>
      <c r="G1459" s="2" t="s">
        <v>35</v>
      </c>
      <c r="H1459">
        <v>94107</v>
      </c>
      <c r="I1459" t="s">
        <v>16</v>
      </c>
      <c r="J1459" t="s">
        <v>2705</v>
      </c>
      <c r="K1459" t="s">
        <v>96</v>
      </c>
      <c r="L1459" t="s">
        <v>4673</v>
      </c>
      <c r="M1459">
        <f>VLOOKUP(SUBSTITUTE(J1459,"'",""),Sheet1!L:M,2,FALSE)</f>
        <v>64100</v>
      </c>
    </row>
    <row r="1460" spans="1:13" ht="13.5" customHeight="1" x14ac:dyDescent="0.4">
      <c r="A1460" s="1">
        <v>45905</v>
      </c>
      <c r="B1460" t="s">
        <v>365</v>
      </c>
      <c r="C1460">
        <v>321.95</v>
      </c>
      <c r="D1460" s="2" t="s">
        <v>366</v>
      </c>
      <c r="E1460" t="s">
        <v>365</v>
      </c>
      <c r="F1460" t="s">
        <v>367</v>
      </c>
      <c r="G1460" s="2" t="s">
        <v>35</v>
      </c>
      <c r="H1460" t="s">
        <v>368</v>
      </c>
      <c r="I1460" t="s">
        <v>16</v>
      </c>
      <c r="J1460" t="s">
        <v>369</v>
      </c>
      <c r="K1460" t="s">
        <v>370</v>
      </c>
      <c r="L1460" t="s">
        <v>2047</v>
      </c>
      <c r="M1460">
        <f>VLOOKUP(SUBSTITUTE(J1460,"'",""),Sheet1!L:M,2,FALSE)</f>
        <v>64100</v>
      </c>
    </row>
    <row r="1461" spans="1:13" ht="13.5" customHeight="1" x14ac:dyDescent="0.4">
      <c r="A1461" s="1">
        <v>45905</v>
      </c>
      <c r="B1461" t="s">
        <v>583</v>
      </c>
      <c r="C1461">
        <v>299.88</v>
      </c>
      <c r="D1461" s="2" t="s">
        <v>2713</v>
      </c>
      <c r="E1461" t="s">
        <v>583</v>
      </c>
      <c r="F1461" s="2" t="s">
        <v>585</v>
      </c>
      <c r="G1461" s="2" t="s">
        <v>35</v>
      </c>
      <c r="H1461">
        <v>94103</v>
      </c>
      <c r="I1461" t="s">
        <v>16</v>
      </c>
      <c r="J1461" t="s">
        <v>2714</v>
      </c>
      <c r="K1461" t="s">
        <v>126</v>
      </c>
      <c r="L1461" t="s">
        <v>4673</v>
      </c>
      <c r="M1461">
        <f>VLOOKUP(SUBSTITUTE(J1461,"'",""),Sheet1!L:M,2,FALSE)</f>
        <v>54820</v>
      </c>
    </row>
    <row r="1462" spans="1:13" ht="13.5" customHeight="1" x14ac:dyDescent="0.4">
      <c r="A1462" s="1">
        <v>45905</v>
      </c>
      <c r="B1462" t="s">
        <v>371</v>
      </c>
      <c r="C1462">
        <v>248.56</v>
      </c>
      <c r="D1462" s="2" t="s">
        <v>372</v>
      </c>
      <c r="E1462" t="s">
        <v>371</v>
      </c>
      <c r="F1462" t="s">
        <v>367</v>
      </c>
      <c r="G1462" s="2" t="s">
        <v>35</v>
      </c>
      <c r="H1462" t="s">
        <v>368</v>
      </c>
      <c r="I1462" t="s">
        <v>16</v>
      </c>
      <c r="J1462" t="s">
        <v>373</v>
      </c>
      <c r="K1462" t="s">
        <v>370</v>
      </c>
      <c r="L1462" t="s">
        <v>2047</v>
      </c>
      <c r="M1462">
        <f>VLOOKUP(SUBSTITUTE(J1462,"'",""),Sheet1!L:M,2,FALSE)</f>
        <v>64100</v>
      </c>
    </row>
    <row r="1463" spans="1:13" ht="13.5" customHeight="1" x14ac:dyDescent="0.4">
      <c r="A1463" s="1">
        <v>45905</v>
      </c>
      <c r="B1463" t="s">
        <v>2706</v>
      </c>
      <c r="C1463">
        <v>49</v>
      </c>
      <c r="D1463" s="2" t="s">
        <v>2707</v>
      </c>
      <c r="E1463" t="s">
        <v>2706</v>
      </c>
      <c r="F1463" s="2" t="s">
        <v>2708</v>
      </c>
      <c r="G1463" s="2" t="s">
        <v>2411</v>
      </c>
      <c r="H1463">
        <v>19805</v>
      </c>
      <c r="I1463" t="s">
        <v>16</v>
      </c>
      <c r="J1463" t="s">
        <v>2709</v>
      </c>
      <c r="K1463" t="s">
        <v>2710</v>
      </c>
      <c r="L1463" t="s">
        <v>4673</v>
      </c>
      <c r="M1463">
        <f>VLOOKUP(SUBSTITUTE(J1463,"'",""),Sheet1!L:M,2,FALSE)</f>
        <v>54820</v>
      </c>
    </row>
    <row r="1464" spans="1:13" ht="13.5" customHeight="1" x14ac:dyDescent="0.4">
      <c r="A1464" s="1">
        <v>45905</v>
      </c>
      <c r="B1464" t="s">
        <v>478</v>
      </c>
      <c r="C1464">
        <v>64.75</v>
      </c>
      <c r="D1464" s="2" t="s">
        <v>2717</v>
      </c>
      <c r="E1464" t="s">
        <v>480</v>
      </c>
      <c r="F1464" s="2" t="s">
        <v>481</v>
      </c>
      <c r="G1464" s="2" t="s">
        <v>35</v>
      </c>
      <c r="H1464">
        <v>94103</v>
      </c>
      <c r="I1464" t="s">
        <v>16</v>
      </c>
      <c r="J1464" t="s">
        <v>2718</v>
      </c>
      <c r="K1464" t="s">
        <v>483</v>
      </c>
      <c r="L1464" t="s">
        <v>4673</v>
      </c>
      <c r="M1464">
        <f>VLOOKUP(SUBSTITUTE(J1464,"'",""),Sheet1!L:M,2,FALSE)</f>
        <v>61130</v>
      </c>
    </row>
    <row r="1465" spans="1:13" ht="13.5" customHeight="1" x14ac:dyDescent="0.4">
      <c r="A1465" s="1">
        <v>45905</v>
      </c>
      <c r="B1465" t="s">
        <v>583</v>
      </c>
      <c r="C1465">
        <v>57.07</v>
      </c>
      <c r="D1465" s="2" t="s">
        <v>2711</v>
      </c>
      <c r="E1465" t="s">
        <v>583</v>
      </c>
      <c r="F1465" s="2" t="s">
        <v>585</v>
      </c>
      <c r="G1465" s="2" t="s">
        <v>35</v>
      </c>
      <c r="H1465">
        <v>94103</v>
      </c>
      <c r="I1465" t="s">
        <v>16</v>
      </c>
      <c r="J1465" t="s">
        <v>2712</v>
      </c>
      <c r="K1465" t="s">
        <v>126</v>
      </c>
      <c r="L1465" t="s">
        <v>4673</v>
      </c>
      <c r="M1465">
        <f>VLOOKUP(SUBSTITUTE(J1465,"'",""),Sheet1!L:M,2,FALSE)</f>
        <v>54820</v>
      </c>
    </row>
    <row r="1466" spans="1:13" ht="13.5" customHeight="1" x14ac:dyDescent="0.4">
      <c r="A1466" s="1">
        <v>45906</v>
      </c>
      <c r="B1466" t="s">
        <v>2327</v>
      </c>
      <c r="C1466">
        <v>50</v>
      </c>
      <c r="D1466" s="2" t="s">
        <v>2668</v>
      </c>
      <c r="E1466" t="s">
        <v>2327</v>
      </c>
      <c r="F1466" t="s">
        <v>2329</v>
      </c>
      <c r="G1466" s="2" t="s">
        <v>2330</v>
      </c>
      <c r="H1466">
        <v>19713</v>
      </c>
      <c r="I1466" t="s">
        <v>16</v>
      </c>
      <c r="J1466" t="s">
        <v>2669</v>
      </c>
      <c r="K1466" t="s">
        <v>37</v>
      </c>
      <c r="L1466" t="s">
        <v>4673</v>
      </c>
      <c r="M1466">
        <f>VLOOKUP(SUBSTITUTE(J1466,"'",""),Sheet1!L:M,2,FALSE)</f>
        <v>64100</v>
      </c>
    </row>
    <row r="1467" spans="1:13" ht="13.5" customHeight="1" x14ac:dyDescent="0.4">
      <c r="A1467" s="1">
        <v>45906</v>
      </c>
      <c r="B1467" t="s">
        <v>106</v>
      </c>
      <c r="C1467">
        <v>33.9</v>
      </c>
      <c r="D1467" s="2" t="s">
        <v>2698</v>
      </c>
      <c r="E1467" t="s">
        <v>106</v>
      </c>
      <c r="F1467" t="s">
        <v>108</v>
      </c>
      <c r="G1467" s="2" t="s">
        <v>41</v>
      </c>
      <c r="H1467">
        <v>10012</v>
      </c>
      <c r="I1467" t="s">
        <v>16</v>
      </c>
      <c r="J1467" t="s">
        <v>2699</v>
      </c>
      <c r="K1467" t="s">
        <v>110</v>
      </c>
      <c r="L1467" t="s">
        <v>4673</v>
      </c>
      <c r="M1467">
        <f>VLOOKUP(SUBSTITUTE(J1467,"'",""),Sheet1!L:M,2,FALSE)</f>
        <v>67500</v>
      </c>
    </row>
    <row r="1468" spans="1:13" ht="13.5" customHeight="1" x14ac:dyDescent="0.4">
      <c r="A1468" s="1">
        <v>45906</v>
      </c>
      <c r="B1468" t="s">
        <v>2217</v>
      </c>
      <c r="C1468">
        <v>9.42</v>
      </c>
      <c r="D1468" s="2" t="s">
        <v>2688</v>
      </c>
      <c r="E1468" t="s">
        <v>2217</v>
      </c>
      <c r="F1468" t="s">
        <v>2219</v>
      </c>
      <c r="G1468" s="2" t="s">
        <v>41</v>
      </c>
      <c r="H1468">
        <v>10013</v>
      </c>
      <c r="I1468" t="s">
        <v>16</v>
      </c>
      <c r="J1468" t="s">
        <v>2689</v>
      </c>
      <c r="K1468" t="s">
        <v>321</v>
      </c>
      <c r="L1468" t="s">
        <v>4673</v>
      </c>
      <c r="M1468">
        <f>VLOOKUP(SUBSTITUTE(J1468,"'",""),Sheet1!L:M,2,FALSE)</f>
        <v>54820</v>
      </c>
    </row>
    <row r="1469" spans="1:13" ht="13.5" customHeight="1" x14ac:dyDescent="0.4">
      <c r="A1469" s="1">
        <v>45906</v>
      </c>
      <c r="B1469" t="s">
        <v>184</v>
      </c>
      <c r="C1469">
        <v>25.68</v>
      </c>
      <c r="D1469" s="2" t="s">
        <v>359</v>
      </c>
      <c r="E1469" t="s">
        <v>184</v>
      </c>
      <c r="F1469" s="2" t="s">
        <v>186</v>
      </c>
      <c r="G1469" s="2" t="s">
        <v>35</v>
      </c>
      <c r="H1469">
        <v>94105</v>
      </c>
      <c r="I1469" t="s">
        <v>16</v>
      </c>
      <c r="J1469" t="s">
        <v>360</v>
      </c>
      <c r="K1469" t="s">
        <v>188</v>
      </c>
      <c r="L1469" t="s">
        <v>2047</v>
      </c>
      <c r="M1469">
        <f>VLOOKUP(SUBSTITUTE(J1469,"'",""),Sheet1!L:M,2,FALSE)</f>
        <v>64100</v>
      </c>
    </row>
    <row r="1470" spans="1:13" ht="13.5" customHeight="1" x14ac:dyDescent="0.4">
      <c r="A1470" s="1">
        <v>45906</v>
      </c>
      <c r="B1470" t="s">
        <v>2682</v>
      </c>
      <c r="C1470">
        <v>4.82</v>
      </c>
      <c r="D1470" s="2" t="s">
        <v>2683</v>
      </c>
      <c r="E1470" t="s">
        <v>2682</v>
      </c>
      <c r="F1470" t="s">
        <v>2248</v>
      </c>
      <c r="G1470" s="2" t="s">
        <v>2249</v>
      </c>
      <c r="H1470">
        <v>94025</v>
      </c>
      <c r="I1470" t="s">
        <v>16</v>
      </c>
      <c r="J1470" t="s">
        <v>2684</v>
      </c>
      <c r="K1470" t="s">
        <v>2335</v>
      </c>
      <c r="L1470" t="s">
        <v>4673</v>
      </c>
      <c r="M1470">
        <f>VLOOKUP(SUBSTITUTE(J1470,"'",""),Sheet1!L:M,2,FALSE)</f>
        <v>54820</v>
      </c>
    </row>
    <row r="1471" spans="1:13" ht="13.5" customHeight="1" x14ac:dyDescent="0.4">
      <c r="A1471" s="1">
        <v>45906</v>
      </c>
      <c r="B1471" t="s">
        <v>2677</v>
      </c>
      <c r="C1471">
        <v>9.6999999999999993</v>
      </c>
      <c r="D1471" s="2" t="s">
        <v>2678</v>
      </c>
      <c r="E1471" t="s">
        <v>2677</v>
      </c>
      <c r="F1471" t="s">
        <v>2679</v>
      </c>
      <c r="G1471" s="2" t="s">
        <v>41</v>
      </c>
      <c r="H1471" t="s">
        <v>2680</v>
      </c>
      <c r="I1471" t="s">
        <v>16</v>
      </c>
      <c r="J1471" t="s">
        <v>2681</v>
      </c>
      <c r="K1471" t="s">
        <v>305</v>
      </c>
      <c r="L1471" t="s">
        <v>4673</v>
      </c>
      <c r="M1471">
        <f>VLOOKUP(SUBSTITUTE(J1471,"'",""),Sheet1!L:M,2,FALSE)</f>
        <v>54820</v>
      </c>
    </row>
    <row r="1472" spans="1:13" ht="13.5" customHeight="1" x14ac:dyDescent="0.4">
      <c r="A1472" s="1">
        <v>45906</v>
      </c>
      <c r="B1472" t="s">
        <v>2354</v>
      </c>
      <c r="C1472">
        <v>115</v>
      </c>
      <c r="D1472" s="2" t="s">
        <v>2696</v>
      </c>
      <c r="E1472" t="s">
        <v>2354</v>
      </c>
      <c r="F1472" t="s">
        <v>2356</v>
      </c>
      <c r="G1472" s="2" t="s">
        <v>2357</v>
      </c>
      <c r="H1472">
        <v>63131</v>
      </c>
      <c r="I1472" t="s">
        <v>16</v>
      </c>
      <c r="J1472" t="s">
        <v>2697</v>
      </c>
      <c r="K1472" t="s">
        <v>201</v>
      </c>
      <c r="L1472" t="s">
        <v>4673</v>
      </c>
      <c r="M1472">
        <f>VLOOKUP(SUBSTITUTE(J1472,"'",""),Sheet1!L:M,2,FALSE)</f>
        <v>65700</v>
      </c>
    </row>
    <row r="1473" spans="1:13" ht="13.5" customHeight="1" x14ac:dyDescent="0.4">
      <c r="A1473" s="1">
        <v>45906</v>
      </c>
      <c r="B1473" t="s">
        <v>583</v>
      </c>
      <c r="C1473">
        <v>100.75</v>
      </c>
      <c r="D1473" s="2" t="s">
        <v>2700</v>
      </c>
      <c r="E1473" t="s">
        <v>583</v>
      </c>
      <c r="F1473" s="2" t="s">
        <v>585</v>
      </c>
      <c r="G1473" s="2" t="s">
        <v>35</v>
      </c>
      <c r="H1473">
        <v>94103</v>
      </c>
      <c r="I1473" t="s">
        <v>16</v>
      </c>
      <c r="J1473" t="s">
        <v>2701</v>
      </c>
      <c r="K1473" t="s">
        <v>126</v>
      </c>
      <c r="L1473" t="s">
        <v>4673</v>
      </c>
      <c r="M1473">
        <f>VLOOKUP(SUBSTITUTE(J1473,"'",""),Sheet1!L:M,2,FALSE)</f>
        <v>54820</v>
      </c>
    </row>
    <row r="1474" spans="1:13" ht="13.5" customHeight="1" x14ac:dyDescent="0.4">
      <c r="A1474" s="1">
        <v>45906</v>
      </c>
      <c r="B1474" t="s">
        <v>2685</v>
      </c>
      <c r="C1474">
        <v>25.85</v>
      </c>
      <c r="D1474" s="2" t="s">
        <v>2686</v>
      </c>
      <c r="E1474" t="s">
        <v>2685</v>
      </c>
      <c r="F1474" t="s">
        <v>2248</v>
      </c>
      <c r="G1474" s="2" t="s">
        <v>2249</v>
      </c>
      <c r="H1474">
        <v>94025</v>
      </c>
      <c r="I1474" t="s">
        <v>16</v>
      </c>
      <c r="J1474" t="s">
        <v>2687</v>
      </c>
      <c r="K1474" t="s">
        <v>2335</v>
      </c>
      <c r="L1474" t="s">
        <v>4673</v>
      </c>
      <c r="M1474">
        <f>VLOOKUP(SUBSTITUTE(J1474,"'",""),Sheet1!L:M,2,FALSE)</f>
        <v>54820</v>
      </c>
    </row>
    <row r="1475" spans="1:13" ht="13.5" customHeight="1" x14ac:dyDescent="0.4">
      <c r="A1475" s="1">
        <v>45906</v>
      </c>
      <c r="B1475" t="s">
        <v>361</v>
      </c>
      <c r="C1475">
        <v>69.66</v>
      </c>
      <c r="D1475" s="2" t="s">
        <v>362</v>
      </c>
      <c r="E1475" t="s">
        <v>361</v>
      </c>
      <c r="F1475" t="s">
        <v>363</v>
      </c>
      <c r="G1475" s="2" t="s">
        <v>47</v>
      </c>
      <c r="H1475">
        <v>12866</v>
      </c>
      <c r="I1475" t="s">
        <v>16</v>
      </c>
      <c r="J1475" t="s">
        <v>364</v>
      </c>
      <c r="K1475" t="s">
        <v>126</v>
      </c>
      <c r="L1475" t="s">
        <v>2047</v>
      </c>
      <c r="M1475">
        <f>VLOOKUP(SUBSTITUTE(J1475,"'",""),Sheet1!L:M,2,FALSE)</f>
        <v>61215</v>
      </c>
    </row>
    <row r="1476" spans="1:13" ht="13.5" customHeight="1" x14ac:dyDescent="0.4">
      <c r="A1476" s="1">
        <v>45906</v>
      </c>
      <c r="B1476" t="s">
        <v>2690</v>
      </c>
      <c r="C1476">
        <v>100</v>
      </c>
      <c r="D1476" s="2" t="s">
        <v>2691</v>
      </c>
      <c r="E1476" t="s">
        <v>2690</v>
      </c>
      <c r="F1476" t="s">
        <v>2349</v>
      </c>
      <c r="G1476" s="2" t="s">
        <v>41</v>
      </c>
      <c r="H1476" t="s">
        <v>2350</v>
      </c>
      <c r="I1476" t="s">
        <v>16</v>
      </c>
      <c r="J1476" t="s">
        <v>2692</v>
      </c>
      <c r="K1476" t="s">
        <v>116</v>
      </c>
      <c r="L1476" t="s">
        <v>4673</v>
      </c>
      <c r="M1476">
        <f>VLOOKUP(SUBSTITUTE(J1476,"'",""),Sheet1!L:M,2,FALSE)</f>
        <v>54820</v>
      </c>
    </row>
    <row r="1477" spans="1:13" ht="13.5" customHeight="1" x14ac:dyDescent="0.4">
      <c r="A1477" s="1">
        <v>45906</v>
      </c>
      <c r="B1477" t="s">
        <v>2670</v>
      </c>
      <c r="C1477">
        <v>355.3</v>
      </c>
      <c r="D1477" s="2" t="s">
        <v>2671</v>
      </c>
      <c r="E1477" t="s">
        <v>2670</v>
      </c>
      <c r="F1477" s="2" t="s">
        <v>2672</v>
      </c>
      <c r="G1477" s="2" t="s">
        <v>41</v>
      </c>
      <c r="H1477" t="s">
        <v>2673</v>
      </c>
      <c r="I1477" t="s">
        <v>16</v>
      </c>
      <c r="J1477" t="s">
        <v>2674</v>
      </c>
      <c r="K1477" t="s">
        <v>110</v>
      </c>
      <c r="L1477" t="s">
        <v>4673</v>
      </c>
      <c r="M1477">
        <f>VLOOKUP(SUBSTITUTE(J1477,"'",""),Sheet1!L:M,2,FALSE)</f>
        <v>54820</v>
      </c>
    </row>
    <row r="1478" spans="1:13" ht="13.5" customHeight="1" x14ac:dyDescent="0.4">
      <c r="A1478" s="1">
        <v>45906</v>
      </c>
      <c r="B1478" t="s">
        <v>2142</v>
      </c>
      <c r="C1478">
        <v>67</v>
      </c>
      <c r="D1478" s="2" t="s">
        <v>2675</v>
      </c>
      <c r="E1478" t="s">
        <v>2142</v>
      </c>
      <c r="F1478" t="s">
        <v>2144</v>
      </c>
      <c r="G1478" s="2" t="s">
        <v>41</v>
      </c>
      <c r="H1478">
        <v>10012</v>
      </c>
      <c r="I1478" t="s">
        <v>16</v>
      </c>
      <c r="J1478" t="s">
        <v>2676</v>
      </c>
      <c r="K1478" t="s">
        <v>1304</v>
      </c>
      <c r="L1478" t="s">
        <v>4673</v>
      </c>
      <c r="M1478">
        <f>VLOOKUP(SUBSTITUTE(J1478,"'",""),Sheet1!L:M,2,FALSE)</f>
        <v>54820</v>
      </c>
    </row>
    <row r="1479" spans="1:13" ht="13.5" customHeight="1" x14ac:dyDescent="0.4">
      <c r="A1479" s="1">
        <v>45906</v>
      </c>
      <c r="B1479" t="s">
        <v>2693</v>
      </c>
      <c r="C1479">
        <v>39</v>
      </c>
      <c r="D1479" s="2" t="s">
        <v>2694</v>
      </c>
      <c r="E1479" t="s">
        <v>2693</v>
      </c>
      <c r="F1479" t="s">
        <v>1615</v>
      </c>
      <c r="G1479" s="2" t="s">
        <v>1616</v>
      </c>
      <c r="H1479">
        <v>95131</v>
      </c>
      <c r="I1479" t="s">
        <v>16</v>
      </c>
      <c r="J1479" t="s">
        <v>2695</v>
      </c>
      <c r="K1479" t="s">
        <v>133</v>
      </c>
      <c r="L1479" t="s">
        <v>4673</v>
      </c>
      <c r="M1479">
        <f>VLOOKUP(SUBSTITUTE(J1479,"'",""),Sheet1!L:M,2,FALSE)</f>
        <v>54820</v>
      </c>
    </row>
    <row r="1480" spans="1:13" ht="13.5" customHeight="1" x14ac:dyDescent="0.4">
      <c r="A1480" s="1">
        <v>45907</v>
      </c>
      <c r="B1480" t="s">
        <v>2303</v>
      </c>
      <c r="C1480">
        <v>820.73</v>
      </c>
      <c r="D1480" t="s">
        <v>2303</v>
      </c>
      <c r="E1480" t="s">
        <v>2303</v>
      </c>
      <c r="J1480" t="s">
        <v>2663</v>
      </c>
      <c r="K1480" t="s">
        <v>21</v>
      </c>
      <c r="L1480" t="s">
        <v>4673</v>
      </c>
      <c r="M1480">
        <f>VLOOKUP(SUBSTITUTE(J1480,"'",""),Sheet1!L:M,2,FALSE)</f>
        <v>80100</v>
      </c>
    </row>
    <row r="1481" spans="1:13" ht="13.5" customHeight="1" x14ac:dyDescent="0.4">
      <c r="A1481" s="1">
        <v>45907</v>
      </c>
      <c r="B1481" t="s">
        <v>2448</v>
      </c>
      <c r="C1481">
        <v>50.15</v>
      </c>
      <c r="D1481" s="2" t="s">
        <v>2664</v>
      </c>
      <c r="E1481" t="s">
        <v>2448</v>
      </c>
      <c r="F1481" s="2" t="s">
        <v>2450</v>
      </c>
      <c r="G1481" s="2" t="s">
        <v>1143</v>
      </c>
      <c r="H1481">
        <v>10120</v>
      </c>
      <c r="I1481" t="s">
        <v>16</v>
      </c>
      <c r="J1481" t="s">
        <v>2665</v>
      </c>
      <c r="K1481" t="s">
        <v>1218</v>
      </c>
      <c r="L1481" t="s">
        <v>4673</v>
      </c>
      <c r="M1481">
        <f>VLOOKUP(SUBSTITUTE(J1481,"'",""),Sheet1!L:M,2,FALSE)</f>
        <v>54820</v>
      </c>
    </row>
    <row r="1482" spans="1:13" ht="13.5" customHeight="1" x14ac:dyDescent="0.4">
      <c r="A1482" s="1">
        <v>45907</v>
      </c>
      <c r="B1482" t="s">
        <v>57</v>
      </c>
      <c r="C1482">
        <v>79.69</v>
      </c>
      <c r="D1482" s="2" t="s">
        <v>357</v>
      </c>
      <c r="E1482" t="s">
        <v>57</v>
      </c>
      <c r="F1482" t="s">
        <v>59</v>
      </c>
      <c r="G1482" s="2" t="s">
        <v>47</v>
      </c>
      <c r="H1482">
        <v>12866</v>
      </c>
      <c r="I1482" t="s">
        <v>16</v>
      </c>
      <c r="J1482" t="s">
        <v>358</v>
      </c>
      <c r="K1482" t="s">
        <v>61</v>
      </c>
      <c r="L1482" t="s">
        <v>2047</v>
      </c>
      <c r="M1482">
        <f>VLOOKUP(SUBSTITUTE(J1482,"'",""),Sheet1!L:M,2,FALSE)</f>
        <v>63100</v>
      </c>
    </row>
    <row r="1483" spans="1:13" ht="13.5" customHeight="1" x14ac:dyDescent="0.4">
      <c r="A1483" s="1">
        <v>45907</v>
      </c>
      <c r="B1483" t="s">
        <v>165</v>
      </c>
      <c r="C1483">
        <v>21.38</v>
      </c>
      <c r="D1483" s="2" t="s">
        <v>352</v>
      </c>
      <c r="E1483" t="s">
        <v>165</v>
      </c>
      <c r="F1483" s="2" t="s">
        <v>167</v>
      </c>
      <c r="G1483" s="2" t="s">
        <v>87</v>
      </c>
      <c r="H1483">
        <v>75202</v>
      </c>
      <c r="I1483" t="s">
        <v>16</v>
      </c>
      <c r="J1483" t="s">
        <v>353</v>
      </c>
      <c r="K1483" t="s">
        <v>96</v>
      </c>
      <c r="L1483" t="s">
        <v>2047</v>
      </c>
      <c r="M1483">
        <f>VLOOKUP(SUBSTITUTE(J1483,"'",""),Sheet1!L:M,2,FALSE)</f>
        <v>64100</v>
      </c>
    </row>
    <row r="1484" spans="1:13" ht="13.5" customHeight="1" x14ac:dyDescent="0.4">
      <c r="A1484" s="1">
        <v>45907</v>
      </c>
      <c r="B1484" t="s">
        <v>354</v>
      </c>
      <c r="C1484">
        <v>5.99</v>
      </c>
      <c r="D1484" s="2" t="s">
        <v>355</v>
      </c>
      <c r="E1484" t="s">
        <v>354</v>
      </c>
      <c r="F1484" t="s">
        <v>13</v>
      </c>
      <c r="G1484" s="2" t="s">
        <v>14</v>
      </c>
      <c r="H1484" t="s">
        <v>15</v>
      </c>
      <c r="I1484" t="s">
        <v>16</v>
      </c>
      <c r="J1484" t="s">
        <v>356</v>
      </c>
      <c r="K1484" t="s">
        <v>18</v>
      </c>
      <c r="L1484" t="s">
        <v>2047</v>
      </c>
      <c r="M1484">
        <f>VLOOKUP(SUBSTITUTE(J1484,"'",""),Sheet1!L:M,2,FALSE)</f>
        <v>54820</v>
      </c>
    </row>
    <row r="1485" spans="1:13" ht="13.5" customHeight="1" x14ac:dyDescent="0.4">
      <c r="A1485" s="1">
        <v>45907</v>
      </c>
      <c r="B1485" t="s">
        <v>583</v>
      </c>
      <c r="C1485">
        <v>130.51</v>
      </c>
      <c r="D1485" s="2" t="s">
        <v>2666</v>
      </c>
      <c r="E1485" t="s">
        <v>583</v>
      </c>
      <c r="F1485" s="2" t="s">
        <v>585</v>
      </c>
      <c r="G1485" s="2" t="s">
        <v>35</v>
      </c>
      <c r="H1485">
        <v>94103</v>
      </c>
      <c r="I1485" t="s">
        <v>16</v>
      </c>
      <c r="J1485" t="s">
        <v>2667</v>
      </c>
      <c r="K1485" t="s">
        <v>126</v>
      </c>
      <c r="L1485" t="s">
        <v>4673</v>
      </c>
      <c r="M1485">
        <f>VLOOKUP(SUBSTITUTE(J1485,"'",""),Sheet1!L:M,2,FALSE)</f>
        <v>54820</v>
      </c>
    </row>
    <row r="1486" spans="1:13" ht="13.5" customHeight="1" x14ac:dyDescent="0.4">
      <c r="A1486" s="1">
        <v>45907</v>
      </c>
      <c r="B1486" t="s">
        <v>2311</v>
      </c>
      <c r="C1486">
        <v>64.86</v>
      </c>
      <c r="D1486" s="2" t="s">
        <v>2661</v>
      </c>
      <c r="E1486" t="s">
        <v>2311</v>
      </c>
      <c r="F1486" s="2" t="s">
        <v>2313</v>
      </c>
      <c r="G1486" s="2" t="s">
        <v>2314</v>
      </c>
      <c r="H1486" t="s">
        <v>2315</v>
      </c>
      <c r="I1486" t="s">
        <v>16</v>
      </c>
      <c r="J1486" t="s">
        <v>2662</v>
      </c>
      <c r="K1486" t="s">
        <v>37</v>
      </c>
      <c r="L1486" t="s">
        <v>4673</v>
      </c>
      <c r="M1486">
        <f>VLOOKUP(SUBSTITUTE(J1486,"'",""),Sheet1!L:M,2,FALSE)</f>
        <v>64100</v>
      </c>
    </row>
    <row r="1487" spans="1:13" ht="13.5" customHeight="1" x14ac:dyDescent="0.4">
      <c r="A1487" s="1">
        <v>45908</v>
      </c>
      <c r="B1487" t="s">
        <v>140</v>
      </c>
      <c r="C1487">
        <v>29.39</v>
      </c>
      <c r="D1487" s="2" t="s">
        <v>346</v>
      </c>
      <c r="E1487" t="s">
        <v>142</v>
      </c>
      <c r="F1487" t="s">
        <v>143</v>
      </c>
      <c r="G1487" s="2" t="s">
        <v>14</v>
      </c>
      <c r="H1487">
        <v>98109</v>
      </c>
      <c r="I1487" t="s">
        <v>16</v>
      </c>
      <c r="J1487" t="s">
        <v>347</v>
      </c>
      <c r="K1487" t="s">
        <v>18</v>
      </c>
      <c r="L1487" t="s">
        <v>2047</v>
      </c>
      <c r="M1487">
        <f>VLOOKUP(SUBSTITUTE(J1487,"'",""),Sheet1!L:M,2,FALSE)</f>
        <v>54820</v>
      </c>
    </row>
    <row r="1488" spans="1:13" ht="13.5" customHeight="1" x14ac:dyDescent="0.4">
      <c r="A1488" s="1">
        <v>45908</v>
      </c>
      <c r="B1488" t="s">
        <v>44</v>
      </c>
      <c r="C1488">
        <v>827.34</v>
      </c>
      <c r="D1488" s="2" t="s">
        <v>350</v>
      </c>
      <c r="E1488" t="s">
        <v>44</v>
      </c>
      <c r="F1488" t="s">
        <v>46</v>
      </c>
      <c r="G1488" s="2" t="s">
        <v>47</v>
      </c>
      <c r="H1488" t="s">
        <v>48</v>
      </c>
      <c r="I1488" t="s">
        <v>16</v>
      </c>
      <c r="J1488" t="s">
        <v>351</v>
      </c>
      <c r="K1488" t="s">
        <v>50</v>
      </c>
      <c r="L1488" t="s">
        <v>2047</v>
      </c>
      <c r="M1488">
        <f>VLOOKUP(SUBSTITUTE(J1488,"'",""),Sheet1!L:M,2,FALSE)</f>
        <v>61110</v>
      </c>
    </row>
    <row r="1489" spans="1:13" ht="13.5" customHeight="1" x14ac:dyDescent="0.4">
      <c r="A1489" s="1">
        <v>45908</v>
      </c>
      <c r="B1489" t="s">
        <v>169</v>
      </c>
      <c r="C1489">
        <v>21.39</v>
      </c>
      <c r="D1489" s="2" t="s">
        <v>348</v>
      </c>
      <c r="E1489" t="s">
        <v>169</v>
      </c>
      <c r="F1489" s="2" t="s">
        <v>171</v>
      </c>
      <c r="G1489" s="2" t="s">
        <v>172</v>
      </c>
      <c r="H1489">
        <v>95035</v>
      </c>
      <c r="I1489" t="s">
        <v>16</v>
      </c>
      <c r="J1489" t="s">
        <v>349</v>
      </c>
      <c r="K1489" t="s">
        <v>174</v>
      </c>
      <c r="L1489" t="s">
        <v>2047</v>
      </c>
      <c r="M1489">
        <f>VLOOKUP(SUBSTITUTE(J1489,"'",""),Sheet1!L:M,2,FALSE)</f>
        <v>64100</v>
      </c>
    </row>
    <row r="1490" spans="1:13" ht="13.5" customHeight="1" x14ac:dyDescent="0.4">
      <c r="A1490" s="1">
        <v>45908</v>
      </c>
      <c r="B1490" t="s">
        <v>478</v>
      </c>
      <c r="C1490">
        <v>66.87</v>
      </c>
      <c r="D1490" s="2" t="s">
        <v>2659</v>
      </c>
      <c r="E1490" t="s">
        <v>480</v>
      </c>
      <c r="F1490" s="2" t="s">
        <v>481</v>
      </c>
      <c r="G1490" s="2" t="s">
        <v>35</v>
      </c>
      <c r="H1490">
        <v>94103</v>
      </c>
      <c r="I1490" t="s">
        <v>16</v>
      </c>
      <c r="J1490" t="s">
        <v>2660</v>
      </c>
      <c r="K1490" t="s">
        <v>483</v>
      </c>
      <c r="L1490" t="s">
        <v>4673</v>
      </c>
      <c r="M1490">
        <f>VLOOKUP(SUBSTITUTE(J1490,"'",""),Sheet1!L:M,2,FALSE)</f>
        <v>61130</v>
      </c>
    </row>
    <row r="1491" spans="1:13" ht="13.5" customHeight="1" x14ac:dyDescent="0.4">
      <c r="A1491" s="1">
        <v>45909</v>
      </c>
      <c r="B1491" t="s">
        <v>22</v>
      </c>
      <c r="C1491">
        <v>-5000</v>
      </c>
      <c r="D1491" t="s">
        <v>22</v>
      </c>
      <c r="E1491" t="s">
        <v>22</v>
      </c>
      <c r="J1491" t="s">
        <v>340</v>
      </c>
      <c r="L1491" t="s">
        <v>2047</v>
      </c>
      <c r="M1491" t="e">
        <f>VLOOKUP(SUBSTITUTE(J1491,"'",""),Sheet1!L:M,2,FALSE)</f>
        <v>#N/A</v>
      </c>
    </row>
    <row r="1492" spans="1:13" ht="13.5" customHeight="1" x14ac:dyDescent="0.4">
      <c r="A1492" s="1">
        <v>45909</v>
      </c>
      <c r="B1492" t="s">
        <v>478</v>
      </c>
      <c r="C1492">
        <v>62.56</v>
      </c>
      <c r="D1492" s="2" t="s">
        <v>2655</v>
      </c>
      <c r="E1492" t="s">
        <v>480</v>
      </c>
      <c r="F1492" s="2" t="s">
        <v>481</v>
      </c>
      <c r="G1492" s="2" t="s">
        <v>35</v>
      </c>
      <c r="H1492">
        <v>94103</v>
      </c>
      <c r="I1492" t="s">
        <v>16</v>
      </c>
      <c r="J1492" t="s">
        <v>2656</v>
      </c>
      <c r="K1492" t="s">
        <v>483</v>
      </c>
      <c r="L1492" t="s">
        <v>4673</v>
      </c>
      <c r="M1492">
        <f>VLOOKUP(SUBSTITUTE(J1492,"'",""),Sheet1!L:M,2,FALSE)</f>
        <v>61130</v>
      </c>
    </row>
    <row r="1493" spans="1:13" ht="13.5" customHeight="1" x14ac:dyDescent="0.4">
      <c r="A1493" s="1">
        <v>45909</v>
      </c>
      <c r="B1493" t="s">
        <v>68</v>
      </c>
      <c r="C1493">
        <v>2500</v>
      </c>
      <c r="D1493" s="2" t="s">
        <v>338</v>
      </c>
      <c r="E1493" t="s">
        <v>68</v>
      </c>
      <c r="F1493" t="s">
        <v>70</v>
      </c>
      <c r="G1493" s="2" t="s">
        <v>71</v>
      </c>
      <c r="H1493" t="s">
        <v>72</v>
      </c>
      <c r="I1493" t="s">
        <v>73</v>
      </c>
      <c r="J1493" t="s">
        <v>339</v>
      </c>
      <c r="K1493" t="s">
        <v>18</v>
      </c>
      <c r="L1493" t="s">
        <v>2047</v>
      </c>
      <c r="M1493" t="e">
        <f>VLOOKUP(SUBSTITUTE(J1493,"'",""),Sheet1!L:M,2,FALSE)</f>
        <v>#N/A</v>
      </c>
    </row>
    <row r="1494" spans="1:13" ht="13.5" customHeight="1" x14ac:dyDescent="0.4">
      <c r="A1494" s="1">
        <v>45909</v>
      </c>
      <c r="B1494" t="s">
        <v>478</v>
      </c>
      <c r="C1494">
        <v>73.319999999999993</v>
      </c>
      <c r="D1494" s="2" t="s">
        <v>2657</v>
      </c>
      <c r="E1494" t="s">
        <v>480</v>
      </c>
      <c r="F1494" s="2" t="s">
        <v>481</v>
      </c>
      <c r="G1494" s="2" t="s">
        <v>35</v>
      </c>
      <c r="H1494">
        <v>94103</v>
      </c>
      <c r="I1494" t="s">
        <v>16</v>
      </c>
      <c r="J1494" t="s">
        <v>2658</v>
      </c>
      <c r="K1494" t="s">
        <v>483</v>
      </c>
      <c r="L1494" t="s">
        <v>4673</v>
      </c>
      <c r="M1494">
        <f>VLOOKUP(SUBSTITUTE(J1494,"'",""),Sheet1!L:M,2,FALSE)</f>
        <v>61130</v>
      </c>
    </row>
    <row r="1495" spans="1:13" ht="13.5" customHeight="1" x14ac:dyDescent="0.4">
      <c r="A1495" s="1">
        <v>45909</v>
      </c>
      <c r="B1495" t="s">
        <v>583</v>
      </c>
      <c r="C1495">
        <v>275.48</v>
      </c>
      <c r="D1495" s="2" t="s">
        <v>2653</v>
      </c>
      <c r="E1495" t="s">
        <v>583</v>
      </c>
      <c r="F1495" s="2" t="s">
        <v>585</v>
      </c>
      <c r="G1495" s="2" t="s">
        <v>35</v>
      </c>
      <c r="H1495">
        <v>94103</v>
      </c>
      <c r="I1495" t="s">
        <v>16</v>
      </c>
      <c r="J1495" t="s">
        <v>2654</v>
      </c>
      <c r="K1495" t="s">
        <v>126</v>
      </c>
      <c r="L1495" t="s">
        <v>4673</v>
      </c>
      <c r="M1495">
        <f>VLOOKUP(SUBSTITUTE(J1495,"'",""),Sheet1!L:M,2,FALSE)</f>
        <v>54820</v>
      </c>
    </row>
    <row r="1496" spans="1:13" ht="13.5" customHeight="1" x14ac:dyDescent="0.4">
      <c r="A1496" s="1">
        <v>45909</v>
      </c>
      <c r="B1496" t="s">
        <v>153</v>
      </c>
      <c r="C1496">
        <v>223.2</v>
      </c>
      <c r="D1496" s="2" t="s">
        <v>336</v>
      </c>
      <c r="E1496" t="s">
        <v>153</v>
      </c>
      <c r="F1496" t="s">
        <v>155</v>
      </c>
      <c r="G1496" s="2" t="s">
        <v>156</v>
      </c>
      <c r="H1496">
        <v>98052</v>
      </c>
      <c r="I1496" t="s">
        <v>16</v>
      </c>
      <c r="J1496" t="s">
        <v>337</v>
      </c>
      <c r="K1496" t="s">
        <v>96</v>
      </c>
      <c r="L1496" t="s">
        <v>2047</v>
      </c>
      <c r="M1496">
        <f>VLOOKUP(SUBSTITUTE(J1496,"'",""),Sheet1!L:M,2,FALSE)</f>
        <v>64100</v>
      </c>
    </row>
    <row r="1497" spans="1:13" ht="13.5" customHeight="1" x14ac:dyDescent="0.4">
      <c r="A1497" s="1">
        <v>45909</v>
      </c>
      <c r="B1497" t="s">
        <v>153</v>
      </c>
      <c r="C1497">
        <v>165.47</v>
      </c>
      <c r="D1497" s="2" t="s">
        <v>334</v>
      </c>
      <c r="E1497" t="s">
        <v>153</v>
      </c>
      <c r="F1497" t="s">
        <v>155</v>
      </c>
      <c r="G1497" s="2" t="s">
        <v>156</v>
      </c>
      <c r="H1497">
        <v>98052</v>
      </c>
      <c r="I1497" t="s">
        <v>16</v>
      </c>
      <c r="J1497" t="s">
        <v>335</v>
      </c>
      <c r="K1497" t="s">
        <v>96</v>
      </c>
      <c r="L1497" t="s">
        <v>2047</v>
      </c>
      <c r="M1497">
        <f>VLOOKUP(SUBSTITUTE(J1497,"'",""),Sheet1!L:M,2,FALSE)</f>
        <v>64100</v>
      </c>
    </row>
    <row r="1498" spans="1:13" ht="13.5" customHeight="1" x14ac:dyDescent="0.4">
      <c r="A1498" s="1">
        <v>45909</v>
      </c>
      <c r="B1498" t="s">
        <v>583</v>
      </c>
      <c r="C1498">
        <v>105.21</v>
      </c>
      <c r="D1498" s="2" t="s">
        <v>2651</v>
      </c>
      <c r="E1498" t="s">
        <v>583</v>
      </c>
      <c r="F1498" s="2" t="s">
        <v>585</v>
      </c>
      <c r="G1498" s="2" t="s">
        <v>35</v>
      </c>
      <c r="H1498">
        <v>94103</v>
      </c>
      <c r="I1498" t="s">
        <v>16</v>
      </c>
      <c r="J1498" t="s">
        <v>2652</v>
      </c>
      <c r="K1498" t="s">
        <v>126</v>
      </c>
      <c r="L1498" t="s">
        <v>4673</v>
      </c>
      <c r="M1498">
        <f>VLOOKUP(SUBSTITUTE(J1498,"'",""),Sheet1!L:M,2,FALSE)</f>
        <v>54820</v>
      </c>
    </row>
    <row r="1499" spans="1:13" ht="13.5" customHeight="1" x14ac:dyDescent="0.4">
      <c r="A1499" s="1">
        <v>45909</v>
      </c>
      <c r="B1499" t="s">
        <v>2458</v>
      </c>
      <c r="C1499">
        <v>2.9</v>
      </c>
      <c r="D1499" s="2" t="s">
        <v>2649</v>
      </c>
      <c r="E1499" t="s">
        <v>2458</v>
      </c>
      <c r="F1499" s="2" t="s">
        <v>2460</v>
      </c>
      <c r="G1499" s="2" t="s">
        <v>41</v>
      </c>
      <c r="H1499">
        <v>10004</v>
      </c>
      <c r="I1499" t="s">
        <v>16</v>
      </c>
      <c r="J1499" t="s">
        <v>2650</v>
      </c>
      <c r="K1499" t="s">
        <v>2462</v>
      </c>
      <c r="L1499" t="s">
        <v>4673</v>
      </c>
      <c r="M1499">
        <f>VLOOKUP(SUBSTITUTE(J1499,"'",""),Sheet1!L:M,2,FALSE)</f>
        <v>61133</v>
      </c>
    </row>
    <row r="1500" spans="1:13" ht="13.5" customHeight="1" x14ac:dyDescent="0.4">
      <c r="A1500" s="1">
        <v>45909</v>
      </c>
      <c r="B1500" t="s">
        <v>1300</v>
      </c>
      <c r="C1500">
        <v>19.07</v>
      </c>
      <c r="D1500" s="2" t="s">
        <v>2647</v>
      </c>
      <c r="E1500" t="s">
        <v>1300</v>
      </c>
      <c r="F1500" t="s">
        <v>1302</v>
      </c>
      <c r="G1500" s="2" t="s">
        <v>41</v>
      </c>
      <c r="H1500">
        <v>10003</v>
      </c>
      <c r="I1500" t="s">
        <v>16</v>
      </c>
      <c r="J1500" t="s">
        <v>2648</v>
      </c>
      <c r="K1500" t="s">
        <v>1304</v>
      </c>
      <c r="L1500" t="s">
        <v>4673</v>
      </c>
      <c r="M1500">
        <f>VLOOKUP(SUBSTITUTE(J1500,"'",""),Sheet1!L:M,2,FALSE)</f>
        <v>54820</v>
      </c>
    </row>
    <row r="1501" spans="1:13" ht="13.5" customHeight="1" x14ac:dyDescent="0.4">
      <c r="A1501" s="1">
        <v>45909</v>
      </c>
      <c r="B1501" t="s">
        <v>160</v>
      </c>
      <c r="C1501">
        <v>21.4</v>
      </c>
      <c r="D1501" s="2" t="s">
        <v>344</v>
      </c>
      <c r="E1501" t="s">
        <v>160</v>
      </c>
      <c r="F1501" s="2" t="s">
        <v>162</v>
      </c>
      <c r="G1501" s="2" t="s">
        <v>35</v>
      </c>
      <c r="H1501">
        <v>94104</v>
      </c>
      <c r="I1501" t="s">
        <v>16</v>
      </c>
      <c r="J1501" t="s">
        <v>345</v>
      </c>
      <c r="K1501" t="s">
        <v>164</v>
      </c>
      <c r="L1501" t="s">
        <v>2047</v>
      </c>
      <c r="M1501">
        <f>VLOOKUP(SUBSTITUTE(J1501,"'",""),Sheet1!L:M,2,FALSE)</f>
        <v>64100</v>
      </c>
    </row>
    <row r="1502" spans="1:13" ht="13.5" customHeight="1" x14ac:dyDescent="0.4">
      <c r="A1502" s="1">
        <v>45909</v>
      </c>
      <c r="B1502" t="s">
        <v>341</v>
      </c>
      <c r="C1502">
        <v>19.989999999999998</v>
      </c>
      <c r="D1502" s="2" t="s">
        <v>342</v>
      </c>
      <c r="E1502" t="s">
        <v>341</v>
      </c>
      <c r="F1502" t="s">
        <v>13</v>
      </c>
      <c r="G1502" s="2" t="s">
        <v>14</v>
      </c>
      <c r="H1502" t="s">
        <v>15</v>
      </c>
      <c r="I1502" t="s">
        <v>16</v>
      </c>
      <c r="J1502" t="s">
        <v>343</v>
      </c>
      <c r="K1502" t="s">
        <v>18</v>
      </c>
      <c r="L1502" t="s">
        <v>2047</v>
      </c>
      <c r="M1502">
        <f>VLOOKUP(SUBSTITUTE(J1502,"'",""),Sheet1!L:M,2,FALSE)</f>
        <v>54820</v>
      </c>
    </row>
    <row r="1503" spans="1:13" ht="13.5" customHeight="1" x14ac:dyDescent="0.4">
      <c r="A1503" s="1">
        <v>45909</v>
      </c>
      <c r="B1503" t="s">
        <v>140</v>
      </c>
      <c r="C1503">
        <v>405.19</v>
      </c>
      <c r="D1503" s="2" t="s">
        <v>332</v>
      </c>
      <c r="E1503" t="s">
        <v>142</v>
      </c>
      <c r="F1503" t="s">
        <v>143</v>
      </c>
      <c r="G1503" s="2" t="s">
        <v>14</v>
      </c>
      <c r="H1503">
        <v>98109</v>
      </c>
      <c r="I1503" t="s">
        <v>16</v>
      </c>
      <c r="J1503" t="s">
        <v>333</v>
      </c>
      <c r="K1503" t="s">
        <v>18</v>
      </c>
      <c r="L1503" t="s">
        <v>2047</v>
      </c>
      <c r="M1503">
        <f>VLOOKUP(SUBSTITUTE(J1503,"'",""),Sheet1!L:M,2,FALSE)</f>
        <v>54820</v>
      </c>
    </row>
    <row r="1504" spans="1:13" ht="13.5" customHeight="1" x14ac:dyDescent="0.4">
      <c r="A1504" s="1">
        <v>45910</v>
      </c>
      <c r="B1504" t="s">
        <v>478</v>
      </c>
      <c r="C1504">
        <v>46.41</v>
      </c>
      <c r="D1504" s="2" t="s">
        <v>2645</v>
      </c>
      <c r="E1504" t="s">
        <v>480</v>
      </c>
      <c r="F1504" s="2" t="s">
        <v>481</v>
      </c>
      <c r="G1504" s="2" t="s">
        <v>35</v>
      </c>
      <c r="H1504">
        <v>94103</v>
      </c>
      <c r="I1504" t="s">
        <v>16</v>
      </c>
      <c r="J1504" t="s">
        <v>2646</v>
      </c>
      <c r="K1504" t="s">
        <v>483</v>
      </c>
      <c r="L1504" t="s">
        <v>4673</v>
      </c>
      <c r="M1504">
        <f>VLOOKUP(SUBSTITUTE(J1504,"'",""),Sheet1!L:M,2,FALSE)</f>
        <v>61130</v>
      </c>
    </row>
    <row r="1505" spans="1:13" ht="13.5" customHeight="1" x14ac:dyDescent="0.4">
      <c r="A1505" s="1">
        <v>45911</v>
      </c>
      <c r="B1505" t="s">
        <v>140</v>
      </c>
      <c r="C1505">
        <v>13.05</v>
      </c>
      <c r="D1505" s="2" t="s">
        <v>2633</v>
      </c>
      <c r="E1505" t="s">
        <v>142</v>
      </c>
      <c r="F1505" t="s">
        <v>143</v>
      </c>
      <c r="G1505" s="2" t="s">
        <v>14</v>
      </c>
      <c r="H1505">
        <v>98109</v>
      </c>
      <c r="I1505" t="s">
        <v>16</v>
      </c>
      <c r="J1505" t="s">
        <v>2634</v>
      </c>
      <c r="K1505" t="s">
        <v>18</v>
      </c>
      <c r="L1505" t="s">
        <v>4673</v>
      </c>
      <c r="M1505">
        <f>VLOOKUP(SUBSTITUTE(J1505,"'",""),Sheet1!L:M,2,FALSE)</f>
        <v>54820</v>
      </c>
    </row>
    <row r="1506" spans="1:13" ht="13.5" customHeight="1" x14ac:dyDescent="0.4">
      <c r="A1506" s="1">
        <v>45911</v>
      </c>
      <c r="B1506" t="s">
        <v>2181</v>
      </c>
      <c r="C1506">
        <v>9.99</v>
      </c>
      <c r="D1506" s="2" t="s">
        <v>2635</v>
      </c>
      <c r="E1506" t="s">
        <v>2181</v>
      </c>
      <c r="F1506" s="2" t="s">
        <v>2183</v>
      </c>
      <c r="G1506" s="2" t="s">
        <v>1376</v>
      </c>
      <c r="H1506" t="s">
        <v>2184</v>
      </c>
      <c r="I1506" t="s">
        <v>16</v>
      </c>
      <c r="J1506" t="s">
        <v>2636</v>
      </c>
      <c r="K1506" t="s">
        <v>18</v>
      </c>
      <c r="L1506" t="s">
        <v>4673</v>
      </c>
      <c r="M1506">
        <f>VLOOKUP(SUBSTITUTE(J1506,"'",""),Sheet1!L:M,2,FALSE)</f>
        <v>54820</v>
      </c>
    </row>
    <row r="1507" spans="1:13" ht="13.5" customHeight="1" x14ac:dyDescent="0.4">
      <c r="A1507" s="1">
        <v>45911</v>
      </c>
      <c r="B1507" t="s">
        <v>2190</v>
      </c>
      <c r="C1507">
        <v>9.44</v>
      </c>
      <c r="D1507" s="2" t="s">
        <v>2639</v>
      </c>
      <c r="E1507" t="s">
        <v>2190</v>
      </c>
      <c r="F1507" t="s">
        <v>2192</v>
      </c>
      <c r="G1507" s="2" t="s">
        <v>41</v>
      </c>
      <c r="H1507">
        <v>10003</v>
      </c>
      <c r="I1507" t="s">
        <v>16</v>
      </c>
      <c r="J1507" t="s">
        <v>2640</v>
      </c>
      <c r="K1507" t="s">
        <v>305</v>
      </c>
      <c r="L1507" t="s">
        <v>4673</v>
      </c>
      <c r="M1507">
        <f>VLOOKUP(SUBSTITUTE(J1507,"'",""),Sheet1!L:M,2,FALSE)</f>
        <v>54820</v>
      </c>
    </row>
    <row r="1508" spans="1:13" ht="13.5" customHeight="1" x14ac:dyDescent="0.4">
      <c r="A1508" s="1">
        <v>45911</v>
      </c>
      <c r="B1508" t="s">
        <v>583</v>
      </c>
      <c r="C1508">
        <v>120.94</v>
      </c>
      <c r="D1508" s="2" t="s">
        <v>2643</v>
      </c>
      <c r="E1508" t="s">
        <v>583</v>
      </c>
      <c r="F1508" s="2" t="s">
        <v>585</v>
      </c>
      <c r="G1508" s="2" t="s">
        <v>35</v>
      </c>
      <c r="H1508">
        <v>94103</v>
      </c>
      <c r="I1508" t="s">
        <v>16</v>
      </c>
      <c r="J1508" t="s">
        <v>2644</v>
      </c>
      <c r="K1508" t="s">
        <v>126</v>
      </c>
      <c r="L1508" t="s">
        <v>4673</v>
      </c>
      <c r="M1508">
        <f>VLOOKUP(SUBSTITUTE(J1508,"'",""),Sheet1!L:M,2,FALSE)</f>
        <v>54820</v>
      </c>
    </row>
    <row r="1509" spans="1:13" ht="13.5" customHeight="1" x14ac:dyDescent="0.4">
      <c r="A1509" s="1">
        <v>45911</v>
      </c>
      <c r="B1509" t="s">
        <v>2265</v>
      </c>
      <c r="C1509">
        <v>36.9</v>
      </c>
      <c r="D1509" s="2" t="s">
        <v>2637</v>
      </c>
      <c r="E1509" t="s">
        <v>2265</v>
      </c>
      <c r="F1509" t="s">
        <v>2261</v>
      </c>
      <c r="G1509" s="2" t="s">
        <v>14</v>
      </c>
      <c r="H1509">
        <v>98103</v>
      </c>
      <c r="I1509" t="s">
        <v>16</v>
      </c>
      <c r="J1509" t="s">
        <v>2638</v>
      </c>
      <c r="K1509" t="s">
        <v>1904</v>
      </c>
      <c r="L1509" t="s">
        <v>4673</v>
      </c>
      <c r="M1509">
        <f>VLOOKUP(SUBSTITUTE(J1509,"'",""),Sheet1!L:M,2,FALSE)</f>
        <v>64100</v>
      </c>
    </row>
    <row r="1510" spans="1:13" ht="13.5" customHeight="1" x14ac:dyDescent="0.4">
      <c r="A1510" s="1">
        <v>45911</v>
      </c>
      <c r="B1510" t="s">
        <v>2259</v>
      </c>
      <c r="C1510">
        <v>21.39</v>
      </c>
      <c r="D1510" s="2" t="s">
        <v>2631</v>
      </c>
      <c r="E1510" t="s">
        <v>2259</v>
      </c>
      <c r="F1510" t="s">
        <v>2261</v>
      </c>
      <c r="G1510" s="2" t="s">
        <v>14</v>
      </c>
      <c r="H1510">
        <v>98103</v>
      </c>
      <c r="I1510" t="s">
        <v>16</v>
      </c>
      <c r="J1510" t="s">
        <v>2632</v>
      </c>
      <c r="K1510" t="s">
        <v>1904</v>
      </c>
      <c r="L1510" t="s">
        <v>4673</v>
      </c>
      <c r="M1510">
        <f>VLOOKUP(SUBSTITUTE(J1510,"'",""),Sheet1!L:M,2,FALSE)</f>
        <v>64100</v>
      </c>
    </row>
    <row r="1511" spans="1:13" ht="13.5" customHeight="1" x14ac:dyDescent="0.4">
      <c r="A1511" s="1">
        <v>45911</v>
      </c>
      <c r="B1511" t="s">
        <v>399</v>
      </c>
      <c r="C1511">
        <v>902.28</v>
      </c>
      <c r="D1511" s="2" t="s">
        <v>2641</v>
      </c>
      <c r="E1511" t="s">
        <v>399</v>
      </c>
      <c r="F1511" t="s">
        <v>401</v>
      </c>
      <c r="G1511" s="2" t="s">
        <v>41</v>
      </c>
      <c r="H1511">
        <v>10010</v>
      </c>
      <c r="I1511" t="s">
        <v>16</v>
      </c>
      <c r="J1511" t="s">
        <v>2642</v>
      </c>
      <c r="K1511" t="s">
        <v>126</v>
      </c>
      <c r="L1511" t="s">
        <v>4673</v>
      </c>
      <c r="M1511">
        <f>VLOOKUP(SUBSTITUTE(J1511,"'",""),Sheet1!L:M,2,FALSE)</f>
        <v>61215</v>
      </c>
    </row>
    <row r="1512" spans="1:13" ht="13.5" customHeight="1" x14ac:dyDescent="0.4">
      <c r="A1512" s="1">
        <v>45912</v>
      </c>
      <c r="B1512" t="s">
        <v>977</v>
      </c>
      <c r="C1512">
        <v>10</v>
      </c>
      <c r="D1512" s="2" t="s">
        <v>2623</v>
      </c>
      <c r="E1512" t="s">
        <v>977</v>
      </c>
      <c r="F1512" s="2" t="s">
        <v>979</v>
      </c>
      <c r="G1512" s="2" t="s">
        <v>980</v>
      </c>
      <c r="H1512">
        <v>78259</v>
      </c>
      <c r="I1512" t="s">
        <v>16</v>
      </c>
      <c r="J1512" t="s">
        <v>2624</v>
      </c>
      <c r="K1512" t="s">
        <v>164</v>
      </c>
      <c r="L1512" t="s">
        <v>4673</v>
      </c>
      <c r="M1512">
        <f>VLOOKUP(SUBSTITUTE(J1512,"'",""),Sheet1!L:M,2,FALSE)</f>
        <v>54820</v>
      </c>
    </row>
    <row r="1513" spans="1:13" ht="13.5" customHeight="1" x14ac:dyDescent="0.4">
      <c r="A1513" s="1">
        <v>45912</v>
      </c>
      <c r="B1513" t="s">
        <v>478</v>
      </c>
      <c r="C1513">
        <v>38.130000000000003</v>
      </c>
      <c r="D1513" s="2" t="s">
        <v>2629</v>
      </c>
      <c r="E1513" t="s">
        <v>480</v>
      </c>
      <c r="F1513" s="2" t="s">
        <v>481</v>
      </c>
      <c r="G1513" s="2" t="s">
        <v>35</v>
      </c>
      <c r="H1513">
        <v>94103</v>
      </c>
      <c r="I1513" t="s">
        <v>16</v>
      </c>
      <c r="J1513" t="s">
        <v>2630</v>
      </c>
      <c r="K1513" t="s">
        <v>483</v>
      </c>
      <c r="L1513" t="s">
        <v>4673</v>
      </c>
      <c r="M1513">
        <f>VLOOKUP(SUBSTITUTE(J1513,"'",""),Sheet1!L:M,2,FALSE)</f>
        <v>61130</v>
      </c>
    </row>
    <row r="1514" spans="1:13" ht="13.5" customHeight="1" x14ac:dyDescent="0.4">
      <c r="A1514" s="1">
        <v>45912</v>
      </c>
      <c r="B1514" t="s">
        <v>127</v>
      </c>
      <c r="C1514">
        <v>16.04</v>
      </c>
      <c r="D1514" s="2" t="s">
        <v>330</v>
      </c>
      <c r="E1514" t="s">
        <v>127</v>
      </c>
      <c r="F1514" t="s">
        <v>129</v>
      </c>
      <c r="G1514" s="2" t="s">
        <v>130</v>
      </c>
      <c r="H1514" t="s">
        <v>131</v>
      </c>
      <c r="I1514" t="s">
        <v>16</v>
      </c>
      <c r="J1514" t="s">
        <v>331</v>
      </c>
      <c r="K1514" t="s">
        <v>133</v>
      </c>
      <c r="L1514" t="s">
        <v>2047</v>
      </c>
      <c r="M1514">
        <f>VLOOKUP(SUBSTITUTE(J1514,"'",""),Sheet1!L:M,2,FALSE)</f>
        <v>64100</v>
      </c>
    </row>
    <row r="1515" spans="1:13" ht="13.5" customHeight="1" x14ac:dyDescent="0.4">
      <c r="A1515" s="1">
        <v>45912</v>
      </c>
      <c r="B1515" t="s">
        <v>327</v>
      </c>
      <c r="C1515">
        <v>9.15</v>
      </c>
      <c r="D1515" s="2" t="s">
        <v>328</v>
      </c>
      <c r="E1515" t="s">
        <v>327</v>
      </c>
      <c r="F1515" t="s">
        <v>29</v>
      </c>
      <c r="G1515" t="e">
        <f>-
NY</f>
        <v>#NAME?</v>
      </c>
      <c r="H1515">
        <v>11577</v>
      </c>
      <c r="I1515" t="s">
        <v>16</v>
      </c>
      <c r="J1515" t="s">
        <v>329</v>
      </c>
      <c r="K1515" t="s">
        <v>31</v>
      </c>
      <c r="L1515" t="s">
        <v>2047</v>
      </c>
      <c r="M1515">
        <f>VLOOKUP(SUBSTITUTE(J1515,"'",""),Sheet1!L:M,2,FALSE)</f>
        <v>61131</v>
      </c>
    </row>
    <row r="1516" spans="1:13" ht="13.5" customHeight="1" x14ac:dyDescent="0.4">
      <c r="A1516" s="1">
        <v>45912</v>
      </c>
      <c r="B1516" t="s">
        <v>38</v>
      </c>
      <c r="C1516">
        <v>696.69</v>
      </c>
      <c r="D1516" s="2" t="s">
        <v>325</v>
      </c>
      <c r="E1516" t="s">
        <v>38</v>
      </c>
      <c r="F1516" t="s">
        <v>40</v>
      </c>
      <c r="G1516" s="2" t="s">
        <v>41</v>
      </c>
      <c r="H1516">
        <v>10012</v>
      </c>
      <c r="I1516" t="s">
        <v>16</v>
      </c>
      <c r="J1516" t="s">
        <v>326</v>
      </c>
      <c r="K1516" t="s">
        <v>43</v>
      </c>
      <c r="L1516" t="s">
        <v>2047</v>
      </c>
      <c r="M1516">
        <f>VLOOKUP(SUBSTITUTE(J1516,"'",""),Sheet1!L:M,2,FALSE)</f>
        <v>61131</v>
      </c>
    </row>
    <row r="1517" spans="1:13" ht="13.5" customHeight="1" x14ac:dyDescent="0.4">
      <c r="A1517" s="1">
        <v>45912</v>
      </c>
      <c r="B1517" t="s">
        <v>977</v>
      </c>
      <c r="C1517">
        <v>20</v>
      </c>
      <c r="D1517" s="2" t="s">
        <v>2625</v>
      </c>
      <c r="E1517" t="s">
        <v>977</v>
      </c>
      <c r="F1517" s="2" t="s">
        <v>979</v>
      </c>
      <c r="G1517" s="2" t="s">
        <v>980</v>
      </c>
      <c r="H1517">
        <v>78259</v>
      </c>
      <c r="I1517" t="s">
        <v>16</v>
      </c>
      <c r="J1517" t="s">
        <v>2626</v>
      </c>
      <c r="K1517" t="s">
        <v>164</v>
      </c>
      <c r="L1517" t="s">
        <v>4673</v>
      </c>
      <c r="M1517">
        <f>VLOOKUP(SUBSTITUTE(J1517,"'",""),Sheet1!L:M,2,FALSE)</f>
        <v>54820</v>
      </c>
    </row>
    <row r="1518" spans="1:13" ht="13.5" customHeight="1" x14ac:dyDescent="0.4">
      <c r="A1518" s="1">
        <v>45912</v>
      </c>
      <c r="B1518" t="s">
        <v>2246</v>
      </c>
      <c r="C1518">
        <v>11.99</v>
      </c>
      <c r="D1518" s="2" t="s">
        <v>2627</v>
      </c>
      <c r="E1518" t="s">
        <v>2246</v>
      </c>
      <c r="F1518" t="s">
        <v>2248</v>
      </c>
      <c r="G1518" s="2" t="s">
        <v>2249</v>
      </c>
      <c r="H1518">
        <v>94025</v>
      </c>
      <c r="I1518" t="s">
        <v>16</v>
      </c>
      <c r="J1518" t="s">
        <v>2628</v>
      </c>
      <c r="K1518" t="s">
        <v>164</v>
      </c>
      <c r="L1518" t="s">
        <v>4673</v>
      </c>
      <c r="M1518">
        <f>VLOOKUP(SUBSTITUTE(J1518,"'",""),Sheet1!L:M,2,FALSE)</f>
        <v>54820</v>
      </c>
    </row>
    <row r="1519" spans="1:13" ht="13.5" customHeight="1" x14ac:dyDescent="0.4">
      <c r="A1519" s="1">
        <v>45913</v>
      </c>
      <c r="B1519" t="s">
        <v>2616</v>
      </c>
      <c r="C1519">
        <v>106.99</v>
      </c>
      <c r="D1519" s="2" t="s">
        <v>2617</v>
      </c>
      <c r="E1519" t="s">
        <v>2616</v>
      </c>
      <c r="F1519" s="2" t="s">
        <v>2233</v>
      </c>
      <c r="G1519" s="2" t="s">
        <v>130</v>
      </c>
      <c r="H1519" t="s">
        <v>2234</v>
      </c>
      <c r="I1519" t="s">
        <v>16</v>
      </c>
      <c r="J1519" t="s">
        <v>2618</v>
      </c>
      <c r="K1519" t="s">
        <v>18</v>
      </c>
      <c r="L1519" t="s">
        <v>4673</v>
      </c>
      <c r="M1519">
        <f>VLOOKUP(SUBSTITUTE(J1519,"'",""),Sheet1!L:M,2,FALSE)</f>
        <v>61100</v>
      </c>
    </row>
    <row r="1520" spans="1:13" ht="13.5" customHeight="1" x14ac:dyDescent="0.4">
      <c r="A1520" s="1">
        <v>45913</v>
      </c>
      <c r="B1520" t="s">
        <v>583</v>
      </c>
      <c r="C1520">
        <v>175.16</v>
      </c>
      <c r="D1520" s="2" t="s">
        <v>2619</v>
      </c>
      <c r="E1520" t="s">
        <v>583</v>
      </c>
      <c r="F1520" s="2" t="s">
        <v>585</v>
      </c>
      <c r="G1520" s="2" t="s">
        <v>35</v>
      </c>
      <c r="H1520">
        <v>94103</v>
      </c>
      <c r="I1520" t="s">
        <v>16</v>
      </c>
      <c r="J1520" t="s">
        <v>2620</v>
      </c>
      <c r="K1520" t="s">
        <v>126</v>
      </c>
      <c r="L1520" t="s">
        <v>4673</v>
      </c>
      <c r="M1520">
        <f>VLOOKUP(SUBSTITUTE(J1520,"'",""),Sheet1!L:M,2,FALSE)</f>
        <v>54820</v>
      </c>
    </row>
    <row r="1521" spans="1:13" ht="13.5" customHeight="1" x14ac:dyDescent="0.4">
      <c r="A1521" s="1">
        <v>45913</v>
      </c>
      <c r="B1521" t="s">
        <v>2240</v>
      </c>
      <c r="C1521">
        <v>47.13</v>
      </c>
      <c r="D1521" s="2" t="s">
        <v>2621</v>
      </c>
      <c r="E1521" t="s">
        <v>2240</v>
      </c>
      <c r="F1521" t="s">
        <v>2242</v>
      </c>
      <c r="G1521" s="2" t="s">
        <v>41</v>
      </c>
      <c r="H1521">
        <v>10003</v>
      </c>
      <c r="I1521" t="s">
        <v>16</v>
      </c>
      <c r="J1521" t="s">
        <v>2622</v>
      </c>
      <c r="K1521" t="s">
        <v>1218</v>
      </c>
      <c r="L1521" t="s">
        <v>4673</v>
      </c>
      <c r="M1521">
        <f>VLOOKUP(SUBSTITUTE(J1521,"'",""),Sheet1!L:M,2,FALSE)</f>
        <v>54820</v>
      </c>
    </row>
    <row r="1522" spans="1:13" ht="13.5" customHeight="1" x14ac:dyDescent="0.4">
      <c r="A1522" s="1">
        <v>45914</v>
      </c>
      <c r="B1522" t="s">
        <v>322</v>
      </c>
      <c r="C1522">
        <v>19.989999999999998</v>
      </c>
      <c r="D1522" s="2" t="s">
        <v>323</v>
      </c>
      <c r="E1522" t="s">
        <v>322</v>
      </c>
      <c r="F1522" t="s">
        <v>13</v>
      </c>
      <c r="G1522" s="2" t="s">
        <v>14</v>
      </c>
      <c r="H1522" t="s">
        <v>15</v>
      </c>
      <c r="I1522" t="s">
        <v>16</v>
      </c>
      <c r="J1522" t="s">
        <v>324</v>
      </c>
      <c r="K1522" t="s">
        <v>18</v>
      </c>
      <c r="L1522" t="s">
        <v>2047</v>
      </c>
      <c r="M1522">
        <f>VLOOKUP(SUBSTITUTE(J1522,"'",""),Sheet1!L:M,2,FALSE)</f>
        <v>54820</v>
      </c>
    </row>
    <row r="1523" spans="1:13" ht="13.5" customHeight="1" x14ac:dyDescent="0.4">
      <c r="A1523" s="1">
        <v>45914</v>
      </c>
      <c r="B1523" t="s">
        <v>2344</v>
      </c>
      <c r="C1523">
        <v>50.67</v>
      </c>
      <c r="D1523" s="2" t="s">
        <v>2604</v>
      </c>
      <c r="E1523" t="s">
        <v>2344</v>
      </c>
      <c r="F1523" t="s">
        <v>2219</v>
      </c>
      <c r="G1523" s="2" t="s">
        <v>41</v>
      </c>
      <c r="H1523">
        <v>10013</v>
      </c>
      <c r="I1523" t="s">
        <v>16</v>
      </c>
      <c r="J1523" t="s">
        <v>2605</v>
      </c>
      <c r="K1523" t="s">
        <v>321</v>
      </c>
      <c r="L1523" t="s">
        <v>4673</v>
      </c>
      <c r="M1523">
        <f>VLOOKUP(SUBSTITUTE(J1523,"'",""),Sheet1!L:M,2,FALSE)</f>
        <v>54820</v>
      </c>
    </row>
    <row r="1524" spans="1:13" ht="13.5" customHeight="1" x14ac:dyDescent="0.4">
      <c r="A1524" s="1">
        <v>45914</v>
      </c>
      <c r="B1524" t="s">
        <v>2222</v>
      </c>
      <c r="C1524">
        <v>20.18</v>
      </c>
      <c r="D1524" s="2" t="s">
        <v>2606</v>
      </c>
      <c r="E1524" t="s">
        <v>2222</v>
      </c>
      <c r="F1524" s="2" t="s">
        <v>2224</v>
      </c>
      <c r="G1524" s="2" t="s">
        <v>35</v>
      </c>
      <c r="H1524">
        <v>94103</v>
      </c>
      <c r="I1524" t="s">
        <v>16</v>
      </c>
      <c r="J1524" t="s">
        <v>2607</v>
      </c>
      <c r="K1524" t="s">
        <v>164</v>
      </c>
      <c r="L1524" t="s">
        <v>4673</v>
      </c>
      <c r="M1524">
        <f>VLOOKUP(SUBSTITUTE(J1524,"'",""),Sheet1!L:M,2,FALSE)</f>
        <v>54820</v>
      </c>
    </row>
    <row r="1525" spans="1:13" ht="13.5" customHeight="1" x14ac:dyDescent="0.4">
      <c r="A1525" s="1">
        <v>45914</v>
      </c>
      <c r="B1525" t="s">
        <v>478</v>
      </c>
      <c r="C1525">
        <v>14.66</v>
      </c>
      <c r="D1525" s="2" t="s">
        <v>2612</v>
      </c>
      <c r="E1525" t="s">
        <v>480</v>
      </c>
      <c r="F1525" s="2" t="s">
        <v>481</v>
      </c>
      <c r="G1525" s="2" t="s">
        <v>35</v>
      </c>
      <c r="H1525">
        <v>94103</v>
      </c>
      <c r="I1525" t="s">
        <v>16</v>
      </c>
      <c r="J1525" t="s">
        <v>2613</v>
      </c>
      <c r="K1525" t="s">
        <v>483</v>
      </c>
      <c r="L1525" t="s">
        <v>4673</v>
      </c>
      <c r="M1525">
        <f>VLOOKUP(SUBSTITUTE(J1525,"'",""),Sheet1!L:M,2,FALSE)</f>
        <v>61130</v>
      </c>
    </row>
    <row r="1526" spans="1:13" ht="13.5" customHeight="1" x14ac:dyDescent="0.4">
      <c r="A1526" s="1">
        <v>45914</v>
      </c>
      <c r="B1526" t="s">
        <v>478</v>
      </c>
      <c r="C1526">
        <v>40.76</v>
      </c>
      <c r="D1526" s="2" t="s">
        <v>2614</v>
      </c>
      <c r="E1526" t="s">
        <v>480</v>
      </c>
      <c r="F1526" s="2" t="s">
        <v>481</v>
      </c>
      <c r="G1526" s="2" t="s">
        <v>35</v>
      </c>
      <c r="H1526">
        <v>94103</v>
      </c>
      <c r="I1526" t="s">
        <v>16</v>
      </c>
      <c r="J1526" t="s">
        <v>2615</v>
      </c>
      <c r="K1526" t="s">
        <v>483</v>
      </c>
      <c r="L1526" t="s">
        <v>4673</v>
      </c>
      <c r="M1526">
        <f>VLOOKUP(SUBSTITUTE(J1526,"'",""),Sheet1!L:M,2,FALSE)</f>
        <v>61130</v>
      </c>
    </row>
    <row r="1527" spans="1:13" ht="13.5" customHeight="1" x14ac:dyDescent="0.4">
      <c r="A1527" s="1">
        <v>45914</v>
      </c>
      <c r="B1527" t="s">
        <v>583</v>
      </c>
      <c r="C1527">
        <v>151.02000000000001</v>
      </c>
      <c r="D1527" s="2" t="s">
        <v>2610</v>
      </c>
      <c r="E1527" t="s">
        <v>583</v>
      </c>
      <c r="F1527" s="2" t="s">
        <v>585</v>
      </c>
      <c r="G1527" s="2" t="s">
        <v>35</v>
      </c>
      <c r="H1527">
        <v>94103</v>
      </c>
      <c r="I1527" t="s">
        <v>16</v>
      </c>
      <c r="J1527" t="s">
        <v>2611</v>
      </c>
      <c r="K1527" t="s">
        <v>126</v>
      </c>
      <c r="L1527" t="s">
        <v>4673</v>
      </c>
      <c r="M1527">
        <f>VLOOKUP(SUBSTITUTE(J1527,"'",""),Sheet1!L:M,2,FALSE)</f>
        <v>54820</v>
      </c>
    </row>
    <row r="1528" spans="1:13" ht="13.5" customHeight="1" x14ac:dyDescent="0.4">
      <c r="A1528" s="1">
        <v>45914</v>
      </c>
      <c r="B1528" t="s">
        <v>583</v>
      </c>
      <c r="C1528">
        <v>52.72</v>
      </c>
      <c r="D1528" s="2" t="s">
        <v>2608</v>
      </c>
      <c r="E1528" t="s">
        <v>583</v>
      </c>
      <c r="F1528" s="2" t="s">
        <v>585</v>
      </c>
      <c r="G1528" s="2" t="s">
        <v>35</v>
      </c>
      <c r="H1528">
        <v>94103</v>
      </c>
      <c r="I1528" t="s">
        <v>16</v>
      </c>
      <c r="J1528" t="s">
        <v>2609</v>
      </c>
      <c r="K1528" t="s">
        <v>126</v>
      </c>
      <c r="L1528" t="s">
        <v>4673</v>
      </c>
      <c r="M1528">
        <f>VLOOKUP(SUBSTITUTE(J1528,"'",""),Sheet1!L:M,2,FALSE)</f>
        <v>54820</v>
      </c>
    </row>
    <row r="1529" spans="1:13" ht="13.5" customHeight="1" x14ac:dyDescent="0.4">
      <c r="A1529" s="1">
        <v>45914</v>
      </c>
      <c r="B1529" t="s">
        <v>317</v>
      </c>
      <c r="C1529">
        <v>24.95</v>
      </c>
      <c r="D1529" s="2" t="s">
        <v>318</v>
      </c>
      <c r="E1529" t="s">
        <v>317</v>
      </c>
      <c r="F1529" s="2" t="s">
        <v>319</v>
      </c>
      <c r="G1529" s="2" t="s">
        <v>41</v>
      </c>
      <c r="H1529">
        <v>10285</v>
      </c>
      <c r="I1529" t="s">
        <v>16</v>
      </c>
      <c r="J1529" t="s">
        <v>320</v>
      </c>
      <c r="K1529" t="s">
        <v>321</v>
      </c>
      <c r="L1529" t="s">
        <v>2047</v>
      </c>
      <c r="M1529">
        <f>VLOOKUP(SUBSTITUTE(J1529,"'",""),Sheet1!L:M,2,FALSE)</f>
        <v>61131</v>
      </c>
    </row>
    <row r="1530" spans="1:13" ht="13.5" customHeight="1" x14ac:dyDescent="0.4">
      <c r="A1530" s="1">
        <v>45914</v>
      </c>
      <c r="B1530" t="s">
        <v>83</v>
      </c>
      <c r="C1530">
        <v>109.4</v>
      </c>
      <c r="D1530" s="2" t="s">
        <v>314</v>
      </c>
      <c r="E1530" t="s">
        <v>315</v>
      </c>
      <c r="F1530" s="2" t="s">
        <v>86</v>
      </c>
      <c r="G1530" s="2" t="s">
        <v>87</v>
      </c>
      <c r="H1530" t="s">
        <v>88</v>
      </c>
      <c r="I1530" t="s">
        <v>16</v>
      </c>
      <c r="J1530" t="s">
        <v>316</v>
      </c>
      <c r="K1530" t="s">
        <v>90</v>
      </c>
      <c r="L1530" t="s">
        <v>2047</v>
      </c>
      <c r="M1530">
        <f>VLOOKUP(SUBSTITUTE(J1530,"'",""),Sheet1!L:M,2,FALSE)</f>
        <v>65700</v>
      </c>
    </row>
    <row r="1531" spans="1:13" ht="13.5" customHeight="1" x14ac:dyDescent="0.4">
      <c r="A1531" s="1">
        <v>45915</v>
      </c>
      <c r="B1531" t="s">
        <v>2181</v>
      </c>
      <c r="C1531">
        <v>7.48</v>
      </c>
      <c r="D1531" s="2" t="s">
        <v>2596</v>
      </c>
      <c r="E1531" t="s">
        <v>2181</v>
      </c>
      <c r="F1531" s="2" t="s">
        <v>2183</v>
      </c>
      <c r="G1531" s="2" t="s">
        <v>1376</v>
      </c>
      <c r="H1531" t="s">
        <v>2184</v>
      </c>
      <c r="I1531" t="s">
        <v>16</v>
      </c>
      <c r="J1531" t="s">
        <v>2597</v>
      </c>
      <c r="K1531" t="s">
        <v>18</v>
      </c>
      <c r="L1531" t="s">
        <v>4673</v>
      </c>
      <c r="M1531">
        <f>VLOOKUP(SUBSTITUTE(J1531,"'",""),Sheet1!L:M,2,FALSE)</f>
        <v>54820</v>
      </c>
    </row>
    <row r="1532" spans="1:13" ht="13.5" customHeight="1" x14ac:dyDescent="0.4">
      <c r="A1532" s="1">
        <v>45915</v>
      </c>
      <c r="B1532" t="s">
        <v>583</v>
      </c>
      <c r="C1532">
        <v>144.30000000000001</v>
      </c>
      <c r="D1532" s="2" t="s">
        <v>2602</v>
      </c>
      <c r="E1532" t="s">
        <v>583</v>
      </c>
      <c r="F1532" s="2" t="s">
        <v>585</v>
      </c>
      <c r="G1532" s="2" t="s">
        <v>35</v>
      </c>
      <c r="H1532">
        <v>94103</v>
      </c>
      <c r="I1532" t="s">
        <v>16</v>
      </c>
      <c r="J1532" t="s">
        <v>2603</v>
      </c>
      <c r="K1532" t="s">
        <v>126</v>
      </c>
      <c r="L1532" t="s">
        <v>4673</v>
      </c>
      <c r="M1532">
        <f>VLOOKUP(SUBSTITUTE(J1532,"'",""),Sheet1!L:M,2,FALSE)</f>
        <v>54820</v>
      </c>
    </row>
    <row r="1533" spans="1:13" ht="13.5" customHeight="1" x14ac:dyDescent="0.4">
      <c r="A1533" s="1">
        <v>45915</v>
      </c>
      <c r="B1533" t="s">
        <v>78</v>
      </c>
      <c r="C1533">
        <v>10</v>
      </c>
      <c r="D1533" s="2" t="s">
        <v>312</v>
      </c>
      <c r="E1533" t="s">
        <v>78</v>
      </c>
      <c r="F1533" s="2" t="s">
        <v>80</v>
      </c>
      <c r="H1533">
        <v>2150</v>
      </c>
      <c r="I1533" t="s">
        <v>81</v>
      </c>
      <c r="J1533" t="s">
        <v>313</v>
      </c>
      <c r="K1533" t="s">
        <v>37</v>
      </c>
      <c r="L1533" t="s">
        <v>2047</v>
      </c>
      <c r="M1533">
        <f>VLOOKUP(SUBSTITUTE(J1533,"'",""),Sheet1!L:M,2,FALSE)</f>
        <v>64100</v>
      </c>
    </row>
    <row r="1534" spans="1:13" ht="13.5" customHeight="1" x14ac:dyDescent="0.4">
      <c r="A1534" s="1">
        <v>45915</v>
      </c>
      <c r="B1534" t="s">
        <v>27</v>
      </c>
      <c r="C1534">
        <v>33.93</v>
      </c>
      <c r="D1534" s="2" t="s">
        <v>310</v>
      </c>
      <c r="E1534" t="s">
        <v>27</v>
      </c>
      <c r="F1534" t="s">
        <v>29</v>
      </c>
      <c r="G1534" t="e">
        <f>-
NY</f>
        <v>#NAME?</v>
      </c>
      <c r="H1534">
        <v>11577</v>
      </c>
      <c r="I1534" t="s">
        <v>16</v>
      </c>
      <c r="J1534" t="s">
        <v>311</v>
      </c>
      <c r="K1534" t="s">
        <v>31</v>
      </c>
      <c r="L1534" t="s">
        <v>2047</v>
      </c>
      <c r="M1534">
        <f>VLOOKUP(SUBSTITUTE(J1534,"'",""),Sheet1!L:M,2,FALSE)</f>
        <v>61131</v>
      </c>
    </row>
    <row r="1535" spans="1:13" ht="13.5" customHeight="1" x14ac:dyDescent="0.4">
      <c r="A1535" s="1">
        <v>45915</v>
      </c>
      <c r="B1535" t="s">
        <v>2142</v>
      </c>
      <c r="C1535">
        <v>4</v>
      </c>
      <c r="D1535" s="2" t="s">
        <v>2600</v>
      </c>
      <c r="E1535" t="s">
        <v>2142</v>
      </c>
      <c r="F1535" t="s">
        <v>2144</v>
      </c>
      <c r="G1535" s="2" t="s">
        <v>41</v>
      </c>
      <c r="H1535">
        <v>10012</v>
      </c>
      <c r="I1535" t="s">
        <v>16</v>
      </c>
      <c r="J1535" t="s">
        <v>2601</v>
      </c>
      <c r="K1535" t="s">
        <v>1304</v>
      </c>
      <c r="L1535" t="s">
        <v>4673</v>
      </c>
      <c r="M1535">
        <f>VLOOKUP(SUBSTITUTE(J1535,"'",""),Sheet1!L:M,2,FALSE)</f>
        <v>54820</v>
      </c>
    </row>
    <row r="1536" spans="1:13" ht="13.5" customHeight="1" x14ac:dyDescent="0.4">
      <c r="A1536" s="1">
        <v>45915</v>
      </c>
      <c r="B1536" t="s">
        <v>2471</v>
      </c>
      <c r="C1536">
        <v>64.63</v>
      </c>
      <c r="D1536" s="2" t="s">
        <v>2598</v>
      </c>
      <c r="E1536" t="s">
        <v>2471</v>
      </c>
      <c r="F1536" t="s">
        <v>2473</v>
      </c>
      <c r="G1536" s="2" t="s">
        <v>41</v>
      </c>
      <c r="H1536">
        <v>10010</v>
      </c>
      <c r="I1536" t="s">
        <v>16</v>
      </c>
      <c r="J1536" t="s">
        <v>2599</v>
      </c>
      <c r="K1536" t="s">
        <v>305</v>
      </c>
      <c r="L1536" t="s">
        <v>4673</v>
      </c>
      <c r="M1536">
        <f>VLOOKUP(SUBSTITUTE(J1536,"'",""),Sheet1!L:M,2,FALSE)</f>
        <v>54820</v>
      </c>
    </row>
    <row r="1537" spans="1:13" ht="13.5" customHeight="1" x14ac:dyDescent="0.4">
      <c r="A1537" s="1">
        <v>45916</v>
      </c>
      <c r="B1537" t="s">
        <v>2125</v>
      </c>
      <c r="C1537">
        <v>27.99</v>
      </c>
      <c r="D1537" s="2" t="s">
        <v>2588</v>
      </c>
      <c r="E1537" t="s">
        <v>2125</v>
      </c>
      <c r="F1537" t="s">
        <v>2127</v>
      </c>
      <c r="G1537" s="2" t="s">
        <v>41</v>
      </c>
      <c r="H1537">
        <v>10003</v>
      </c>
      <c r="I1537" t="s">
        <v>16</v>
      </c>
      <c r="J1537" t="s">
        <v>2589</v>
      </c>
      <c r="K1537" t="s">
        <v>37</v>
      </c>
      <c r="L1537" t="s">
        <v>4673</v>
      </c>
      <c r="M1537">
        <f>VLOOKUP(SUBSTITUTE(J1537,"'",""),Sheet1!L:M,2,FALSE)</f>
        <v>54820</v>
      </c>
    </row>
    <row r="1538" spans="1:13" ht="13.5" customHeight="1" x14ac:dyDescent="0.4">
      <c r="A1538" s="1">
        <v>45916</v>
      </c>
      <c r="B1538" t="s">
        <v>106</v>
      </c>
      <c r="C1538">
        <v>70.31</v>
      </c>
      <c r="D1538" s="2" t="s">
        <v>2590</v>
      </c>
      <c r="E1538" t="s">
        <v>106</v>
      </c>
      <c r="F1538" t="s">
        <v>108</v>
      </c>
      <c r="G1538" s="2" t="s">
        <v>41</v>
      </c>
      <c r="H1538">
        <v>10012</v>
      </c>
      <c r="I1538" t="s">
        <v>16</v>
      </c>
      <c r="J1538" t="s">
        <v>2591</v>
      </c>
      <c r="K1538" t="s">
        <v>110</v>
      </c>
      <c r="L1538" t="s">
        <v>4673</v>
      </c>
      <c r="M1538">
        <f>VLOOKUP(SUBSTITUTE(J1538,"'",""),Sheet1!L:M,2,FALSE)</f>
        <v>67500</v>
      </c>
    </row>
    <row r="1539" spans="1:13" ht="13.5" customHeight="1" x14ac:dyDescent="0.4">
      <c r="A1539" s="1">
        <v>45916</v>
      </c>
      <c r="B1539" t="s">
        <v>2190</v>
      </c>
      <c r="C1539">
        <v>8.44</v>
      </c>
      <c r="D1539" s="2" t="s">
        <v>2586</v>
      </c>
      <c r="E1539" t="s">
        <v>2190</v>
      </c>
      <c r="F1539" t="s">
        <v>2192</v>
      </c>
      <c r="G1539" s="2" t="s">
        <v>41</v>
      </c>
      <c r="H1539">
        <v>10003</v>
      </c>
      <c r="I1539" t="s">
        <v>16</v>
      </c>
      <c r="J1539" t="s">
        <v>2587</v>
      </c>
      <c r="K1539" t="s">
        <v>305</v>
      </c>
      <c r="L1539" t="s">
        <v>4673</v>
      </c>
      <c r="M1539">
        <f>VLOOKUP(SUBSTITUTE(J1539,"'",""),Sheet1!L:M,2,FALSE)</f>
        <v>54820</v>
      </c>
    </row>
    <row r="1540" spans="1:13" ht="13.5" customHeight="1" x14ac:dyDescent="0.4">
      <c r="A1540" s="1">
        <v>45916</v>
      </c>
      <c r="B1540" t="s">
        <v>2592</v>
      </c>
      <c r="C1540">
        <v>15.93</v>
      </c>
      <c r="D1540" s="2" t="s">
        <v>2593</v>
      </c>
      <c r="E1540" t="s">
        <v>2592</v>
      </c>
      <c r="F1540" t="s">
        <v>2594</v>
      </c>
      <c r="G1540" s="2" t="s">
        <v>41</v>
      </c>
      <c r="H1540">
        <v>10012</v>
      </c>
      <c r="I1540" t="s">
        <v>16</v>
      </c>
      <c r="J1540" t="s">
        <v>2595</v>
      </c>
      <c r="K1540" t="s">
        <v>1218</v>
      </c>
      <c r="L1540" t="s">
        <v>4673</v>
      </c>
      <c r="M1540">
        <f>VLOOKUP(SUBSTITUTE(J1540,"'",""),Sheet1!L:M,2,FALSE)</f>
        <v>54820</v>
      </c>
    </row>
    <row r="1541" spans="1:13" ht="13.5" customHeight="1" x14ac:dyDescent="0.4">
      <c r="A1541" s="1">
        <v>45916</v>
      </c>
      <c r="B1541" t="s">
        <v>2582</v>
      </c>
      <c r="C1541">
        <v>36.950000000000003</v>
      </c>
      <c r="D1541" s="2" t="s">
        <v>2583</v>
      </c>
      <c r="E1541" t="s">
        <v>2582</v>
      </c>
      <c r="F1541" t="s">
        <v>2584</v>
      </c>
      <c r="G1541" s="2" t="s">
        <v>41</v>
      </c>
      <c r="H1541">
        <v>10003</v>
      </c>
      <c r="I1541" t="s">
        <v>16</v>
      </c>
      <c r="J1541" t="s">
        <v>2585</v>
      </c>
      <c r="K1541" t="s">
        <v>1390</v>
      </c>
      <c r="L1541" t="s">
        <v>4673</v>
      </c>
      <c r="M1541">
        <f>VLOOKUP(SUBSTITUTE(J1541,"'",""),Sheet1!L:M,2,FALSE)</f>
        <v>54820</v>
      </c>
    </row>
    <row r="1542" spans="1:13" ht="13.5" customHeight="1" x14ac:dyDescent="0.4">
      <c r="A1542" s="1">
        <v>45916</v>
      </c>
      <c r="B1542" t="s">
        <v>306</v>
      </c>
      <c r="C1542">
        <v>12.03</v>
      </c>
      <c r="D1542" s="2" t="s">
        <v>307</v>
      </c>
      <c r="E1542" t="s">
        <v>306</v>
      </c>
      <c r="F1542" t="s">
        <v>308</v>
      </c>
      <c r="G1542" s="2" t="s">
        <v>41</v>
      </c>
      <c r="H1542">
        <v>10019</v>
      </c>
      <c r="I1542" t="s">
        <v>16</v>
      </c>
      <c r="J1542" t="s">
        <v>309</v>
      </c>
      <c r="K1542" t="s">
        <v>305</v>
      </c>
      <c r="L1542" t="s">
        <v>2047</v>
      </c>
      <c r="M1542">
        <f>VLOOKUP(SUBSTITUTE(J1542,"'",""),Sheet1!L:M,2,FALSE)</f>
        <v>54820</v>
      </c>
    </row>
    <row r="1543" spans="1:13" ht="13.5" customHeight="1" x14ac:dyDescent="0.4">
      <c r="A1543" s="1">
        <v>45916</v>
      </c>
      <c r="B1543" t="s">
        <v>140</v>
      </c>
      <c r="C1543">
        <v>48.98</v>
      </c>
      <c r="D1543" s="2" t="s">
        <v>2580</v>
      </c>
      <c r="E1543" t="s">
        <v>142</v>
      </c>
      <c r="F1543" t="s">
        <v>143</v>
      </c>
      <c r="G1543" s="2" t="s">
        <v>14</v>
      </c>
      <c r="H1543">
        <v>98109</v>
      </c>
      <c r="I1543" t="s">
        <v>16</v>
      </c>
      <c r="J1543" t="s">
        <v>2581</v>
      </c>
      <c r="K1543" t="s">
        <v>18</v>
      </c>
      <c r="L1543" t="s">
        <v>4673</v>
      </c>
      <c r="M1543">
        <f>VLOOKUP(SUBSTITUTE(J1543,"'",""),Sheet1!L:M,2,FALSE)</f>
        <v>54820</v>
      </c>
    </row>
    <row r="1544" spans="1:13" ht="13.5" customHeight="1" x14ac:dyDescent="0.4">
      <c r="A1544" s="1">
        <v>45917</v>
      </c>
      <c r="B1544" t="s">
        <v>292</v>
      </c>
      <c r="C1544">
        <v>844.35</v>
      </c>
      <c r="D1544" s="2" t="s">
        <v>293</v>
      </c>
      <c r="E1544" t="s">
        <v>292</v>
      </c>
      <c r="F1544" t="s">
        <v>294</v>
      </c>
      <c r="G1544" s="2" t="s">
        <v>295</v>
      </c>
      <c r="H1544">
        <v>47670</v>
      </c>
      <c r="I1544" t="s">
        <v>16</v>
      </c>
      <c r="J1544" t="s">
        <v>296</v>
      </c>
      <c r="K1544" t="s">
        <v>207</v>
      </c>
      <c r="L1544" t="s">
        <v>2047</v>
      </c>
      <c r="M1544">
        <f>VLOOKUP(SUBSTITUTE(J1544,"'",""),Sheet1!L:M,2,FALSE)</f>
        <v>54820</v>
      </c>
    </row>
    <row r="1545" spans="1:13" ht="13.5" customHeight="1" x14ac:dyDescent="0.4">
      <c r="A1545" s="1">
        <v>45917</v>
      </c>
      <c r="B1545" t="s">
        <v>478</v>
      </c>
      <c r="C1545">
        <v>88</v>
      </c>
      <c r="D1545" s="2" t="s">
        <v>2576</v>
      </c>
      <c r="E1545" t="s">
        <v>480</v>
      </c>
      <c r="F1545" s="2" t="s">
        <v>481</v>
      </c>
      <c r="G1545" s="2" t="s">
        <v>35</v>
      </c>
      <c r="H1545">
        <v>94103</v>
      </c>
      <c r="I1545" t="s">
        <v>16</v>
      </c>
      <c r="J1545" t="s">
        <v>2577</v>
      </c>
      <c r="K1545" t="s">
        <v>483</v>
      </c>
      <c r="L1545" t="s">
        <v>4673</v>
      </c>
      <c r="M1545">
        <f>VLOOKUP(SUBSTITUTE(J1545,"'",""),Sheet1!L:M,2,FALSE)</f>
        <v>61130</v>
      </c>
    </row>
    <row r="1546" spans="1:13" ht="13.5" customHeight="1" x14ac:dyDescent="0.4">
      <c r="A1546" s="1">
        <v>45917</v>
      </c>
      <c r="B1546" t="s">
        <v>478</v>
      </c>
      <c r="C1546">
        <v>88.43</v>
      </c>
      <c r="D1546" s="2" t="s">
        <v>2578</v>
      </c>
      <c r="E1546" t="s">
        <v>480</v>
      </c>
      <c r="F1546" s="2" t="s">
        <v>481</v>
      </c>
      <c r="G1546" s="2" t="s">
        <v>35</v>
      </c>
      <c r="H1546">
        <v>94103</v>
      </c>
      <c r="I1546" t="s">
        <v>16</v>
      </c>
      <c r="J1546" t="s">
        <v>2579</v>
      </c>
      <c r="K1546" t="s">
        <v>483</v>
      </c>
      <c r="L1546" t="s">
        <v>4673</v>
      </c>
      <c r="M1546">
        <f>VLOOKUP(SUBSTITUTE(J1546,"'",""),Sheet1!L:M,2,FALSE)</f>
        <v>61130</v>
      </c>
    </row>
    <row r="1547" spans="1:13" ht="13.5" customHeight="1" x14ac:dyDescent="0.4">
      <c r="A1547" s="1">
        <v>45917</v>
      </c>
      <c r="B1547" t="s">
        <v>478</v>
      </c>
      <c r="C1547">
        <v>60.83</v>
      </c>
      <c r="D1547" s="2" t="s">
        <v>2574</v>
      </c>
      <c r="E1547" t="s">
        <v>480</v>
      </c>
      <c r="F1547" s="2" t="s">
        <v>481</v>
      </c>
      <c r="G1547" s="2" t="s">
        <v>35</v>
      </c>
      <c r="H1547">
        <v>94103</v>
      </c>
      <c r="I1547" t="s">
        <v>16</v>
      </c>
      <c r="J1547" t="s">
        <v>2575</v>
      </c>
      <c r="K1547" t="s">
        <v>483</v>
      </c>
      <c r="L1547" t="s">
        <v>4673</v>
      </c>
      <c r="M1547">
        <f>VLOOKUP(SUBSTITUTE(J1547,"'",""),Sheet1!L:M,2,FALSE)</f>
        <v>61130</v>
      </c>
    </row>
    <row r="1548" spans="1:13" ht="13.5" customHeight="1" x14ac:dyDescent="0.4">
      <c r="A1548" s="1">
        <v>45917</v>
      </c>
      <c r="B1548" t="s">
        <v>300</v>
      </c>
      <c r="C1548">
        <v>520</v>
      </c>
      <c r="D1548" s="2" t="s">
        <v>301</v>
      </c>
      <c r="E1548" t="s">
        <v>300</v>
      </c>
      <c r="F1548" t="s">
        <v>302</v>
      </c>
      <c r="G1548" s="2" t="s">
        <v>41</v>
      </c>
      <c r="H1548" t="s">
        <v>303</v>
      </c>
      <c r="I1548" t="s">
        <v>16</v>
      </c>
      <c r="J1548" t="s">
        <v>304</v>
      </c>
      <c r="K1548" t="s">
        <v>305</v>
      </c>
      <c r="L1548" t="s">
        <v>2047</v>
      </c>
      <c r="M1548">
        <f>VLOOKUP(SUBSTITUTE(J1548,"'",""),Sheet1!L:M,2,FALSE)</f>
        <v>61215</v>
      </c>
    </row>
    <row r="1549" spans="1:13" ht="13.5" customHeight="1" x14ac:dyDescent="0.4">
      <c r="A1549" s="1">
        <v>45917</v>
      </c>
      <c r="B1549" t="s">
        <v>297</v>
      </c>
      <c r="C1549">
        <v>9.15</v>
      </c>
      <c r="D1549" s="2" t="s">
        <v>298</v>
      </c>
      <c r="E1549" t="s">
        <v>297</v>
      </c>
      <c r="F1549" t="s">
        <v>29</v>
      </c>
      <c r="G1549" t="e">
        <f>-
NY</f>
        <v>#NAME?</v>
      </c>
      <c r="H1549">
        <v>11577</v>
      </c>
      <c r="I1549" t="s">
        <v>16</v>
      </c>
      <c r="J1549" t="s">
        <v>299</v>
      </c>
      <c r="K1549" t="s">
        <v>31</v>
      </c>
      <c r="L1549" t="s">
        <v>2047</v>
      </c>
      <c r="M1549">
        <f>VLOOKUP(SUBSTITUTE(J1549,"'",""),Sheet1!L:M,2,FALSE)</f>
        <v>61131</v>
      </c>
    </row>
    <row r="1550" spans="1:13" ht="13.5" customHeight="1" x14ac:dyDescent="0.4">
      <c r="A1550" s="1">
        <v>45917</v>
      </c>
      <c r="B1550" t="s">
        <v>2571</v>
      </c>
      <c r="C1550">
        <v>57</v>
      </c>
      <c r="D1550" s="2" t="s">
        <v>2572</v>
      </c>
      <c r="E1550" t="s">
        <v>2571</v>
      </c>
      <c r="F1550" t="s">
        <v>2248</v>
      </c>
      <c r="G1550" s="2" t="s">
        <v>2249</v>
      </c>
      <c r="H1550">
        <v>94025</v>
      </c>
      <c r="I1550" t="s">
        <v>16</v>
      </c>
      <c r="J1550" t="s">
        <v>2573</v>
      </c>
      <c r="K1550" t="s">
        <v>2335</v>
      </c>
      <c r="L1550" t="s">
        <v>4673</v>
      </c>
      <c r="M1550">
        <f>VLOOKUP(SUBSTITUTE(J1550,"'",""),Sheet1!L:M,2,FALSE)</f>
        <v>54820</v>
      </c>
    </row>
    <row r="1551" spans="1:13" ht="13.5" customHeight="1" x14ac:dyDescent="0.4">
      <c r="A1551" s="1">
        <v>45918</v>
      </c>
      <c r="B1551" t="s">
        <v>2190</v>
      </c>
      <c r="C1551">
        <v>9.44</v>
      </c>
      <c r="D1551" s="2" t="s">
        <v>2558</v>
      </c>
      <c r="E1551" t="s">
        <v>2190</v>
      </c>
      <c r="F1551" t="s">
        <v>2192</v>
      </c>
      <c r="G1551" s="2" t="s">
        <v>41</v>
      </c>
      <c r="H1551">
        <v>10003</v>
      </c>
      <c r="I1551" t="s">
        <v>16</v>
      </c>
      <c r="J1551" t="s">
        <v>2559</v>
      </c>
      <c r="K1551" t="s">
        <v>305</v>
      </c>
      <c r="L1551" t="s">
        <v>4673</v>
      </c>
      <c r="M1551">
        <f>VLOOKUP(SUBSTITUTE(J1551,"'",""),Sheet1!L:M,2,FALSE)</f>
        <v>54820</v>
      </c>
    </row>
    <row r="1552" spans="1:13" ht="13.5" customHeight="1" x14ac:dyDescent="0.4">
      <c r="A1552" s="1">
        <v>45918</v>
      </c>
      <c r="B1552" t="s">
        <v>583</v>
      </c>
      <c r="C1552">
        <v>180.16</v>
      </c>
      <c r="D1552" s="2" t="s">
        <v>2560</v>
      </c>
      <c r="E1552" t="s">
        <v>583</v>
      </c>
      <c r="F1552" s="2" t="s">
        <v>585</v>
      </c>
      <c r="G1552" s="2" t="s">
        <v>35</v>
      </c>
      <c r="H1552">
        <v>94103</v>
      </c>
      <c r="I1552" t="s">
        <v>16</v>
      </c>
      <c r="J1552" t="s">
        <v>2561</v>
      </c>
      <c r="K1552" t="s">
        <v>126</v>
      </c>
      <c r="L1552" t="s">
        <v>4673</v>
      </c>
      <c r="M1552">
        <f>VLOOKUP(SUBSTITUTE(J1552,"'",""),Sheet1!L:M,2,FALSE)</f>
        <v>54820</v>
      </c>
    </row>
    <row r="1553" spans="1:13" ht="13.5" customHeight="1" x14ac:dyDescent="0.4">
      <c r="A1553" s="1">
        <v>45918</v>
      </c>
      <c r="B1553" t="s">
        <v>287</v>
      </c>
      <c r="C1553">
        <v>700</v>
      </c>
      <c r="D1553" s="2" t="s">
        <v>288</v>
      </c>
      <c r="E1553" t="s">
        <v>287</v>
      </c>
      <c r="F1553" t="s">
        <v>289</v>
      </c>
      <c r="G1553" s="2" t="s">
        <v>41</v>
      </c>
      <c r="H1553" t="s">
        <v>290</v>
      </c>
      <c r="I1553" t="s">
        <v>16</v>
      </c>
      <c r="J1553" t="s">
        <v>291</v>
      </c>
      <c r="K1553" t="s">
        <v>126</v>
      </c>
      <c r="L1553" t="s">
        <v>2047</v>
      </c>
      <c r="M1553">
        <f>VLOOKUP(SUBSTITUTE(J1553,"'",""),Sheet1!L:M,2,FALSE)</f>
        <v>61215</v>
      </c>
    </row>
    <row r="1554" spans="1:13" ht="13.5" customHeight="1" x14ac:dyDescent="0.4">
      <c r="A1554" s="1">
        <v>45918</v>
      </c>
      <c r="B1554" t="s">
        <v>478</v>
      </c>
      <c r="C1554">
        <v>54.65</v>
      </c>
      <c r="D1554" s="2" t="s">
        <v>2562</v>
      </c>
      <c r="E1554" t="s">
        <v>480</v>
      </c>
      <c r="F1554" s="2" t="s">
        <v>481</v>
      </c>
      <c r="G1554" s="2" t="s">
        <v>35</v>
      </c>
      <c r="H1554">
        <v>94103</v>
      </c>
      <c r="I1554" t="s">
        <v>16</v>
      </c>
      <c r="J1554" t="s">
        <v>2563</v>
      </c>
      <c r="K1554" t="s">
        <v>483</v>
      </c>
      <c r="L1554" t="s">
        <v>4673</v>
      </c>
      <c r="M1554">
        <f>VLOOKUP(SUBSTITUTE(J1554,"'",""),Sheet1!L:M,2,FALSE)</f>
        <v>61130</v>
      </c>
    </row>
    <row r="1555" spans="1:13" ht="13.5" customHeight="1" x14ac:dyDescent="0.4">
      <c r="A1555" s="1">
        <v>45918</v>
      </c>
      <c r="B1555" t="s">
        <v>2085</v>
      </c>
      <c r="C1555">
        <v>26.66</v>
      </c>
      <c r="D1555" s="2" t="s">
        <v>2569</v>
      </c>
      <c r="E1555" t="s">
        <v>2085</v>
      </c>
      <c r="F1555" t="s">
        <v>2087</v>
      </c>
      <c r="G1555" s="2" t="s">
        <v>41</v>
      </c>
      <c r="H1555">
        <v>10001</v>
      </c>
      <c r="I1555" t="s">
        <v>16</v>
      </c>
      <c r="J1555" t="s">
        <v>2570</v>
      </c>
      <c r="K1555" t="s">
        <v>1218</v>
      </c>
      <c r="L1555" t="s">
        <v>4673</v>
      </c>
      <c r="M1555">
        <f>VLOOKUP(SUBSTITUTE(J1555,"'",""),Sheet1!L:M,2,FALSE)</f>
        <v>54820</v>
      </c>
    </row>
    <row r="1556" spans="1:13" ht="13.5" customHeight="1" x14ac:dyDescent="0.4">
      <c r="A1556" s="1">
        <v>45918</v>
      </c>
      <c r="B1556" t="s">
        <v>2554</v>
      </c>
      <c r="C1556">
        <v>17.98</v>
      </c>
      <c r="D1556" s="2" t="s">
        <v>2555</v>
      </c>
      <c r="E1556" t="s">
        <v>2554</v>
      </c>
      <c r="F1556" t="s">
        <v>2556</v>
      </c>
      <c r="G1556" s="2" t="s">
        <v>41</v>
      </c>
      <c r="H1556">
        <v>10003</v>
      </c>
      <c r="I1556" t="s">
        <v>16</v>
      </c>
      <c r="J1556" t="s">
        <v>2557</v>
      </c>
      <c r="K1556" t="s">
        <v>1218</v>
      </c>
      <c r="L1556" t="s">
        <v>4673</v>
      </c>
      <c r="M1556">
        <f>VLOOKUP(SUBSTITUTE(J1556,"'",""),Sheet1!L:M,2,FALSE)</f>
        <v>54820</v>
      </c>
    </row>
    <row r="1557" spans="1:13" ht="13.5" customHeight="1" x14ac:dyDescent="0.4">
      <c r="A1557" s="1">
        <v>45918</v>
      </c>
      <c r="B1557" t="s">
        <v>2129</v>
      </c>
      <c r="C1557">
        <v>1545</v>
      </c>
      <c r="D1557" s="2" t="s">
        <v>2564</v>
      </c>
      <c r="E1557" t="s">
        <v>2129</v>
      </c>
      <c r="F1557" t="s">
        <v>2131</v>
      </c>
      <c r="G1557" s="2" t="s">
        <v>2132</v>
      </c>
      <c r="H1557">
        <v>95131</v>
      </c>
      <c r="I1557" t="s">
        <v>16</v>
      </c>
      <c r="J1557" t="s">
        <v>2565</v>
      </c>
      <c r="K1557" t="s">
        <v>133</v>
      </c>
      <c r="L1557" t="s">
        <v>4673</v>
      </c>
      <c r="M1557">
        <f>VLOOKUP(SUBSTITUTE(J1557,"'",""),Sheet1!L:M,2,FALSE)</f>
        <v>54820</v>
      </c>
    </row>
    <row r="1558" spans="1:13" ht="13.5" customHeight="1" x14ac:dyDescent="0.4">
      <c r="A1558" s="1">
        <v>45918</v>
      </c>
      <c r="B1558" t="s">
        <v>2566</v>
      </c>
      <c r="C1558">
        <v>463.5</v>
      </c>
      <c r="D1558" s="2" t="s">
        <v>2567</v>
      </c>
      <c r="E1558" t="s">
        <v>2566</v>
      </c>
      <c r="F1558" t="s">
        <v>2131</v>
      </c>
      <c r="G1558" s="2" t="s">
        <v>2132</v>
      </c>
      <c r="H1558">
        <v>95131</v>
      </c>
      <c r="I1558" t="s">
        <v>16</v>
      </c>
      <c r="J1558" t="s">
        <v>2568</v>
      </c>
      <c r="K1558" t="s">
        <v>133</v>
      </c>
      <c r="L1558" t="s">
        <v>4673</v>
      </c>
      <c r="M1558">
        <f>VLOOKUP(SUBSTITUTE(J1558,"'",""),Sheet1!L:M,2,FALSE)</f>
        <v>54820</v>
      </c>
    </row>
    <row r="1559" spans="1:13" ht="13.5" customHeight="1" x14ac:dyDescent="0.4">
      <c r="A1559" s="1">
        <v>45919</v>
      </c>
      <c r="B1559" t="s">
        <v>478</v>
      </c>
      <c r="C1559">
        <v>59.89</v>
      </c>
      <c r="D1559" s="2" t="s">
        <v>2552</v>
      </c>
      <c r="E1559" t="s">
        <v>480</v>
      </c>
      <c r="F1559" s="2" t="s">
        <v>481</v>
      </c>
      <c r="G1559" s="2" t="s">
        <v>35</v>
      </c>
      <c r="H1559">
        <v>94103</v>
      </c>
      <c r="I1559" t="s">
        <v>16</v>
      </c>
      <c r="J1559" t="s">
        <v>2553</v>
      </c>
      <c r="K1559" t="s">
        <v>483</v>
      </c>
      <c r="L1559" t="s">
        <v>4673</v>
      </c>
      <c r="M1559">
        <f>VLOOKUP(SUBSTITUTE(J1559,"'",""),Sheet1!L:M,2,FALSE)</f>
        <v>61130</v>
      </c>
    </row>
    <row r="1560" spans="1:13" ht="13.5" customHeight="1" x14ac:dyDescent="0.4">
      <c r="A1560" s="1">
        <v>45919</v>
      </c>
      <c r="B1560" t="s">
        <v>284</v>
      </c>
      <c r="C1560">
        <v>3.99</v>
      </c>
      <c r="D1560" s="2" t="s">
        <v>285</v>
      </c>
      <c r="E1560" t="s">
        <v>284</v>
      </c>
      <c r="F1560" t="s">
        <v>13</v>
      </c>
      <c r="G1560" s="2" t="s">
        <v>14</v>
      </c>
      <c r="H1560" t="s">
        <v>15</v>
      </c>
      <c r="I1560" t="s">
        <v>16</v>
      </c>
      <c r="J1560" t="s">
        <v>286</v>
      </c>
      <c r="K1560" t="s">
        <v>18</v>
      </c>
      <c r="L1560" t="s">
        <v>2047</v>
      </c>
      <c r="M1560">
        <f>VLOOKUP(SUBSTITUTE(J1560,"'",""),Sheet1!L:M,2,FALSE)</f>
        <v>54820</v>
      </c>
    </row>
    <row r="1561" spans="1:13" ht="13.5" customHeight="1" x14ac:dyDescent="0.4">
      <c r="A1561" s="1">
        <v>45919</v>
      </c>
      <c r="B1561" t="s">
        <v>478</v>
      </c>
      <c r="C1561">
        <v>8.15</v>
      </c>
      <c r="D1561" s="2" t="s">
        <v>2548</v>
      </c>
      <c r="E1561" t="s">
        <v>480</v>
      </c>
      <c r="F1561" s="2" t="s">
        <v>481</v>
      </c>
      <c r="G1561" s="2" t="s">
        <v>35</v>
      </c>
      <c r="H1561">
        <v>94103</v>
      </c>
      <c r="I1561" t="s">
        <v>16</v>
      </c>
      <c r="J1561" t="s">
        <v>2549</v>
      </c>
      <c r="K1561" t="s">
        <v>483</v>
      </c>
      <c r="L1561" t="s">
        <v>4673</v>
      </c>
      <c r="M1561">
        <f>VLOOKUP(SUBSTITUTE(J1561,"'",""),Sheet1!L:M,2,FALSE)</f>
        <v>61130</v>
      </c>
    </row>
    <row r="1562" spans="1:13" ht="13.5" customHeight="1" x14ac:dyDescent="0.4">
      <c r="A1562" s="1">
        <v>45919</v>
      </c>
      <c r="B1562" t="s">
        <v>478</v>
      </c>
      <c r="C1562">
        <v>33.67</v>
      </c>
      <c r="D1562" s="2" t="s">
        <v>2550</v>
      </c>
      <c r="E1562" t="s">
        <v>480</v>
      </c>
      <c r="F1562" s="2" t="s">
        <v>481</v>
      </c>
      <c r="G1562" s="2" t="s">
        <v>35</v>
      </c>
      <c r="H1562">
        <v>94103</v>
      </c>
      <c r="I1562" t="s">
        <v>16</v>
      </c>
      <c r="J1562" t="s">
        <v>2551</v>
      </c>
      <c r="K1562" t="s">
        <v>483</v>
      </c>
      <c r="L1562" t="s">
        <v>4673</v>
      </c>
      <c r="M1562">
        <f>VLOOKUP(SUBSTITUTE(J1562,"'",""),Sheet1!L:M,2,FALSE)</f>
        <v>61130</v>
      </c>
    </row>
    <row r="1563" spans="1:13" ht="13.5" customHeight="1" x14ac:dyDescent="0.4">
      <c r="A1563" s="1">
        <v>45919</v>
      </c>
      <c r="B1563" t="s">
        <v>2296</v>
      </c>
      <c r="C1563">
        <v>130</v>
      </c>
      <c r="D1563" s="2" t="s">
        <v>2544</v>
      </c>
      <c r="E1563" t="s">
        <v>2296</v>
      </c>
      <c r="F1563" t="s">
        <v>2298</v>
      </c>
      <c r="G1563" s="2" t="s">
        <v>35</v>
      </c>
      <c r="H1563" t="s">
        <v>2299</v>
      </c>
      <c r="I1563" t="s">
        <v>16</v>
      </c>
      <c r="J1563" t="s">
        <v>2545</v>
      </c>
      <c r="K1563" t="s">
        <v>18</v>
      </c>
      <c r="L1563" t="s">
        <v>4673</v>
      </c>
      <c r="M1563">
        <f>VLOOKUP(SUBSTITUTE(J1563,"'",""),Sheet1!L:M,2,FALSE)</f>
        <v>54820</v>
      </c>
    </row>
    <row r="1564" spans="1:13" ht="13.5" customHeight="1" x14ac:dyDescent="0.4">
      <c r="A1564" s="1">
        <v>45919</v>
      </c>
      <c r="B1564" t="s">
        <v>583</v>
      </c>
      <c r="C1564">
        <v>271.20999999999998</v>
      </c>
      <c r="D1564" s="2" t="s">
        <v>2546</v>
      </c>
      <c r="E1564" t="s">
        <v>583</v>
      </c>
      <c r="F1564" s="2" t="s">
        <v>585</v>
      </c>
      <c r="G1564" s="2" t="s">
        <v>35</v>
      </c>
      <c r="H1564">
        <v>94103</v>
      </c>
      <c r="I1564" t="s">
        <v>16</v>
      </c>
      <c r="J1564" t="s">
        <v>2547</v>
      </c>
      <c r="K1564" t="s">
        <v>126</v>
      </c>
      <c r="L1564" t="s">
        <v>4673</v>
      </c>
      <c r="M1564">
        <f>VLOOKUP(SUBSTITUTE(J1564,"'",""),Sheet1!L:M,2,FALSE)</f>
        <v>54820</v>
      </c>
    </row>
    <row r="1565" spans="1:13" ht="13.5" customHeight="1" x14ac:dyDescent="0.4">
      <c r="A1565" s="1">
        <v>45919</v>
      </c>
      <c r="B1565" t="s">
        <v>2146</v>
      </c>
      <c r="C1565">
        <v>41.72</v>
      </c>
      <c r="D1565" s="2" t="s">
        <v>2542</v>
      </c>
      <c r="E1565" t="s">
        <v>2146</v>
      </c>
      <c r="F1565" t="s">
        <v>2148</v>
      </c>
      <c r="G1565" s="2" t="s">
        <v>2149</v>
      </c>
      <c r="H1565" s="3" t="s">
        <v>2150</v>
      </c>
      <c r="I1565" t="s">
        <v>16</v>
      </c>
      <c r="J1565" t="s">
        <v>2543</v>
      </c>
      <c r="K1565" t="s">
        <v>1904</v>
      </c>
      <c r="L1565" t="s">
        <v>4673</v>
      </c>
      <c r="M1565">
        <f>VLOOKUP(SUBSTITUTE(J1565,"'",""),Sheet1!L:M,2,FALSE)</f>
        <v>67500</v>
      </c>
    </row>
    <row r="1566" spans="1:13" ht="13.5" customHeight="1" x14ac:dyDescent="0.4">
      <c r="A1566" s="1">
        <v>45920</v>
      </c>
      <c r="B1566" t="s">
        <v>2528</v>
      </c>
      <c r="C1566">
        <v>49</v>
      </c>
      <c r="D1566" s="2" t="s">
        <v>2529</v>
      </c>
      <c r="E1566" t="s">
        <v>2528</v>
      </c>
      <c r="F1566" t="s">
        <v>2123</v>
      </c>
      <c r="G1566" s="2" t="s">
        <v>1376</v>
      </c>
      <c r="H1566">
        <v>78717</v>
      </c>
      <c r="I1566" t="s">
        <v>16</v>
      </c>
      <c r="J1566" t="s">
        <v>2530</v>
      </c>
      <c r="K1566" t="s">
        <v>188</v>
      </c>
      <c r="L1566" t="s">
        <v>4673</v>
      </c>
      <c r="M1566">
        <f>VLOOKUP(SUBSTITUTE(J1566,"'",""),Sheet1!L:M,2,FALSE)</f>
        <v>54820</v>
      </c>
    </row>
    <row r="1567" spans="1:13" ht="13.5" customHeight="1" x14ac:dyDescent="0.4">
      <c r="A1567" s="1">
        <v>45920</v>
      </c>
      <c r="B1567" t="s">
        <v>478</v>
      </c>
      <c r="C1567">
        <v>48.08</v>
      </c>
      <c r="D1567" s="2" t="s">
        <v>2540</v>
      </c>
      <c r="E1567" t="s">
        <v>480</v>
      </c>
      <c r="F1567" s="2" t="s">
        <v>481</v>
      </c>
      <c r="G1567" s="2" t="s">
        <v>35</v>
      </c>
      <c r="H1567">
        <v>94103</v>
      </c>
      <c r="I1567" t="s">
        <v>16</v>
      </c>
      <c r="J1567" t="s">
        <v>2541</v>
      </c>
      <c r="K1567" t="s">
        <v>483</v>
      </c>
      <c r="L1567" t="s">
        <v>4673</v>
      </c>
      <c r="M1567">
        <f>VLOOKUP(SUBSTITUTE(J1567,"'",""),Sheet1!L:M,2,FALSE)</f>
        <v>61130</v>
      </c>
    </row>
    <row r="1568" spans="1:13" ht="13.5" customHeight="1" x14ac:dyDescent="0.4">
      <c r="A1568" s="1">
        <v>45920</v>
      </c>
      <c r="B1568" t="s">
        <v>2125</v>
      </c>
      <c r="C1568">
        <v>13.9</v>
      </c>
      <c r="D1568" s="2" t="s">
        <v>2531</v>
      </c>
      <c r="E1568" t="s">
        <v>2125</v>
      </c>
      <c r="F1568" t="s">
        <v>2127</v>
      </c>
      <c r="G1568" s="2" t="s">
        <v>41</v>
      </c>
      <c r="H1568">
        <v>10003</v>
      </c>
      <c r="I1568" t="s">
        <v>16</v>
      </c>
      <c r="J1568" t="s">
        <v>2532</v>
      </c>
      <c r="K1568" t="s">
        <v>37</v>
      </c>
      <c r="L1568" t="s">
        <v>4673</v>
      </c>
      <c r="M1568">
        <f>VLOOKUP(SUBSTITUTE(J1568,"'",""),Sheet1!L:M,2,FALSE)</f>
        <v>54820</v>
      </c>
    </row>
    <row r="1569" spans="1:13" ht="13.5" customHeight="1" x14ac:dyDescent="0.4">
      <c r="A1569" s="1">
        <v>45920</v>
      </c>
      <c r="B1569" t="s">
        <v>140</v>
      </c>
      <c r="C1569">
        <v>22.96</v>
      </c>
      <c r="D1569" s="2" t="s">
        <v>2526</v>
      </c>
      <c r="E1569" t="s">
        <v>142</v>
      </c>
      <c r="F1569" t="s">
        <v>143</v>
      </c>
      <c r="G1569" s="2" t="s">
        <v>14</v>
      </c>
      <c r="H1569">
        <v>98109</v>
      </c>
      <c r="I1569" t="s">
        <v>16</v>
      </c>
      <c r="J1569" t="s">
        <v>2527</v>
      </c>
      <c r="K1569" t="s">
        <v>18</v>
      </c>
      <c r="L1569" t="s">
        <v>4673</v>
      </c>
      <c r="M1569">
        <f>VLOOKUP(SUBSTITUTE(J1569,"'",""),Sheet1!L:M,2,FALSE)</f>
        <v>54820</v>
      </c>
    </row>
    <row r="1570" spans="1:13" ht="13.5" customHeight="1" x14ac:dyDescent="0.4">
      <c r="A1570" s="1">
        <v>45920</v>
      </c>
      <c r="B1570" t="s">
        <v>2533</v>
      </c>
      <c r="C1570">
        <v>40.61</v>
      </c>
      <c r="D1570" s="2" t="s">
        <v>2538</v>
      </c>
      <c r="E1570" t="s">
        <v>2533</v>
      </c>
      <c r="F1570" t="s">
        <v>2535</v>
      </c>
      <c r="G1570" s="2" t="s">
        <v>41</v>
      </c>
      <c r="H1570" t="s">
        <v>2536</v>
      </c>
      <c r="I1570" t="s">
        <v>16</v>
      </c>
      <c r="J1570" t="s">
        <v>2539</v>
      </c>
      <c r="K1570" t="s">
        <v>164</v>
      </c>
      <c r="L1570" t="s">
        <v>4673</v>
      </c>
      <c r="M1570">
        <f>VLOOKUP(SUBSTITUTE(J1570,"'",""),Sheet1!L:M,2,FALSE)</f>
        <v>54820</v>
      </c>
    </row>
    <row r="1571" spans="1:13" ht="13.5" customHeight="1" x14ac:dyDescent="0.4">
      <c r="A1571" s="1">
        <v>45920</v>
      </c>
      <c r="B1571" t="s">
        <v>2533</v>
      </c>
      <c r="C1571">
        <v>9.0299999999999994</v>
      </c>
      <c r="D1571" s="2" t="s">
        <v>2534</v>
      </c>
      <c r="E1571" t="s">
        <v>2533</v>
      </c>
      <c r="F1571" t="s">
        <v>2535</v>
      </c>
      <c r="G1571" s="2" t="s">
        <v>41</v>
      </c>
      <c r="H1571" t="s">
        <v>2536</v>
      </c>
      <c r="I1571" t="s">
        <v>16</v>
      </c>
      <c r="J1571" t="s">
        <v>2537</v>
      </c>
      <c r="K1571" t="s">
        <v>164</v>
      </c>
      <c r="L1571" t="s">
        <v>4673</v>
      </c>
      <c r="M1571">
        <f>VLOOKUP(SUBSTITUTE(J1571,"'",""),Sheet1!L:M,2,FALSE)</f>
        <v>54820</v>
      </c>
    </row>
    <row r="1572" spans="1:13" ht="13.5" customHeight="1" x14ac:dyDescent="0.4">
      <c r="A1572" s="1">
        <v>45921</v>
      </c>
      <c r="B1572" t="s">
        <v>583</v>
      </c>
      <c r="C1572">
        <v>134.33000000000001</v>
      </c>
      <c r="D1572" s="2" t="s">
        <v>2524</v>
      </c>
      <c r="E1572" t="s">
        <v>583</v>
      </c>
      <c r="F1572" s="2" t="s">
        <v>585</v>
      </c>
      <c r="G1572" s="2" t="s">
        <v>35</v>
      </c>
      <c r="H1572">
        <v>94103</v>
      </c>
      <c r="I1572" t="s">
        <v>16</v>
      </c>
      <c r="J1572" t="s">
        <v>2525</v>
      </c>
      <c r="K1572" t="s">
        <v>126</v>
      </c>
      <c r="L1572" t="s">
        <v>4673</v>
      </c>
      <c r="M1572">
        <f>VLOOKUP(SUBSTITUTE(J1572,"'",""),Sheet1!L:M,2,FALSE)</f>
        <v>54820</v>
      </c>
    </row>
    <row r="1573" spans="1:13" ht="13.5" customHeight="1" x14ac:dyDescent="0.4">
      <c r="A1573" s="1">
        <v>45921</v>
      </c>
      <c r="B1573" t="s">
        <v>2072</v>
      </c>
      <c r="C1573">
        <v>16.05</v>
      </c>
      <c r="D1573" s="2" t="s">
        <v>2522</v>
      </c>
      <c r="E1573" t="s">
        <v>2072</v>
      </c>
      <c r="F1573" s="2" t="s">
        <v>2074</v>
      </c>
      <c r="G1573" s="2" t="s">
        <v>2075</v>
      </c>
      <c r="H1573">
        <v>94404</v>
      </c>
      <c r="I1573" t="s">
        <v>16</v>
      </c>
      <c r="J1573" t="s">
        <v>2523</v>
      </c>
      <c r="K1573" t="s">
        <v>37</v>
      </c>
      <c r="L1573" t="s">
        <v>4673</v>
      </c>
      <c r="M1573">
        <f>VLOOKUP(SUBSTITUTE(J1573,"'",""),Sheet1!L:M,2,FALSE)</f>
        <v>64100</v>
      </c>
    </row>
    <row r="1574" spans="1:13" ht="13.5" customHeight="1" x14ac:dyDescent="0.4">
      <c r="A1574" s="1">
        <v>45921</v>
      </c>
      <c r="B1574" t="s">
        <v>2519</v>
      </c>
      <c r="C1574">
        <v>15</v>
      </c>
      <c r="D1574" s="2" t="s">
        <v>2520</v>
      </c>
      <c r="E1574" t="s">
        <v>2519</v>
      </c>
      <c r="F1574" t="s">
        <v>2091</v>
      </c>
      <c r="G1574" s="2" t="s">
        <v>2092</v>
      </c>
      <c r="H1574">
        <v>19934</v>
      </c>
      <c r="I1574" t="s">
        <v>16</v>
      </c>
      <c r="J1574" t="s">
        <v>2521</v>
      </c>
      <c r="K1574" t="s">
        <v>56</v>
      </c>
      <c r="L1574" t="s">
        <v>4673</v>
      </c>
      <c r="M1574">
        <f>VLOOKUP(SUBSTITUTE(J1574,"'",""),Sheet1!L:M,2,FALSE)</f>
        <v>64100</v>
      </c>
    </row>
    <row r="1575" spans="1:13" ht="13.5" customHeight="1" x14ac:dyDescent="0.4">
      <c r="A1575" s="1">
        <v>45921</v>
      </c>
      <c r="B1575" t="s">
        <v>276</v>
      </c>
      <c r="C1575">
        <v>19.989999999999998</v>
      </c>
      <c r="D1575" s="2" t="s">
        <v>277</v>
      </c>
      <c r="E1575" t="s">
        <v>276</v>
      </c>
      <c r="F1575" t="s">
        <v>13</v>
      </c>
      <c r="G1575" s="2" t="s">
        <v>14</v>
      </c>
      <c r="H1575" t="s">
        <v>15</v>
      </c>
      <c r="I1575" t="s">
        <v>16</v>
      </c>
      <c r="J1575" t="s">
        <v>278</v>
      </c>
      <c r="K1575" t="s">
        <v>18</v>
      </c>
      <c r="L1575" t="s">
        <v>2047</v>
      </c>
      <c r="M1575">
        <f>VLOOKUP(SUBSTITUTE(J1575,"'",""),Sheet1!L:M,2,FALSE)</f>
        <v>54820</v>
      </c>
    </row>
    <row r="1576" spans="1:13" ht="13.5" customHeight="1" x14ac:dyDescent="0.4">
      <c r="A1576" s="1">
        <v>45921</v>
      </c>
      <c r="B1576" t="s">
        <v>279</v>
      </c>
      <c r="C1576">
        <v>10</v>
      </c>
      <c r="D1576" s="2" t="s">
        <v>280</v>
      </c>
      <c r="E1576" t="s">
        <v>279</v>
      </c>
      <c r="F1576" s="2" t="s">
        <v>281</v>
      </c>
      <c r="G1576" s="2" t="s">
        <v>282</v>
      </c>
      <c r="H1576">
        <v>19904</v>
      </c>
      <c r="I1576" t="s">
        <v>16</v>
      </c>
      <c r="J1576" t="s">
        <v>283</v>
      </c>
      <c r="K1576" t="s">
        <v>188</v>
      </c>
      <c r="L1576" t="s">
        <v>2047</v>
      </c>
      <c r="M1576">
        <f>VLOOKUP(SUBSTITUTE(J1576,"'",""),Sheet1!L:M,2,FALSE)</f>
        <v>64200</v>
      </c>
    </row>
    <row r="1577" spans="1:13" ht="13.5" customHeight="1" x14ac:dyDescent="0.4">
      <c r="A1577" s="1">
        <v>45922</v>
      </c>
      <c r="B1577" t="s">
        <v>2512</v>
      </c>
      <c r="C1577">
        <v>10.7</v>
      </c>
      <c r="D1577" s="2" t="s">
        <v>2513</v>
      </c>
      <c r="E1577" t="s">
        <v>2512</v>
      </c>
      <c r="F1577" s="2" t="s">
        <v>34</v>
      </c>
      <c r="G1577" s="2" t="s">
        <v>35</v>
      </c>
      <c r="H1577">
        <v>94110</v>
      </c>
      <c r="I1577" t="s">
        <v>16</v>
      </c>
      <c r="J1577" t="s">
        <v>2514</v>
      </c>
      <c r="K1577" t="s">
        <v>37</v>
      </c>
      <c r="L1577" t="s">
        <v>4673</v>
      </c>
      <c r="M1577">
        <f>VLOOKUP(SUBSTITUTE(J1577,"'",""),Sheet1!L:M,2,FALSE)</f>
        <v>54820</v>
      </c>
    </row>
    <row r="1578" spans="1:13" ht="13.5" customHeight="1" x14ac:dyDescent="0.4">
      <c r="A1578" s="1">
        <v>45922</v>
      </c>
      <c r="B1578" t="s">
        <v>2285</v>
      </c>
      <c r="C1578">
        <v>1.06</v>
      </c>
      <c r="D1578" s="2" t="s">
        <v>2510</v>
      </c>
      <c r="E1578" t="s">
        <v>2285</v>
      </c>
      <c r="F1578" t="s">
        <v>2287</v>
      </c>
      <c r="G1578" s="2" t="s">
        <v>41</v>
      </c>
      <c r="H1578">
        <v>10003</v>
      </c>
      <c r="I1578" t="s">
        <v>16</v>
      </c>
      <c r="J1578" t="s">
        <v>2511</v>
      </c>
      <c r="K1578" t="s">
        <v>96</v>
      </c>
      <c r="L1578" t="s">
        <v>4673</v>
      </c>
      <c r="M1578">
        <f>VLOOKUP(SUBSTITUTE(J1578,"'",""),Sheet1!L:M,2,FALSE)</f>
        <v>54820</v>
      </c>
    </row>
    <row r="1579" spans="1:13" ht="13.5" customHeight="1" x14ac:dyDescent="0.4">
      <c r="A1579" s="1">
        <v>45922</v>
      </c>
      <c r="B1579" t="s">
        <v>273</v>
      </c>
      <c r="C1579">
        <v>3.99</v>
      </c>
      <c r="D1579" s="2" t="s">
        <v>274</v>
      </c>
      <c r="E1579" t="s">
        <v>273</v>
      </c>
      <c r="F1579" t="s">
        <v>13</v>
      </c>
      <c r="G1579" s="2" t="s">
        <v>14</v>
      </c>
      <c r="H1579" t="s">
        <v>15</v>
      </c>
      <c r="I1579" t="s">
        <v>16</v>
      </c>
      <c r="J1579" t="s">
        <v>275</v>
      </c>
      <c r="K1579" t="s">
        <v>18</v>
      </c>
      <c r="L1579" t="s">
        <v>2047</v>
      </c>
      <c r="M1579">
        <f>VLOOKUP(SUBSTITUTE(J1579,"'",""),Sheet1!L:M,2,FALSE)</f>
        <v>54820</v>
      </c>
    </row>
    <row r="1580" spans="1:13" ht="13.5" customHeight="1" x14ac:dyDescent="0.4">
      <c r="A1580" s="1">
        <v>45922</v>
      </c>
      <c r="B1580" t="s">
        <v>32</v>
      </c>
      <c r="C1580">
        <v>21.4</v>
      </c>
      <c r="D1580" s="2" t="s">
        <v>271</v>
      </c>
      <c r="E1580" t="s">
        <v>32</v>
      </c>
      <c r="F1580" s="2" t="s">
        <v>34</v>
      </c>
      <c r="G1580" s="2" t="s">
        <v>35</v>
      </c>
      <c r="H1580">
        <v>94110</v>
      </c>
      <c r="I1580" t="s">
        <v>16</v>
      </c>
      <c r="J1580" t="s">
        <v>272</v>
      </c>
      <c r="K1580" t="s">
        <v>37</v>
      </c>
      <c r="L1580" t="s">
        <v>2047</v>
      </c>
      <c r="M1580">
        <f>VLOOKUP(SUBSTITUTE(J1580,"'",""),Sheet1!L:M,2,FALSE)</f>
        <v>64100</v>
      </c>
    </row>
    <row r="1581" spans="1:13" ht="13.5" customHeight="1" x14ac:dyDescent="0.4">
      <c r="A1581" s="1">
        <v>45922</v>
      </c>
      <c r="B1581" t="s">
        <v>583</v>
      </c>
      <c r="C1581">
        <v>138.85</v>
      </c>
      <c r="D1581" s="2" t="s">
        <v>2517</v>
      </c>
      <c r="E1581" t="s">
        <v>583</v>
      </c>
      <c r="F1581" s="2" t="s">
        <v>585</v>
      </c>
      <c r="G1581" s="2" t="s">
        <v>35</v>
      </c>
      <c r="H1581">
        <v>94103</v>
      </c>
      <c r="I1581" t="s">
        <v>16</v>
      </c>
      <c r="J1581" t="s">
        <v>2518</v>
      </c>
      <c r="K1581" t="s">
        <v>126</v>
      </c>
      <c r="L1581" t="s">
        <v>4673</v>
      </c>
      <c r="M1581">
        <f>VLOOKUP(SUBSTITUTE(J1581,"'",""),Sheet1!L:M,2,FALSE)</f>
        <v>54820</v>
      </c>
    </row>
    <row r="1582" spans="1:13" ht="13.5" customHeight="1" x14ac:dyDescent="0.4">
      <c r="A1582" s="1">
        <v>45922</v>
      </c>
      <c r="B1582" t="s">
        <v>2072</v>
      </c>
      <c r="C1582">
        <v>42.8</v>
      </c>
      <c r="D1582" s="2" t="s">
        <v>2515</v>
      </c>
      <c r="E1582" t="s">
        <v>2072</v>
      </c>
      <c r="F1582" s="2" t="s">
        <v>2074</v>
      </c>
      <c r="G1582" s="2" t="s">
        <v>2075</v>
      </c>
      <c r="H1582">
        <v>94404</v>
      </c>
      <c r="I1582" t="s">
        <v>16</v>
      </c>
      <c r="J1582" t="s">
        <v>2516</v>
      </c>
      <c r="K1582" t="s">
        <v>37</v>
      </c>
      <c r="L1582" t="s">
        <v>4673</v>
      </c>
      <c r="M1582">
        <f>VLOOKUP(SUBSTITUTE(J1582,"'",""),Sheet1!L:M,2,FALSE)</f>
        <v>64100</v>
      </c>
    </row>
    <row r="1583" spans="1:13" ht="13.5" customHeight="1" x14ac:dyDescent="0.4">
      <c r="A1583" s="1">
        <v>45923</v>
      </c>
      <c r="B1583" t="s">
        <v>268</v>
      </c>
      <c r="C1583">
        <v>3.79</v>
      </c>
      <c r="D1583" s="2" t="s">
        <v>269</v>
      </c>
      <c r="E1583" t="s">
        <v>268</v>
      </c>
      <c r="F1583" t="s">
        <v>13</v>
      </c>
      <c r="G1583" s="2" t="s">
        <v>14</v>
      </c>
      <c r="H1583" t="s">
        <v>15</v>
      </c>
      <c r="I1583" t="s">
        <v>16</v>
      </c>
      <c r="J1583" t="s">
        <v>270</v>
      </c>
      <c r="K1583" t="s">
        <v>18</v>
      </c>
      <c r="L1583" t="s">
        <v>2047</v>
      </c>
      <c r="M1583">
        <f>VLOOKUP(SUBSTITUTE(J1583,"'",""),Sheet1!L:M,2,FALSE)</f>
        <v>54820</v>
      </c>
    </row>
    <row r="1584" spans="1:13" ht="13.5" customHeight="1" x14ac:dyDescent="0.4">
      <c r="A1584" s="1">
        <v>45923</v>
      </c>
      <c r="B1584" t="s">
        <v>2190</v>
      </c>
      <c r="C1584">
        <v>9.44</v>
      </c>
      <c r="D1584" s="2" t="s">
        <v>2502</v>
      </c>
      <c r="E1584" t="s">
        <v>2190</v>
      </c>
      <c r="F1584" t="s">
        <v>2192</v>
      </c>
      <c r="G1584" s="2" t="s">
        <v>41</v>
      </c>
      <c r="H1584">
        <v>10003</v>
      </c>
      <c r="I1584" t="s">
        <v>16</v>
      </c>
      <c r="J1584" t="s">
        <v>2503</v>
      </c>
      <c r="K1584" t="s">
        <v>305</v>
      </c>
      <c r="L1584" t="s">
        <v>4673</v>
      </c>
      <c r="M1584">
        <f>VLOOKUP(SUBSTITUTE(J1584,"'",""),Sheet1!L:M,2,FALSE)</f>
        <v>54820</v>
      </c>
    </row>
    <row r="1585" spans="1:13" ht="13.5" customHeight="1" x14ac:dyDescent="0.4">
      <c r="A1585" s="1">
        <v>45923</v>
      </c>
      <c r="B1585" t="s">
        <v>2085</v>
      </c>
      <c r="C1585">
        <v>40.39</v>
      </c>
      <c r="D1585" s="2" t="s">
        <v>2504</v>
      </c>
      <c r="E1585" t="s">
        <v>2085</v>
      </c>
      <c r="F1585" t="s">
        <v>2087</v>
      </c>
      <c r="G1585" s="2" t="s">
        <v>41</v>
      </c>
      <c r="H1585">
        <v>10001</v>
      </c>
      <c r="I1585" t="s">
        <v>16</v>
      </c>
      <c r="J1585" t="s">
        <v>2505</v>
      </c>
      <c r="K1585" t="s">
        <v>1218</v>
      </c>
      <c r="L1585" t="s">
        <v>4673</v>
      </c>
      <c r="M1585">
        <f>VLOOKUP(SUBSTITUTE(J1585,"'",""),Sheet1!L:M,2,FALSE)</f>
        <v>54820</v>
      </c>
    </row>
    <row r="1586" spans="1:13" ht="13.5" customHeight="1" x14ac:dyDescent="0.4">
      <c r="A1586" s="1">
        <v>45923</v>
      </c>
      <c r="B1586" t="s">
        <v>2506</v>
      </c>
      <c r="C1586">
        <v>372.36</v>
      </c>
      <c r="D1586" s="2" t="s">
        <v>2507</v>
      </c>
      <c r="E1586" t="s">
        <v>2506</v>
      </c>
      <c r="F1586" s="2" t="s">
        <v>2508</v>
      </c>
      <c r="G1586" s="2" t="s">
        <v>35</v>
      </c>
      <c r="H1586">
        <v>94158</v>
      </c>
      <c r="I1586" t="s">
        <v>16</v>
      </c>
      <c r="J1586" t="s">
        <v>2509</v>
      </c>
      <c r="K1586" t="s">
        <v>18</v>
      </c>
      <c r="L1586" t="s">
        <v>4673</v>
      </c>
      <c r="M1586">
        <f>VLOOKUP(SUBSTITUTE(J1586,"'",""),Sheet1!L:M,2,FALSE)</f>
        <v>64100</v>
      </c>
    </row>
    <row r="1587" spans="1:13" ht="13.5" customHeight="1" x14ac:dyDescent="0.4">
      <c r="A1587" s="1">
        <v>45923</v>
      </c>
      <c r="B1587" t="s">
        <v>977</v>
      </c>
      <c r="C1587">
        <v>20</v>
      </c>
      <c r="D1587" s="2" t="s">
        <v>2499</v>
      </c>
      <c r="E1587" t="s">
        <v>977</v>
      </c>
      <c r="F1587" s="2" t="s">
        <v>979</v>
      </c>
      <c r="G1587" s="2" t="s">
        <v>980</v>
      </c>
      <c r="H1587">
        <v>78259</v>
      </c>
      <c r="I1587" t="s">
        <v>16</v>
      </c>
      <c r="J1587" t="s">
        <v>2501</v>
      </c>
      <c r="K1587" t="s">
        <v>164</v>
      </c>
      <c r="L1587" t="s">
        <v>4673</v>
      </c>
      <c r="M1587">
        <f>VLOOKUP(SUBSTITUTE(J1587,"'",""),Sheet1!L:M,2,FALSE)</f>
        <v>54820</v>
      </c>
    </row>
    <row r="1588" spans="1:13" ht="13.5" customHeight="1" x14ac:dyDescent="0.4">
      <c r="A1588" s="1">
        <v>45923</v>
      </c>
      <c r="B1588" t="s">
        <v>977</v>
      </c>
      <c r="C1588">
        <v>10</v>
      </c>
      <c r="D1588" s="2" t="s">
        <v>2499</v>
      </c>
      <c r="E1588" t="s">
        <v>977</v>
      </c>
      <c r="F1588" s="2" t="s">
        <v>979</v>
      </c>
      <c r="G1588" s="2" t="s">
        <v>980</v>
      </c>
      <c r="H1588">
        <v>78259</v>
      </c>
      <c r="I1588" t="s">
        <v>16</v>
      </c>
      <c r="J1588" t="s">
        <v>2500</v>
      </c>
      <c r="K1588" t="s">
        <v>164</v>
      </c>
      <c r="L1588" t="s">
        <v>4673</v>
      </c>
      <c r="M1588">
        <f>VLOOKUP(SUBSTITUTE(J1588,"'",""),Sheet1!L:M,2,FALSE)</f>
        <v>54820</v>
      </c>
    </row>
    <row r="1589" spans="1:13" ht="13.5" customHeight="1" x14ac:dyDescent="0.4">
      <c r="A1589" s="1">
        <v>45924</v>
      </c>
      <c r="B1589" t="s">
        <v>19</v>
      </c>
      <c r="C1589">
        <v>218.07</v>
      </c>
      <c r="D1589" t="s">
        <v>19</v>
      </c>
      <c r="E1589" t="s">
        <v>19</v>
      </c>
      <c r="J1589" t="s">
        <v>267</v>
      </c>
      <c r="K1589" t="s">
        <v>21</v>
      </c>
      <c r="L1589" t="s">
        <v>2047</v>
      </c>
      <c r="M1589">
        <f>VLOOKUP(SUBSTITUTE(J1589,"'",""),Sheet1!L:M,2,FALSE)</f>
        <v>80100</v>
      </c>
    </row>
    <row r="1590" spans="1:13" ht="13.5" customHeight="1" x14ac:dyDescent="0.4">
      <c r="A1590" s="1">
        <v>45924</v>
      </c>
      <c r="B1590" t="s">
        <v>583</v>
      </c>
      <c r="C1590">
        <v>305.81</v>
      </c>
      <c r="D1590" s="2" t="s">
        <v>2495</v>
      </c>
      <c r="E1590" t="s">
        <v>583</v>
      </c>
      <c r="F1590" s="2" t="s">
        <v>585</v>
      </c>
      <c r="G1590" s="2" t="s">
        <v>35</v>
      </c>
      <c r="H1590">
        <v>94103</v>
      </c>
      <c r="I1590" t="s">
        <v>16</v>
      </c>
      <c r="J1590" t="s">
        <v>2496</v>
      </c>
      <c r="K1590" t="s">
        <v>126</v>
      </c>
      <c r="L1590" t="s">
        <v>4673</v>
      </c>
      <c r="M1590">
        <f>VLOOKUP(SUBSTITUTE(J1590,"'",""),Sheet1!L:M,2,FALSE)</f>
        <v>54820</v>
      </c>
    </row>
    <row r="1591" spans="1:13" ht="13.5" customHeight="1" x14ac:dyDescent="0.4">
      <c r="A1591" s="1">
        <v>45924</v>
      </c>
      <c r="B1591" t="s">
        <v>27</v>
      </c>
      <c r="C1591">
        <v>5.93</v>
      </c>
      <c r="D1591" s="2" t="s">
        <v>265</v>
      </c>
      <c r="E1591" t="s">
        <v>27</v>
      </c>
      <c r="F1591" t="s">
        <v>29</v>
      </c>
      <c r="G1591" t="e">
        <f>-
NY</f>
        <v>#NAME?</v>
      </c>
      <c r="H1591">
        <v>11577</v>
      </c>
      <c r="I1591" t="s">
        <v>16</v>
      </c>
      <c r="J1591" t="s">
        <v>266</v>
      </c>
      <c r="K1591" t="s">
        <v>31</v>
      </c>
      <c r="L1591" t="s">
        <v>2047</v>
      </c>
      <c r="M1591">
        <f>VLOOKUP(SUBSTITUTE(J1591,"'",""),Sheet1!L:M,2,FALSE)</f>
        <v>61131</v>
      </c>
    </row>
    <row r="1592" spans="1:13" ht="13.5" customHeight="1" x14ac:dyDescent="0.4">
      <c r="A1592" s="1">
        <v>45924</v>
      </c>
      <c r="B1592" t="s">
        <v>2240</v>
      </c>
      <c r="C1592">
        <v>75.900000000000006</v>
      </c>
      <c r="D1592" s="2" t="s">
        <v>2497</v>
      </c>
      <c r="E1592" t="s">
        <v>2240</v>
      </c>
      <c r="F1592" t="s">
        <v>2242</v>
      </c>
      <c r="G1592" s="2" t="s">
        <v>41</v>
      </c>
      <c r="H1592">
        <v>10003</v>
      </c>
      <c r="I1592" t="s">
        <v>16</v>
      </c>
      <c r="J1592" t="s">
        <v>2498</v>
      </c>
      <c r="K1592" t="s">
        <v>1218</v>
      </c>
      <c r="L1592" t="s">
        <v>4673</v>
      </c>
      <c r="M1592">
        <f>VLOOKUP(SUBSTITUTE(J1592,"'",""),Sheet1!L:M,2,FALSE)</f>
        <v>54820</v>
      </c>
    </row>
    <row r="1593" spans="1:13" ht="13.5" customHeight="1" x14ac:dyDescent="0.4">
      <c r="A1593" s="1">
        <v>45924</v>
      </c>
      <c r="B1593" t="s">
        <v>2418</v>
      </c>
      <c r="C1593">
        <v>3.15</v>
      </c>
      <c r="D1593" s="2" t="s">
        <v>2488</v>
      </c>
      <c r="E1593" t="s">
        <v>2418</v>
      </c>
      <c r="F1593" t="s">
        <v>2420</v>
      </c>
      <c r="G1593" s="2" t="s">
        <v>2421</v>
      </c>
      <c r="H1593">
        <v>198</v>
      </c>
      <c r="I1593" t="s">
        <v>910</v>
      </c>
      <c r="J1593" t="s">
        <v>2489</v>
      </c>
      <c r="K1593" t="s">
        <v>305</v>
      </c>
      <c r="L1593" t="s">
        <v>4673</v>
      </c>
      <c r="M1593">
        <f>VLOOKUP(SUBSTITUTE(J1593,"'",""),Sheet1!L:M,2,FALSE)</f>
        <v>54820</v>
      </c>
    </row>
    <row r="1594" spans="1:13" ht="13.5" customHeight="1" x14ac:dyDescent="0.4">
      <c r="A1594" s="1">
        <v>45924</v>
      </c>
      <c r="B1594" t="s">
        <v>2490</v>
      </c>
      <c r="C1594">
        <v>8.17</v>
      </c>
      <c r="D1594" s="2" t="s">
        <v>2491</v>
      </c>
      <c r="E1594" t="s">
        <v>2490</v>
      </c>
      <c r="F1594" t="s">
        <v>2492</v>
      </c>
      <c r="G1594" s="2" t="s">
        <v>2493</v>
      </c>
      <c r="H1594">
        <v>12546</v>
      </c>
      <c r="I1594" t="s">
        <v>16</v>
      </c>
      <c r="J1594" t="s">
        <v>2494</v>
      </c>
      <c r="K1594" t="s">
        <v>126</v>
      </c>
      <c r="L1594" t="s">
        <v>4673</v>
      </c>
      <c r="M1594">
        <f>VLOOKUP(SUBSTITUTE(J1594,"'",""),Sheet1!L:M,2,FALSE)</f>
        <v>54820</v>
      </c>
    </row>
    <row r="1595" spans="1:13" ht="13.5" customHeight="1" x14ac:dyDescent="0.4">
      <c r="A1595" s="1">
        <v>45925</v>
      </c>
      <c r="B1595" t="s">
        <v>22</v>
      </c>
      <c r="C1595">
        <v>-2500</v>
      </c>
      <c r="D1595" t="s">
        <v>22</v>
      </c>
      <c r="E1595" t="s">
        <v>22</v>
      </c>
      <c r="J1595" t="s">
        <v>2479</v>
      </c>
      <c r="L1595" t="s">
        <v>4673</v>
      </c>
      <c r="M1595" t="e">
        <f>VLOOKUP(SUBSTITUTE(J1595,"'",""),Sheet1!L:M,2,FALSE)</f>
        <v>#N/A</v>
      </c>
    </row>
    <row r="1596" spans="1:13" ht="13.5" customHeight="1" x14ac:dyDescent="0.4">
      <c r="A1596" s="1">
        <v>45925</v>
      </c>
      <c r="B1596" t="s">
        <v>106</v>
      </c>
      <c r="C1596">
        <v>42.5</v>
      </c>
      <c r="D1596" s="2" t="s">
        <v>263</v>
      </c>
      <c r="E1596" t="s">
        <v>106</v>
      </c>
      <c r="F1596" t="s">
        <v>108</v>
      </c>
      <c r="G1596" s="2" t="s">
        <v>41</v>
      </c>
      <c r="H1596">
        <v>10012</v>
      </c>
      <c r="I1596" t="s">
        <v>16</v>
      </c>
      <c r="J1596" t="s">
        <v>264</v>
      </c>
      <c r="K1596" t="s">
        <v>110</v>
      </c>
      <c r="L1596" t="s">
        <v>2047</v>
      </c>
      <c r="M1596">
        <f>VLOOKUP(SUBSTITUTE(J1596,"'",""),Sheet1!L:M,2,FALSE)</f>
        <v>67500</v>
      </c>
    </row>
    <row r="1597" spans="1:13" ht="13.5" customHeight="1" x14ac:dyDescent="0.4">
      <c r="A1597" s="1">
        <v>45925</v>
      </c>
      <c r="B1597" t="s">
        <v>2190</v>
      </c>
      <c r="C1597">
        <v>9.44</v>
      </c>
      <c r="D1597" s="2" t="s">
        <v>2477</v>
      </c>
      <c r="E1597" t="s">
        <v>2190</v>
      </c>
      <c r="F1597" t="s">
        <v>2192</v>
      </c>
      <c r="G1597" s="2" t="s">
        <v>41</v>
      </c>
      <c r="H1597">
        <v>10003</v>
      </c>
      <c r="I1597" t="s">
        <v>16</v>
      </c>
      <c r="J1597" t="s">
        <v>2478</v>
      </c>
      <c r="K1597" t="s">
        <v>305</v>
      </c>
      <c r="L1597" t="s">
        <v>4673</v>
      </c>
      <c r="M1597">
        <f>VLOOKUP(SUBSTITUTE(J1597,"'",""),Sheet1!L:M,2,FALSE)</f>
        <v>54820</v>
      </c>
    </row>
    <row r="1598" spans="1:13" ht="13.5" customHeight="1" x14ac:dyDescent="0.4">
      <c r="A1598" s="1">
        <v>45925</v>
      </c>
      <c r="B1598" t="s">
        <v>2240</v>
      </c>
      <c r="C1598">
        <v>5.54</v>
      </c>
      <c r="D1598" s="2" t="s">
        <v>2486</v>
      </c>
      <c r="E1598" t="s">
        <v>2240</v>
      </c>
      <c r="F1598" t="s">
        <v>2242</v>
      </c>
      <c r="G1598" s="2" t="s">
        <v>41</v>
      </c>
      <c r="H1598">
        <v>10003</v>
      </c>
      <c r="I1598" t="s">
        <v>16</v>
      </c>
      <c r="J1598" t="s">
        <v>2487</v>
      </c>
      <c r="K1598" t="s">
        <v>1218</v>
      </c>
      <c r="L1598" t="s">
        <v>4673</v>
      </c>
      <c r="M1598">
        <f>VLOOKUP(SUBSTITUTE(J1598,"'",""),Sheet1!L:M,2,FALSE)</f>
        <v>54820</v>
      </c>
    </row>
    <row r="1599" spans="1:13" ht="13.5" customHeight="1" x14ac:dyDescent="0.4">
      <c r="A1599" s="1">
        <v>45925</v>
      </c>
      <c r="B1599" t="s">
        <v>2142</v>
      </c>
      <c r="C1599">
        <v>44</v>
      </c>
      <c r="D1599" s="2" t="s">
        <v>2475</v>
      </c>
      <c r="E1599" t="s">
        <v>2142</v>
      </c>
      <c r="F1599" t="s">
        <v>2144</v>
      </c>
      <c r="G1599" s="2" t="s">
        <v>41</v>
      </c>
      <c r="H1599">
        <v>10012</v>
      </c>
      <c r="I1599" t="s">
        <v>16</v>
      </c>
      <c r="J1599" t="s">
        <v>2476</v>
      </c>
      <c r="K1599" t="s">
        <v>1304</v>
      </c>
      <c r="L1599" t="s">
        <v>4673</v>
      </c>
      <c r="M1599">
        <f>VLOOKUP(SUBSTITUTE(J1599,"'",""),Sheet1!L:M,2,FALSE)</f>
        <v>54820</v>
      </c>
    </row>
    <row r="1600" spans="1:13" ht="13.5" customHeight="1" x14ac:dyDescent="0.4">
      <c r="A1600" s="1">
        <v>45925</v>
      </c>
      <c r="B1600" t="s">
        <v>2471</v>
      </c>
      <c r="C1600">
        <v>89.53</v>
      </c>
      <c r="D1600" s="2" t="s">
        <v>2472</v>
      </c>
      <c r="E1600" t="s">
        <v>2471</v>
      </c>
      <c r="F1600" t="s">
        <v>2473</v>
      </c>
      <c r="G1600" s="2" t="s">
        <v>41</v>
      </c>
      <c r="H1600">
        <v>10010</v>
      </c>
      <c r="I1600" t="s">
        <v>16</v>
      </c>
      <c r="J1600" t="s">
        <v>2474</v>
      </c>
      <c r="K1600" t="s">
        <v>305</v>
      </c>
      <c r="L1600" t="s">
        <v>4673</v>
      </c>
      <c r="M1600">
        <f>VLOOKUP(SUBSTITUTE(J1600,"'",""),Sheet1!L:M,2,FALSE)</f>
        <v>54820</v>
      </c>
    </row>
    <row r="1601" spans="1:13" ht="13.5" customHeight="1" x14ac:dyDescent="0.4">
      <c r="A1601" s="1">
        <v>45925</v>
      </c>
      <c r="B1601" t="s">
        <v>2480</v>
      </c>
      <c r="C1601">
        <v>10.29</v>
      </c>
      <c r="D1601" s="2" t="s">
        <v>2481</v>
      </c>
      <c r="E1601" t="s">
        <v>2480</v>
      </c>
      <c r="F1601" t="s">
        <v>2482</v>
      </c>
      <c r="G1601" s="2" t="s">
        <v>35</v>
      </c>
      <c r="H1601">
        <v>94103</v>
      </c>
      <c r="I1601" t="s">
        <v>16</v>
      </c>
      <c r="J1601" t="s">
        <v>2483</v>
      </c>
      <c r="K1601" t="s">
        <v>370</v>
      </c>
      <c r="L1601" t="s">
        <v>4673</v>
      </c>
      <c r="M1601">
        <f>VLOOKUP(SUBSTITUTE(J1601,"'",""),Sheet1!L:M,2,FALSE)</f>
        <v>54820</v>
      </c>
    </row>
    <row r="1602" spans="1:13" ht="13.5" customHeight="1" x14ac:dyDescent="0.4">
      <c r="A1602" s="1">
        <v>45925</v>
      </c>
      <c r="B1602" t="s">
        <v>2480</v>
      </c>
      <c r="C1602">
        <v>15.44</v>
      </c>
      <c r="D1602" s="2" t="s">
        <v>2484</v>
      </c>
      <c r="E1602" t="s">
        <v>2480</v>
      </c>
      <c r="F1602" t="s">
        <v>2482</v>
      </c>
      <c r="G1602" s="2" t="s">
        <v>35</v>
      </c>
      <c r="H1602">
        <v>94103</v>
      </c>
      <c r="I1602" t="s">
        <v>16</v>
      </c>
      <c r="J1602" t="s">
        <v>2485</v>
      </c>
      <c r="K1602" t="s">
        <v>370</v>
      </c>
      <c r="L1602" t="s">
        <v>4673</v>
      </c>
      <c r="M1602">
        <f>VLOOKUP(SUBSTITUTE(J1602,"'",""),Sheet1!L:M,2,FALSE)</f>
        <v>54820</v>
      </c>
    </row>
    <row r="1603" spans="1:13" ht="13.5" customHeight="1" x14ac:dyDescent="0.4">
      <c r="A1603" s="1">
        <v>45926</v>
      </c>
      <c r="B1603" t="s">
        <v>257</v>
      </c>
      <c r="C1603">
        <v>10.99</v>
      </c>
      <c r="D1603" s="2" t="s">
        <v>258</v>
      </c>
      <c r="E1603" t="s">
        <v>257</v>
      </c>
      <c r="F1603" t="s">
        <v>13</v>
      </c>
      <c r="G1603" s="2" t="s">
        <v>14</v>
      </c>
      <c r="H1603" t="s">
        <v>15</v>
      </c>
      <c r="I1603" t="s">
        <v>16</v>
      </c>
      <c r="J1603" t="s">
        <v>259</v>
      </c>
      <c r="K1603" t="s">
        <v>18</v>
      </c>
      <c r="L1603" t="s">
        <v>2047</v>
      </c>
      <c r="M1603">
        <f>VLOOKUP(SUBSTITUTE(J1603,"'",""),Sheet1!L:M,2,FALSE)</f>
        <v>54820</v>
      </c>
    </row>
    <row r="1604" spans="1:13" ht="13.5" customHeight="1" x14ac:dyDescent="0.4">
      <c r="A1604" s="1">
        <v>45926</v>
      </c>
      <c r="B1604" t="s">
        <v>260</v>
      </c>
      <c r="C1604">
        <v>52.58</v>
      </c>
      <c r="D1604" s="2" t="s">
        <v>261</v>
      </c>
      <c r="E1604" t="s">
        <v>260</v>
      </c>
      <c r="F1604" t="s">
        <v>29</v>
      </c>
      <c r="G1604" t="e">
        <f>-
TX</f>
        <v>#NAME?</v>
      </c>
      <c r="H1604">
        <v>75231</v>
      </c>
      <c r="I1604" t="s">
        <v>16</v>
      </c>
      <c r="J1604" t="s">
        <v>262</v>
      </c>
      <c r="K1604" t="s">
        <v>61</v>
      </c>
      <c r="L1604" t="s">
        <v>2047</v>
      </c>
      <c r="M1604">
        <f>VLOOKUP(SUBSTITUTE(J1604,"'",""),Sheet1!L:M,2,FALSE)</f>
        <v>63100</v>
      </c>
    </row>
    <row r="1605" spans="1:13" ht="13.5" customHeight="1" x14ac:dyDescent="0.4">
      <c r="A1605" s="1">
        <v>45926</v>
      </c>
      <c r="B1605" t="s">
        <v>2240</v>
      </c>
      <c r="C1605">
        <v>53.25</v>
      </c>
      <c r="D1605" s="2" t="s">
        <v>2469</v>
      </c>
      <c r="E1605" t="s">
        <v>2240</v>
      </c>
      <c r="F1605" t="s">
        <v>2242</v>
      </c>
      <c r="G1605" s="2" t="s">
        <v>41</v>
      </c>
      <c r="H1605">
        <v>10003</v>
      </c>
      <c r="I1605" t="s">
        <v>16</v>
      </c>
      <c r="J1605" t="s">
        <v>2470</v>
      </c>
      <c r="K1605" t="s">
        <v>1218</v>
      </c>
      <c r="L1605" t="s">
        <v>4673</v>
      </c>
      <c r="M1605">
        <f>VLOOKUP(SUBSTITUTE(J1605,"'",""),Sheet1!L:M,2,FALSE)</f>
        <v>54820</v>
      </c>
    </row>
    <row r="1606" spans="1:13" ht="13.5" customHeight="1" x14ac:dyDescent="0.4">
      <c r="A1606" s="1">
        <v>45926</v>
      </c>
      <c r="B1606" t="s">
        <v>1792</v>
      </c>
      <c r="C1606">
        <v>16.05</v>
      </c>
      <c r="D1606" s="2" t="s">
        <v>2467</v>
      </c>
      <c r="E1606" t="s">
        <v>1792</v>
      </c>
      <c r="F1606" t="s">
        <v>1794</v>
      </c>
      <c r="G1606" s="2" t="s">
        <v>35</v>
      </c>
      <c r="H1606">
        <v>94105</v>
      </c>
      <c r="I1606" t="s">
        <v>16</v>
      </c>
      <c r="J1606" t="s">
        <v>2468</v>
      </c>
      <c r="K1606" t="s">
        <v>37</v>
      </c>
      <c r="L1606" t="s">
        <v>4673</v>
      </c>
      <c r="M1606">
        <f>VLOOKUP(SUBSTITUTE(J1606,"'",""),Sheet1!L:M,2,FALSE)</f>
        <v>64100</v>
      </c>
    </row>
    <row r="1607" spans="1:13" ht="13.5" customHeight="1" x14ac:dyDescent="0.4">
      <c r="A1607" s="1">
        <v>45927</v>
      </c>
      <c r="B1607" t="s">
        <v>254</v>
      </c>
      <c r="C1607">
        <v>19.989999999999998</v>
      </c>
      <c r="D1607" s="2" t="s">
        <v>255</v>
      </c>
      <c r="E1607" t="s">
        <v>254</v>
      </c>
      <c r="F1607" t="s">
        <v>13</v>
      </c>
      <c r="G1607" s="2" t="s">
        <v>14</v>
      </c>
      <c r="H1607" t="s">
        <v>15</v>
      </c>
      <c r="I1607" t="s">
        <v>16</v>
      </c>
      <c r="J1607" t="s">
        <v>256</v>
      </c>
      <c r="K1607" t="s">
        <v>18</v>
      </c>
      <c r="L1607" t="s">
        <v>2047</v>
      </c>
      <c r="M1607">
        <f>VLOOKUP(SUBSTITUTE(J1607,"'",""),Sheet1!L:M,2,FALSE)</f>
        <v>54820</v>
      </c>
    </row>
    <row r="1608" spans="1:13" ht="13.5" customHeight="1" x14ac:dyDescent="0.4">
      <c r="A1608" s="1">
        <v>45927</v>
      </c>
      <c r="B1608" t="s">
        <v>106</v>
      </c>
      <c r="C1608">
        <v>33.25</v>
      </c>
      <c r="D1608" s="2" t="s">
        <v>2465</v>
      </c>
      <c r="E1608" t="s">
        <v>106</v>
      </c>
      <c r="F1608" t="s">
        <v>108</v>
      </c>
      <c r="G1608" s="2" t="s">
        <v>41</v>
      </c>
      <c r="H1608">
        <v>10012</v>
      </c>
      <c r="I1608" t="s">
        <v>16</v>
      </c>
      <c r="J1608" t="s">
        <v>2466</v>
      </c>
      <c r="K1608" t="s">
        <v>110</v>
      </c>
      <c r="L1608" t="s">
        <v>4673</v>
      </c>
      <c r="M1608">
        <f>VLOOKUP(SUBSTITUTE(J1608,"'",""),Sheet1!L:M,2,FALSE)</f>
        <v>67500</v>
      </c>
    </row>
    <row r="1609" spans="1:13" ht="13.5" customHeight="1" x14ac:dyDescent="0.4">
      <c r="A1609" s="1">
        <v>45927</v>
      </c>
      <c r="B1609" t="s">
        <v>2458</v>
      </c>
      <c r="C1609">
        <v>2.9</v>
      </c>
      <c r="D1609" s="2" t="s">
        <v>2459</v>
      </c>
      <c r="E1609" t="s">
        <v>2458</v>
      </c>
      <c r="F1609" s="2" t="s">
        <v>2460</v>
      </c>
      <c r="G1609" s="2" t="s">
        <v>41</v>
      </c>
      <c r="H1609">
        <v>10004</v>
      </c>
      <c r="I1609" t="s">
        <v>16</v>
      </c>
      <c r="J1609" t="s">
        <v>2461</v>
      </c>
      <c r="K1609" t="s">
        <v>2462</v>
      </c>
      <c r="L1609" t="s">
        <v>4673</v>
      </c>
      <c r="M1609">
        <f>VLOOKUP(SUBSTITUTE(J1609,"'",""),Sheet1!L:M,2,FALSE)</f>
        <v>61133</v>
      </c>
    </row>
    <row r="1610" spans="1:13" ht="13.5" customHeight="1" x14ac:dyDescent="0.4">
      <c r="A1610" s="1">
        <v>45927</v>
      </c>
      <c r="B1610" t="s">
        <v>2458</v>
      </c>
      <c r="C1610">
        <v>2.9</v>
      </c>
      <c r="D1610" s="2" t="s">
        <v>2463</v>
      </c>
      <c r="E1610" t="s">
        <v>2458</v>
      </c>
      <c r="F1610" s="2" t="s">
        <v>2460</v>
      </c>
      <c r="G1610" s="2" t="s">
        <v>41</v>
      </c>
      <c r="H1610">
        <v>10004</v>
      </c>
      <c r="I1610" t="s">
        <v>16</v>
      </c>
      <c r="J1610" t="s">
        <v>2464</v>
      </c>
      <c r="K1610" t="s">
        <v>2462</v>
      </c>
      <c r="L1610" t="s">
        <v>4673</v>
      </c>
      <c r="M1610">
        <f>VLOOKUP(SUBSTITUTE(J1610,"'",""),Sheet1!L:M,2,FALSE)</f>
        <v>61133</v>
      </c>
    </row>
    <row r="1611" spans="1:13" ht="13.5" customHeight="1" x14ac:dyDescent="0.4">
      <c r="A1611" s="1">
        <v>45928</v>
      </c>
      <c r="B1611" t="s">
        <v>2448</v>
      </c>
      <c r="C1611">
        <v>39.35</v>
      </c>
      <c r="D1611" s="2" t="s">
        <v>2449</v>
      </c>
      <c r="E1611" t="s">
        <v>2448</v>
      </c>
      <c r="F1611" s="2" t="s">
        <v>2450</v>
      </c>
      <c r="G1611" s="2" t="s">
        <v>1143</v>
      </c>
      <c r="H1611">
        <v>10120</v>
      </c>
      <c r="I1611" t="s">
        <v>16</v>
      </c>
      <c r="J1611" t="s">
        <v>2451</v>
      </c>
      <c r="K1611" t="s">
        <v>1218</v>
      </c>
      <c r="L1611" t="s">
        <v>4673</v>
      </c>
      <c r="M1611">
        <f>VLOOKUP(SUBSTITUTE(J1611,"'",""),Sheet1!L:M,2,FALSE)</f>
        <v>54820</v>
      </c>
    </row>
    <row r="1612" spans="1:13" ht="13.5" customHeight="1" x14ac:dyDescent="0.4">
      <c r="A1612" s="1">
        <v>45928</v>
      </c>
      <c r="B1612" t="s">
        <v>2452</v>
      </c>
      <c r="C1612">
        <v>135.19999999999999</v>
      </c>
      <c r="D1612" s="2" t="s">
        <v>2453</v>
      </c>
      <c r="E1612" t="s">
        <v>2452</v>
      </c>
      <c r="F1612" s="2" t="s">
        <v>2454</v>
      </c>
      <c r="H1612">
        <v>14800</v>
      </c>
      <c r="I1612" t="s">
        <v>761</v>
      </c>
      <c r="J1612" t="s">
        <v>2455</v>
      </c>
      <c r="K1612" t="s">
        <v>18</v>
      </c>
      <c r="L1612" t="s">
        <v>4673</v>
      </c>
      <c r="M1612">
        <f>VLOOKUP(SUBSTITUTE(J1612,"'",""),Sheet1!L:M,2,FALSE)</f>
        <v>54820</v>
      </c>
    </row>
    <row r="1613" spans="1:13" ht="13.5" customHeight="1" x14ac:dyDescent="0.4">
      <c r="A1613" s="1">
        <v>45928</v>
      </c>
      <c r="B1613" t="s">
        <v>583</v>
      </c>
      <c r="C1613">
        <v>54.02</v>
      </c>
      <c r="D1613" s="2" t="s">
        <v>2456</v>
      </c>
      <c r="E1613" t="s">
        <v>583</v>
      </c>
      <c r="F1613" s="2" t="s">
        <v>585</v>
      </c>
      <c r="G1613" s="2" t="s">
        <v>35</v>
      </c>
      <c r="H1613">
        <v>94103</v>
      </c>
      <c r="I1613" t="s">
        <v>16</v>
      </c>
      <c r="J1613" t="s">
        <v>2457</v>
      </c>
      <c r="K1613" t="s">
        <v>126</v>
      </c>
      <c r="L1613" t="s">
        <v>4673</v>
      </c>
      <c r="M1613">
        <f>VLOOKUP(SUBSTITUTE(J1613,"'",""),Sheet1!L:M,2,FALSE)</f>
        <v>54820</v>
      </c>
    </row>
    <row r="1614" spans="1:13" ht="13.5" customHeight="1" x14ac:dyDescent="0.4">
      <c r="A1614" s="1">
        <v>45928</v>
      </c>
      <c r="B1614" t="s">
        <v>22</v>
      </c>
      <c r="C1614">
        <v>-2500</v>
      </c>
      <c r="D1614" t="s">
        <v>22</v>
      </c>
      <c r="E1614" t="s">
        <v>22</v>
      </c>
      <c r="J1614" t="s">
        <v>251</v>
      </c>
      <c r="L1614" t="s">
        <v>2047</v>
      </c>
      <c r="M1614" t="e">
        <f>VLOOKUP(SUBSTITUTE(J1614,"'",""),Sheet1!L:M,2,FALSE)</f>
        <v>#N/A</v>
      </c>
    </row>
    <row r="1615" spans="1:13" ht="13.5" customHeight="1" x14ac:dyDescent="0.4">
      <c r="A1615" s="1">
        <v>45928</v>
      </c>
      <c r="B1615" t="s">
        <v>75</v>
      </c>
      <c r="C1615">
        <v>5.44</v>
      </c>
      <c r="D1615" s="2" t="s">
        <v>249</v>
      </c>
      <c r="E1615" t="s">
        <v>75</v>
      </c>
      <c r="F1615" t="s">
        <v>29</v>
      </c>
      <c r="G1615" t="e">
        <f>-
NY</f>
        <v>#NAME?</v>
      </c>
      <c r="H1615">
        <v>11577</v>
      </c>
      <c r="I1615" t="s">
        <v>16</v>
      </c>
      <c r="J1615" t="s">
        <v>250</v>
      </c>
      <c r="K1615" t="s">
        <v>31</v>
      </c>
      <c r="L1615" t="s">
        <v>2047</v>
      </c>
      <c r="M1615">
        <f>VLOOKUP(SUBSTITUTE(J1615,"'",""),Sheet1!L:M,2,FALSE)</f>
        <v>61131</v>
      </c>
    </row>
    <row r="1616" spans="1:13" ht="13.5" customHeight="1" x14ac:dyDescent="0.4">
      <c r="A1616" s="1">
        <v>45928</v>
      </c>
      <c r="B1616" t="s">
        <v>57</v>
      </c>
      <c r="C1616">
        <v>71.400000000000006</v>
      </c>
      <c r="D1616" s="2" t="s">
        <v>252</v>
      </c>
      <c r="E1616" t="s">
        <v>57</v>
      </c>
      <c r="F1616" t="s">
        <v>59</v>
      </c>
      <c r="G1616" s="2" t="s">
        <v>47</v>
      </c>
      <c r="H1616">
        <v>12866</v>
      </c>
      <c r="I1616" t="s">
        <v>16</v>
      </c>
      <c r="J1616" t="s">
        <v>253</v>
      </c>
      <c r="K1616" t="s">
        <v>61</v>
      </c>
      <c r="L1616" t="s">
        <v>2047</v>
      </c>
      <c r="M1616">
        <f>VLOOKUP(SUBSTITUTE(J1616,"'",""),Sheet1!L:M,2,FALSE)</f>
        <v>63100</v>
      </c>
    </row>
    <row r="1617" spans="1:13" ht="13.5" customHeight="1" x14ac:dyDescent="0.4">
      <c r="A1617" s="1">
        <v>45929</v>
      </c>
      <c r="B1617" t="s">
        <v>2442</v>
      </c>
      <c r="C1617">
        <v>66.86</v>
      </c>
      <c r="D1617" s="2" t="s">
        <v>2443</v>
      </c>
      <c r="E1617" t="s">
        <v>2442</v>
      </c>
      <c r="F1617" t="s">
        <v>2444</v>
      </c>
      <c r="G1617" s="2" t="s">
        <v>41</v>
      </c>
      <c r="H1617">
        <v>10012</v>
      </c>
      <c r="I1617" t="s">
        <v>16</v>
      </c>
      <c r="J1617" t="s">
        <v>2445</v>
      </c>
      <c r="K1617" t="s">
        <v>631</v>
      </c>
      <c r="L1617" t="s">
        <v>4673</v>
      </c>
      <c r="M1617">
        <f>VLOOKUP(SUBSTITUTE(J1617,"'",""),Sheet1!L:M,2,FALSE)</f>
        <v>54820</v>
      </c>
    </row>
    <row r="1618" spans="1:13" ht="13.5" customHeight="1" x14ac:dyDescent="0.4">
      <c r="A1618" s="1">
        <v>45929</v>
      </c>
      <c r="B1618" t="s">
        <v>2408</v>
      </c>
      <c r="C1618">
        <v>45</v>
      </c>
      <c r="D1618" s="2" t="s">
        <v>2440</v>
      </c>
      <c r="E1618" t="s">
        <v>2408</v>
      </c>
      <c r="F1618" s="2" t="s">
        <v>2410</v>
      </c>
      <c r="G1618" s="2" t="s">
        <v>2411</v>
      </c>
      <c r="H1618">
        <v>19801</v>
      </c>
      <c r="I1618" t="s">
        <v>16</v>
      </c>
      <c r="J1618" t="s">
        <v>2441</v>
      </c>
      <c r="K1618" t="s">
        <v>37</v>
      </c>
      <c r="L1618" t="s">
        <v>4673</v>
      </c>
      <c r="M1618">
        <f>VLOOKUP(SUBSTITUTE(J1618,"'",""),Sheet1!L:M,2,FALSE)</f>
        <v>54820</v>
      </c>
    </row>
    <row r="1619" spans="1:13" ht="13.5" customHeight="1" x14ac:dyDescent="0.4">
      <c r="A1619" s="1">
        <v>45929</v>
      </c>
      <c r="B1619" t="s">
        <v>44</v>
      </c>
      <c r="C1619">
        <v>863.54</v>
      </c>
      <c r="D1619" s="2" t="s">
        <v>245</v>
      </c>
      <c r="E1619" t="s">
        <v>44</v>
      </c>
      <c r="F1619" t="s">
        <v>46</v>
      </c>
      <c r="G1619" s="2" t="s">
        <v>47</v>
      </c>
      <c r="H1619" t="s">
        <v>48</v>
      </c>
      <c r="I1619" t="s">
        <v>16</v>
      </c>
      <c r="J1619" t="s">
        <v>246</v>
      </c>
      <c r="K1619" t="s">
        <v>50</v>
      </c>
      <c r="L1619" t="s">
        <v>2047</v>
      </c>
      <c r="M1619">
        <f>VLOOKUP(SUBSTITUTE(J1619,"'",""),Sheet1!L:M,2,FALSE)</f>
        <v>61110</v>
      </c>
    </row>
    <row r="1620" spans="1:13" ht="13.5" customHeight="1" x14ac:dyDescent="0.4">
      <c r="A1620" s="1">
        <v>45929</v>
      </c>
      <c r="B1620" t="s">
        <v>2240</v>
      </c>
      <c r="C1620">
        <v>73.81</v>
      </c>
      <c r="D1620" s="2" t="s">
        <v>2446</v>
      </c>
      <c r="E1620" t="s">
        <v>2240</v>
      </c>
      <c r="F1620" t="s">
        <v>2242</v>
      </c>
      <c r="G1620" s="2" t="s">
        <v>41</v>
      </c>
      <c r="H1620">
        <v>10003</v>
      </c>
      <c r="I1620" t="s">
        <v>16</v>
      </c>
      <c r="J1620" t="s">
        <v>2447</v>
      </c>
      <c r="K1620" t="s">
        <v>1218</v>
      </c>
      <c r="L1620" t="s">
        <v>4673</v>
      </c>
      <c r="M1620">
        <f>VLOOKUP(SUBSTITUTE(J1620,"'",""),Sheet1!L:M,2,FALSE)</f>
        <v>54820</v>
      </c>
    </row>
    <row r="1621" spans="1:13" ht="13.5" customHeight="1" x14ac:dyDescent="0.4">
      <c r="A1621" s="1">
        <v>45929</v>
      </c>
      <c r="B1621" t="s">
        <v>38</v>
      </c>
      <c r="C1621">
        <v>944.48</v>
      </c>
      <c r="D1621" s="2" t="s">
        <v>247</v>
      </c>
      <c r="E1621" t="s">
        <v>38</v>
      </c>
      <c r="F1621" t="s">
        <v>40</v>
      </c>
      <c r="G1621" s="2" t="s">
        <v>41</v>
      </c>
      <c r="H1621">
        <v>10012</v>
      </c>
      <c r="I1621" t="s">
        <v>16</v>
      </c>
      <c r="J1621" t="s">
        <v>248</v>
      </c>
      <c r="K1621" t="s">
        <v>43</v>
      </c>
      <c r="L1621" t="s">
        <v>2047</v>
      </c>
      <c r="M1621">
        <f>VLOOKUP(SUBSTITUTE(J1621,"'",""),Sheet1!L:M,2,FALSE)</f>
        <v>61131</v>
      </c>
    </row>
    <row r="1622" spans="1:13" ht="13.5" customHeight="1" x14ac:dyDescent="0.4">
      <c r="A1622" s="1">
        <v>45929</v>
      </c>
      <c r="B1622" t="s">
        <v>241</v>
      </c>
      <c r="C1622">
        <v>107</v>
      </c>
      <c r="D1622" s="2" t="s">
        <v>242</v>
      </c>
      <c r="E1622" t="s">
        <v>241</v>
      </c>
      <c r="F1622" t="s">
        <v>243</v>
      </c>
      <c r="G1622" s="2" t="s">
        <v>35</v>
      </c>
      <c r="H1622">
        <v>94111</v>
      </c>
      <c r="I1622" t="s">
        <v>16</v>
      </c>
      <c r="J1622" t="s">
        <v>244</v>
      </c>
      <c r="K1622" t="s">
        <v>37</v>
      </c>
      <c r="L1622" t="s">
        <v>2047</v>
      </c>
      <c r="M1622">
        <f>VLOOKUP(SUBSTITUTE(J1622,"'",""),Sheet1!L:M,2,FALSE)</f>
        <v>64100</v>
      </c>
    </row>
    <row r="1623" spans="1:13" ht="13.5" customHeight="1" x14ac:dyDescent="0.4">
      <c r="A1623" s="1">
        <v>45930</v>
      </c>
      <c r="B1623" t="s">
        <v>106</v>
      </c>
      <c r="C1623">
        <v>32.090000000000003</v>
      </c>
      <c r="D1623" s="2" t="s">
        <v>2436</v>
      </c>
      <c r="E1623" t="s">
        <v>106</v>
      </c>
      <c r="F1623" t="s">
        <v>108</v>
      </c>
      <c r="G1623" s="2" t="s">
        <v>41</v>
      </c>
      <c r="H1623">
        <v>10012</v>
      </c>
      <c r="I1623" t="s">
        <v>16</v>
      </c>
      <c r="J1623" t="s">
        <v>2437</v>
      </c>
      <c r="K1623" t="s">
        <v>110</v>
      </c>
      <c r="L1623" t="s">
        <v>4673</v>
      </c>
      <c r="M1623">
        <f>VLOOKUP(SUBSTITUTE(J1623,"'",""),Sheet1!L:M,2,FALSE)</f>
        <v>67500</v>
      </c>
    </row>
    <row r="1624" spans="1:13" ht="13.5" customHeight="1" x14ac:dyDescent="0.4">
      <c r="A1624" s="1">
        <v>45930</v>
      </c>
      <c r="B1624" t="s">
        <v>2190</v>
      </c>
      <c r="C1624">
        <v>9.44</v>
      </c>
      <c r="D1624" s="2" t="s">
        <v>2434</v>
      </c>
      <c r="E1624" t="s">
        <v>2190</v>
      </c>
      <c r="F1624" t="s">
        <v>2192</v>
      </c>
      <c r="G1624" s="2" t="s">
        <v>41</v>
      </c>
      <c r="H1624">
        <v>10003</v>
      </c>
      <c r="I1624" t="s">
        <v>16</v>
      </c>
      <c r="J1624" t="s">
        <v>2435</v>
      </c>
      <c r="K1624" t="s">
        <v>305</v>
      </c>
      <c r="L1624" t="s">
        <v>4673</v>
      </c>
      <c r="M1624">
        <f>VLOOKUP(SUBSTITUTE(J1624,"'",""),Sheet1!L:M,2,FALSE)</f>
        <v>54820</v>
      </c>
    </row>
    <row r="1625" spans="1:13" ht="13.5" customHeight="1" x14ac:dyDescent="0.4">
      <c r="A1625" s="1">
        <v>45930</v>
      </c>
      <c r="B1625" t="s">
        <v>2240</v>
      </c>
      <c r="C1625">
        <v>42.31</v>
      </c>
      <c r="D1625" s="2" t="s">
        <v>2438</v>
      </c>
      <c r="E1625" t="s">
        <v>2240</v>
      </c>
      <c r="F1625" t="s">
        <v>2242</v>
      </c>
      <c r="G1625" s="2" t="s">
        <v>41</v>
      </c>
      <c r="H1625">
        <v>10003</v>
      </c>
      <c r="I1625" t="s">
        <v>16</v>
      </c>
      <c r="J1625" t="s">
        <v>2439</v>
      </c>
      <c r="K1625" t="s">
        <v>1218</v>
      </c>
      <c r="L1625" t="s">
        <v>4673</v>
      </c>
      <c r="M1625">
        <f>VLOOKUP(SUBSTITUTE(J1625,"'",""),Sheet1!L:M,2,FALSE)</f>
        <v>54820</v>
      </c>
    </row>
    <row r="1626" spans="1:13" ht="13.5" customHeight="1" x14ac:dyDescent="0.4">
      <c r="A1626" s="1">
        <v>45931</v>
      </c>
      <c r="B1626" t="s">
        <v>22</v>
      </c>
      <c r="C1626">
        <v>-4000</v>
      </c>
      <c r="D1626" t="s">
        <v>22</v>
      </c>
      <c r="E1626" t="s">
        <v>22</v>
      </c>
      <c r="J1626" t="s">
        <v>228</v>
      </c>
      <c r="L1626" t="s">
        <v>2047</v>
      </c>
      <c r="M1626" t="e">
        <f>VLOOKUP(SUBSTITUTE(J1626,"'",""),Sheet1!L:M,2,FALSE)</f>
        <v>#N/A</v>
      </c>
    </row>
    <row r="1627" spans="1:13" ht="13.5" customHeight="1" x14ac:dyDescent="0.4">
      <c r="A1627" s="1">
        <v>45931</v>
      </c>
      <c r="B1627" t="s">
        <v>2429</v>
      </c>
      <c r="C1627">
        <v>665.84</v>
      </c>
      <c r="D1627" s="2" t="s">
        <v>2430</v>
      </c>
      <c r="E1627" t="s">
        <v>2429</v>
      </c>
      <c r="F1627" t="s">
        <v>13</v>
      </c>
      <c r="G1627" s="2" t="s">
        <v>14</v>
      </c>
      <c r="H1627">
        <v>98101</v>
      </c>
      <c r="I1627" t="s">
        <v>16</v>
      </c>
      <c r="J1627" t="s">
        <v>2431</v>
      </c>
      <c r="K1627" t="s">
        <v>18</v>
      </c>
      <c r="L1627" t="s">
        <v>4673</v>
      </c>
      <c r="M1627">
        <f>VLOOKUP(SUBSTITUTE(J1627,"'",""),Sheet1!L:M,2,FALSE)</f>
        <v>64101</v>
      </c>
    </row>
    <row r="1628" spans="1:13" ht="13.5" customHeight="1" x14ac:dyDescent="0.4">
      <c r="A1628" s="1">
        <v>45931</v>
      </c>
      <c r="B1628" t="s">
        <v>2425</v>
      </c>
      <c r="C1628">
        <v>333.16</v>
      </c>
      <c r="D1628" s="2" t="s">
        <v>2426</v>
      </c>
      <c r="E1628" t="s">
        <v>2425</v>
      </c>
      <c r="F1628" s="2" t="s">
        <v>2427</v>
      </c>
      <c r="G1628" s="2" t="s">
        <v>41</v>
      </c>
      <c r="H1628">
        <v>10012</v>
      </c>
      <c r="I1628" t="s">
        <v>16</v>
      </c>
      <c r="J1628" t="s">
        <v>2428</v>
      </c>
      <c r="K1628" t="s">
        <v>2114</v>
      </c>
      <c r="L1628" t="s">
        <v>4673</v>
      </c>
      <c r="M1628">
        <f>VLOOKUP(SUBSTITUTE(J1628,"'",""),Sheet1!L:M,2,FALSE)</f>
        <v>54820</v>
      </c>
    </row>
    <row r="1629" spans="1:13" ht="13.5" customHeight="1" x14ac:dyDescent="0.4">
      <c r="A1629" s="1">
        <v>45931</v>
      </c>
      <c r="B1629" t="s">
        <v>583</v>
      </c>
      <c r="C1629">
        <v>168.08</v>
      </c>
      <c r="D1629" s="2" t="s">
        <v>2432</v>
      </c>
      <c r="E1629" t="s">
        <v>583</v>
      </c>
      <c r="F1629" s="2" t="s">
        <v>585</v>
      </c>
      <c r="G1629" s="2" t="s">
        <v>35</v>
      </c>
      <c r="H1629">
        <v>94103</v>
      </c>
      <c r="I1629" t="s">
        <v>16</v>
      </c>
      <c r="J1629" t="s">
        <v>2433</v>
      </c>
      <c r="K1629" t="s">
        <v>126</v>
      </c>
      <c r="L1629" t="s">
        <v>4673</v>
      </c>
      <c r="M1629">
        <f>VLOOKUP(SUBSTITUTE(J1629,"'",""),Sheet1!L:M,2,FALSE)</f>
        <v>54820</v>
      </c>
    </row>
    <row r="1630" spans="1:13" ht="13.5" customHeight="1" x14ac:dyDescent="0.4">
      <c r="A1630" s="1">
        <v>45931</v>
      </c>
      <c r="B1630" t="s">
        <v>68</v>
      </c>
      <c r="C1630">
        <v>3000</v>
      </c>
      <c r="D1630" s="2" t="s">
        <v>226</v>
      </c>
      <c r="E1630" t="s">
        <v>68</v>
      </c>
      <c r="F1630" t="s">
        <v>70</v>
      </c>
      <c r="G1630" s="2" t="s">
        <v>71</v>
      </c>
      <c r="H1630" t="s">
        <v>72</v>
      </c>
      <c r="I1630" t="s">
        <v>73</v>
      </c>
      <c r="J1630" t="s">
        <v>227</v>
      </c>
      <c r="K1630" t="s">
        <v>18</v>
      </c>
      <c r="L1630" t="s">
        <v>2047</v>
      </c>
      <c r="M1630" t="e">
        <f>VLOOKUP(SUBSTITUTE(J1630,"'",""),Sheet1!L:M,2,FALSE)</f>
        <v>#N/A</v>
      </c>
    </row>
    <row r="1631" spans="1:13" ht="13.5" customHeight="1" x14ac:dyDescent="0.4">
      <c r="A1631" s="1">
        <v>45931</v>
      </c>
      <c r="B1631" t="s">
        <v>234</v>
      </c>
      <c r="C1631">
        <v>221.6</v>
      </c>
      <c r="D1631" s="2" t="s">
        <v>235</v>
      </c>
      <c r="E1631" t="s">
        <v>236</v>
      </c>
      <c r="F1631" t="s">
        <v>237</v>
      </c>
      <c r="G1631" s="2" t="s">
        <v>238</v>
      </c>
      <c r="H1631" t="s">
        <v>239</v>
      </c>
      <c r="I1631" t="s">
        <v>16</v>
      </c>
      <c r="J1631" t="s">
        <v>240</v>
      </c>
      <c r="K1631" t="s">
        <v>90</v>
      </c>
      <c r="L1631" t="s">
        <v>2047</v>
      </c>
      <c r="M1631">
        <f>VLOOKUP(SUBSTITUTE(J1631,"'",""),Sheet1!L:M,2,FALSE)</f>
        <v>65700</v>
      </c>
    </row>
    <row r="1632" spans="1:13" ht="13.5" customHeight="1" x14ac:dyDescent="0.4">
      <c r="A1632" s="1">
        <v>45931</v>
      </c>
      <c r="B1632" t="s">
        <v>229</v>
      </c>
      <c r="C1632">
        <v>437.5</v>
      </c>
      <c r="D1632" s="2" t="s">
        <v>230</v>
      </c>
      <c r="E1632" t="s">
        <v>229</v>
      </c>
      <c r="F1632" t="s">
        <v>231</v>
      </c>
      <c r="G1632" s="2" t="s">
        <v>232</v>
      </c>
      <c r="H1632">
        <v>34221</v>
      </c>
      <c r="I1632" t="s">
        <v>16</v>
      </c>
      <c r="J1632" t="s">
        <v>233</v>
      </c>
      <c r="K1632" t="s">
        <v>56</v>
      </c>
      <c r="L1632" t="s">
        <v>2047</v>
      </c>
      <c r="M1632">
        <f>VLOOKUP(SUBSTITUTE(J1632,"'",""),Sheet1!L:M,2,FALSE)</f>
        <v>61100</v>
      </c>
    </row>
    <row r="1633" spans="1:13" ht="13.5" customHeight="1" x14ac:dyDescent="0.4">
      <c r="A1633" s="1">
        <v>45932</v>
      </c>
      <c r="B1633" t="s">
        <v>977</v>
      </c>
      <c r="C1633">
        <v>20</v>
      </c>
      <c r="D1633" s="2" t="s">
        <v>2413</v>
      </c>
      <c r="E1633" t="s">
        <v>977</v>
      </c>
      <c r="F1633" s="2" t="s">
        <v>979</v>
      </c>
      <c r="G1633" s="2" t="s">
        <v>980</v>
      </c>
      <c r="H1633">
        <v>78259</v>
      </c>
      <c r="I1633" t="s">
        <v>16</v>
      </c>
      <c r="J1633" t="s">
        <v>2414</v>
      </c>
      <c r="K1633" t="s">
        <v>164</v>
      </c>
      <c r="L1633" t="s">
        <v>4673</v>
      </c>
      <c r="M1633">
        <f>VLOOKUP(SUBSTITUTE(J1633,"'",""),Sheet1!L:M,2,FALSE)</f>
        <v>54820</v>
      </c>
    </row>
    <row r="1634" spans="1:13" ht="13.5" customHeight="1" x14ac:dyDescent="0.4">
      <c r="A1634" s="1">
        <v>45932</v>
      </c>
      <c r="B1634" t="s">
        <v>2415</v>
      </c>
      <c r="C1634">
        <v>62</v>
      </c>
      <c r="D1634" s="2" t="s">
        <v>2416</v>
      </c>
      <c r="E1634" t="s">
        <v>2415</v>
      </c>
      <c r="F1634" t="s">
        <v>2248</v>
      </c>
      <c r="G1634" s="2" t="s">
        <v>2249</v>
      </c>
      <c r="H1634">
        <v>94025</v>
      </c>
      <c r="I1634" t="s">
        <v>16</v>
      </c>
      <c r="J1634" t="s">
        <v>2417</v>
      </c>
      <c r="K1634" t="s">
        <v>2335</v>
      </c>
      <c r="L1634" t="s">
        <v>4673</v>
      </c>
      <c r="M1634">
        <f>VLOOKUP(SUBSTITUTE(J1634,"'",""),Sheet1!L:M,2,FALSE)</f>
        <v>54820</v>
      </c>
    </row>
    <row r="1635" spans="1:13" ht="13.5" customHeight="1" x14ac:dyDescent="0.4">
      <c r="A1635" s="1">
        <v>45932</v>
      </c>
      <c r="B1635" t="s">
        <v>583</v>
      </c>
      <c r="C1635">
        <v>261.27</v>
      </c>
      <c r="D1635" s="2" t="s">
        <v>2423</v>
      </c>
      <c r="E1635" t="s">
        <v>583</v>
      </c>
      <c r="F1635" s="2" t="s">
        <v>585</v>
      </c>
      <c r="G1635" s="2" t="s">
        <v>35</v>
      </c>
      <c r="H1635">
        <v>94103</v>
      </c>
      <c r="I1635" t="s">
        <v>16</v>
      </c>
      <c r="J1635" t="s">
        <v>2424</v>
      </c>
      <c r="K1635" t="s">
        <v>126</v>
      </c>
      <c r="L1635" t="s">
        <v>4673</v>
      </c>
      <c r="M1635">
        <f>VLOOKUP(SUBSTITUTE(J1635,"'",""),Sheet1!L:M,2,FALSE)</f>
        <v>54820</v>
      </c>
    </row>
    <row r="1636" spans="1:13" ht="13.5" customHeight="1" x14ac:dyDescent="0.4">
      <c r="A1636" s="1">
        <v>45932</v>
      </c>
      <c r="B1636" t="s">
        <v>213</v>
      </c>
      <c r="C1636">
        <v>21.4</v>
      </c>
      <c r="D1636" s="2" t="s">
        <v>214</v>
      </c>
      <c r="E1636" t="s">
        <v>213</v>
      </c>
      <c r="F1636" s="2" t="s">
        <v>215</v>
      </c>
      <c r="G1636" s="2" t="s">
        <v>216</v>
      </c>
      <c r="H1636" s="3" t="s">
        <v>217</v>
      </c>
      <c r="I1636" t="s">
        <v>16</v>
      </c>
      <c r="J1636" t="s">
        <v>218</v>
      </c>
      <c r="K1636" t="s">
        <v>188</v>
      </c>
      <c r="L1636" t="s">
        <v>2047</v>
      </c>
      <c r="M1636">
        <f>VLOOKUP(SUBSTITUTE(J1636,"'",""),Sheet1!L:M,2,FALSE)</f>
        <v>64100</v>
      </c>
    </row>
    <row r="1637" spans="1:13" ht="13.5" customHeight="1" x14ac:dyDescent="0.4">
      <c r="A1637" s="1">
        <v>45932</v>
      </c>
      <c r="B1637" t="s">
        <v>219</v>
      </c>
      <c r="C1637">
        <v>19.989999999999998</v>
      </c>
      <c r="D1637" s="2" t="s">
        <v>220</v>
      </c>
      <c r="E1637" t="s">
        <v>219</v>
      </c>
      <c r="F1637" t="s">
        <v>13</v>
      </c>
      <c r="G1637" s="2" t="s">
        <v>14</v>
      </c>
      <c r="H1637" t="s">
        <v>15</v>
      </c>
      <c r="I1637" t="s">
        <v>16</v>
      </c>
      <c r="J1637" t="s">
        <v>221</v>
      </c>
      <c r="K1637" t="s">
        <v>18</v>
      </c>
      <c r="L1637" t="s">
        <v>2047</v>
      </c>
      <c r="M1637">
        <f>VLOOKUP(SUBSTITUTE(J1637,"'",""),Sheet1!L:M,2,FALSE)</f>
        <v>54820</v>
      </c>
    </row>
    <row r="1638" spans="1:13" ht="13.5" customHeight="1" x14ac:dyDescent="0.4">
      <c r="A1638" s="1">
        <v>45932</v>
      </c>
      <c r="B1638" t="s">
        <v>2408</v>
      </c>
      <c r="C1638">
        <v>45</v>
      </c>
      <c r="D1638" s="2" t="s">
        <v>2409</v>
      </c>
      <c r="E1638" t="s">
        <v>2408</v>
      </c>
      <c r="F1638" s="2" t="s">
        <v>2410</v>
      </c>
      <c r="G1638" s="2" t="s">
        <v>2411</v>
      </c>
      <c r="H1638">
        <v>19801</v>
      </c>
      <c r="I1638" t="s">
        <v>16</v>
      </c>
      <c r="J1638" t="s">
        <v>2412</v>
      </c>
      <c r="K1638" t="s">
        <v>37</v>
      </c>
      <c r="L1638" t="s">
        <v>4673</v>
      </c>
      <c r="M1638">
        <f>VLOOKUP(SUBSTITUTE(J1638,"'",""),Sheet1!L:M,2,FALSE)</f>
        <v>54820</v>
      </c>
    </row>
    <row r="1639" spans="1:13" ht="13.5" customHeight="1" x14ac:dyDescent="0.4">
      <c r="A1639" s="1">
        <v>45932</v>
      </c>
      <c r="B1639" t="s">
        <v>222</v>
      </c>
      <c r="C1639">
        <v>79</v>
      </c>
      <c r="D1639" s="2" t="s">
        <v>223</v>
      </c>
      <c r="E1639" t="s">
        <v>222</v>
      </c>
      <c r="F1639" t="s">
        <v>224</v>
      </c>
      <c r="G1639" s="2" t="s">
        <v>35</v>
      </c>
      <c r="H1639">
        <v>94104</v>
      </c>
      <c r="I1639" t="s">
        <v>16</v>
      </c>
      <c r="J1639" t="s">
        <v>225</v>
      </c>
      <c r="K1639" t="s">
        <v>37</v>
      </c>
      <c r="L1639" t="s">
        <v>2047</v>
      </c>
      <c r="M1639">
        <f>VLOOKUP(SUBSTITUTE(J1639,"'",""),Sheet1!L:M,2,FALSE)</f>
        <v>64200</v>
      </c>
    </row>
    <row r="1640" spans="1:13" ht="13.5" customHeight="1" x14ac:dyDescent="0.4">
      <c r="A1640" s="1">
        <v>45932</v>
      </c>
      <c r="B1640" t="s">
        <v>2418</v>
      </c>
      <c r="C1640">
        <v>4.49</v>
      </c>
      <c r="D1640" s="2" t="s">
        <v>2419</v>
      </c>
      <c r="E1640" t="s">
        <v>2418</v>
      </c>
      <c r="F1640" t="s">
        <v>2420</v>
      </c>
      <c r="G1640" s="2" t="s">
        <v>2421</v>
      </c>
      <c r="H1640">
        <v>198</v>
      </c>
      <c r="I1640" t="s">
        <v>910</v>
      </c>
      <c r="J1640" t="s">
        <v>2422</v>
      </c>
      <c r="K1640" t="s">
        <v>305</v>
      </c>
      <c r="L1640" t="s">
        <v>4673</v>
      </c>
      <c r="M1640">
        <f>VLOOKUP(SUBSTITUTE(J1640,"'",""),Sheet1!L:M,2,FALSE)</f>
        <v>54820</v>
      </c>
    </row>
    <row r="1641" spans="1:13" ht="13.5" customHeight="1" x14ac:dyDescent="0.4">
      <c r="A1641" s="1">
        <v>45933</v>
      </c>
      <c r="B1641" t="s">
        <v>210</v>
      </c>
      <c r="C1641">
        <v>3.99</v>
      </c>
      <c r="D1641" s="2" t="s">
        <v>211</v>
      </c>
      <c r="E1641" t="s">
        <v>210</v>
      </c>
      <c r="F1641" t="s">
        <v>13</v>
      </c>
      <c r="G1641" s="2" t="s">
        <v>14</v>
      </c>
      <c r="H1641" t="s">
        <v>15</v>
      </c>
      <c r="I1641" t="s">
        <v>16</v>
      </c>
      <c r="J1641" t="s">
        <v>212</v>
      </c>
      <c r="K1641" t="s">
        <v>18</v>
      </c>
      <c r="L1641" t="s">
        <v>2047</v>
      </c>
      <c r="M1641">
        <f>VLOOKUP(SUBSTITUTE(J1641,"'",""),Sheet1!L:M,2,FALSE)</f>
        <v>54820</v>
      </c>
    </row>
    <row r="1642" spans="1:13" ht="13.5" customHeight="1" x14ac:dyDescent="0.4">
      <c r="A1642" s="1">
        <v>45933</v>
      </c>
      <c r="B1642" t="s">
        <v>202</v>
      </c>
      <c r="C1642">
        <v>175</v>
      </c>
      <c r="D1642" s="2" t="s">
        <v>203</v>
      </c>
      <c r="E1642" t="s">
        <v>202</v>
      </c>
      <c r="F1642" t="s">
        <v>204</v>
      </c>
      <c r="G1642" s="2" t="s">
        <v>205</v>
      </c>
      <c r="H1642">
        <v>19003</v>
      </c>
      <c r="I1642" t="s">
        <v>16</v>
      </c>
      <c r="J1642" t="s">
        <v>206</v>
      </c>
      <c r="K1642" t="s">
        <v>207</v>
      </c>
      <c r="L1642" t="s">
        <v>2047</v>
      </c>
      <c r="M1642">
        <f>VLOOKUP(SUBSTITUTE(J1642,"'",""),Sheet1!L:M,2,FALSE)</f>
        <v>61100</v>
      </c>
    </row>
    <row r="1643" spans="1:13" ht="13.5" customHeight="1" x14ac:dyDescent="0.4">
      <c r="A1643" s="1">
        <v>45933</v>
      </c>
      <c r="B1643" t="s">
        <v>583</v>
      </c>
      <c r="C1643">
        <v>150.34</v>
      </c>
      <c r="D1643" s="2" t="s">
        <v>2406</v>
      </c>
      <c r="E1643" t="s">
        <v>583</v>
      </c>
      <c r="F1643" s="2" t="s">
        <v>585</v>
      </c>
      <c r="G1643" s="2" t="s">
        <v>35</v>
      </c>
      <c r="H1643">
        <v>94103</v>
      </c>
      <c r="I1643" t="s">
        <v>16</v>
      </c>
      <c r="J1643" t="s">
        <v>2407</v>
      </c>
      <c r="K1643" t="s">
        <v>126</v>
      </c>
      <c r="L1643" t="s">
        <v>4673</v>
      </c>
      <c r="M1643">
        <f>VLOOKUP(SUBSTITUTE(J1643,"'",""),Sheet1!L:M,2,FALSE)</f>
        <v>54820</v>
      </c>
    </row>
    <row r="1644" spans="1:13" ht="13.5" customHeight="1" x14ac:dyDescent="0.4">
      <c r="A1644" s="1">
        <v>45933</v>
      </c>
      <c r="B1644" t="s">
        <v>153</v>
      </c>
      <c r="C1644">
        <v>25.84</v>
      </c>
      <c r="D1644" s="2" t="s">
        <v>208</v>
      </c>
      <c r="E1644" t="s">
        <v>153</v>
      </c>
      <c r="F1644" t="s">
        <v>155</v>
      </c>
      <c r="G1644" s="2" t="s">
        <v>156</v>
      </c>
      <c r="H1644">
        <v>98052</v>
      </c>
      <c r="I1644" t="s">
        <v>16</v>
      </c>
      <c r="J1644" t="s">
        <v>209</v>
      </c>
      <c r="K1644" t="s">
        <v>96</v>
      </c>
      <c r="L1644" t="s">
        <v>2047</v>
      </c>
      <c r="M1644">
        <f>VLOOKUP(SUBSTITUTE(J1644,"'",""),Sheet1!L:M,2,FALSE)</f>
        <v>64100</v>
      </c>
    </row>
    <row r="1645" spans="1:13" ht="13.5" customHeight="1" x14ac:dyDescent="0.4">
      <c r="A1645" s="1">
        <v>45933</v>
      </c>
      <c r="B1645" t="s">
        <v>583</v>
      </c>
      <c r="C1645">
        <v>145.5</v>
      </c>
      <c r="D1645" s="2" t="s">
        <v>2404</v>
      </c>
      <c r="E1645" t="s">
        <v>583</v>
      </c>
      <c r="F1645" s="2" t="s">
        <v>585</v>
      </c>
      <c r="G1645" s="2" t="s">
        <v>35</v>
      </c>
      <c r="H1645">
        <v>94103</v>
      </c>
      <c r="I1645" t="s">
        <v>16</v>
      </c>
      <c r="J1645" t="s">
        <v>2405</v>
      </c>
      <c r="K1645" t="s">
        <v>126</v>
      </c>
      <c r="L1645" t="s">
        <v>4673</v>
      </c>
      <c r="M1645">
        <f>VLOOKUP(SUBSTITUTE(J1645,"'",""),Sheet1!L:M,2,FALSE)</f>
        <v>54820</v>
      </c>
    </row>
    <row r="1646" spans="1:13" ht="13.5" customHeight="1" x14ac:dyDescent="0.4">
      <c r="A1646" s="1">
        <v>45933</v>
      </c>
      <c r="B1646" t="s">
        <v>2400</v>
      </c>
      <c r="C1646">
        <v>21.39</v>
      </c>
      <c r="D1646" s="2" t="s">
        <v>2401</v>
      </c>
      <c r="E1646" t="s">
        <v>2400</v>
      </c>
      <c r="F1646" t="s">
        <v>2402</v>
      </c>
      <c r="G1646" s="2" t="s">
        <v>41</v>
      </c>
      <c r="H1646">
        <v>10019</v>
      </c>
      <c r="I1646" t="s">
        <v>16</v>
      </c>
      <c r="J1646" t="s">
        <v>2403</v>
      </c>
      <c r="K1646" t="s">
        <v>110</v>
      </c>
      <c r="L1646" t="s">
        <v>4673</v>
      </c>
      <c r="M1646">
        <f>VLOOKUP(SUBSTITUTE(J1646,"'",""),Sheet1!L:M,2,FALSE)</f>
        <v>67500</v>
      </c>
    </row>
    <row r="1647" spans="1:13" ht="13.5" customHeight="1" x14ac:dyDescent="0.4">
      <c r="A1647" s="1">
        <v>45933</v>
      </c>
      <c r="B1647" t="s">
        <v>140</v>
      </c>
      <c r="C1647">
        <v>16.32</v>
      </c>
      <c r="D1647" s="2" t="s">
        <v>2398</v>
      </c>
      <c r="E1647" t="s">
        <v>142</v>
      </c>
      <c r="F1647" t="s">
        <v>143</v>
      </c>
      <c r="G1647" s="2" t="s">
        <v>14</v>
      </c>
      <c r="H1647">
        <v>98109</v>
      </c>
      <c r="I1647" t="s">
        <v>16</v>
      </c>
      <c r="J1647" t="s">
        <v>2399</v>
      </c>
      <c r="K1647" t="s">
        <v>18</v>
      </c>
      <c r="L1647" t="s">
        <v>4673</v>
      </c>
      <c r="M1647">
        <f>VLOOKUP(SUBSTITUTE(J1647,"'",""),Sheet1!L:M,2,FALSE)</f>
        <v>54820</v>
      </c>
    </row>
    <row r="1648" spans="1:13" ht="13.5" customHeight="1" x14ac:dyDescent="0.4">
      <c r="A1648" s="1">
        <v>45934</v>
      </c>
      <c r="B1648" t="s">
        <v>165</v>
      </c>
      <c r="C1648">
        <v>42.8</v>
      </c>
      <c r="D1648" s="2" t="s">
        <v>2384</v>
      </c>
      <c r="E1648" t="s">
        <v>165</v>
      </c>
      <c r="F1648" s="2" t="s">
        <v>167</v>
      </c>
      <c r="G1648" s="2" t="s">
        <v>87</v>
      </c>
      <c r="H1648">
        <v>75202</v>
      </c>
      <c r="I1648" t="s">
        <v>16</v>
      </c>
      <c r="J1648" t="s">
        <v>2385</v>
      </c>
      <c r="K1648" t="s">
        <v>96</v>
      </c>
      <c r="L1648" t="s">
        <v>4673</v>
      </c>
      <c r="M1648">
        <f>VLOOKUP(SUBSTITUTE(J1648,"'",""),Sheet1!L:M,2,FALSE)</f>
        <v>64100</v>
      </c>
    </row>
    <row r="1649" spans="1:13" ht="13.5" customHeight="1" x14ac:dyDescent="0.4">
      <c r="A1649" s="1">
        <v>45934</v>
      </c>
      <c r="B1649" t="s">
        <v>165</v>
      </c>
      <c r="C1649">
        <v>32.07</v>
      </c>
      <c r="D1649" s="2" t="s">
        <v>2382</v>
      </c>
      <c r="E1649" t="s">
        <v>165</v>
      </c>
      <c r="F1649" s="2" t="s">
        <v>167</v>
      </c>
      <c r="G1649" s="2" t="s">
        <v>87</v>
      </c>
      <c r="H1649">
        <v>75202</v>
      </c>
      <c r="I1649" t="s">
        <v>16</v>
      </c>
      <c r="J1649" t="s">
        <v>2383</v>
      </c>
      <c r="K1649" t="s">
        <v>96</v>
      </c>
      <c r="L1649" t="s">
        <v>4673</v>
      </c>
      <c r="M1649">
        <f>VLOOKUP(SUBSTITUTE(J1649,"'",""),Sheet1!L:M,2,FALSE)</f>
        <v>64100</v>
      </c>
    </row>
    <row r="1650" spans="1:13" ht="13.5" customHeight="1" x14ac:dyDescent="0.4">
      <c r="A1650" s="1">
        <v>45934</v>
      </c>
      <c r="B1650" t="s">
        <v>165</v>
      </c>
      <c r="C1650">
        <v>68.48</v>
      </c>
      <c r="D1650" s="2" t="s">
        <v>2386</v>
      </c>
      <c r="E1650" t="s">
        <v>165</v>
      </c>
      <c r="F1650" s="2" t="s">
        <v>167</v>
      </c>
      <c r="G1650" s="2" t="s">
        <v>87</v>
      </c>
      <c r="H1650">
        <v>75202</v>
      </c>
      <c r="I1650" t="s">
        <v>16</v>
      </c>
      <c r="J1650" t="s">
        <v>2387</v>
      </c>
      <c r="K1650" t="s">
        <v>96</v>
      </c>
      <c r="L1650" t="s">
        <v>4673</v>
      </c>
      <c r="M1650">
        <f>VLOOKUP(SUBSTITUTE(J1650,"'",""),Sheet1!L:M,2,FALSE)</f>
        <v>64100</v>
      </c>
    </row>
    <row r="1651" spans="1:13" ht="13.5" customHeight="1" x14ac:dyDescent="0.4">
      <c r="A1651" s="1">
        <v>45934</v>
      </c>
      <c r="B1651" t="s">
        <v>165</v>
      </c>
      <c r="C1651">
        <v>25.68</v>
      </c>
      <c r="D1651" s="2" t="s">
        <v>2380</v>
      </c>
      <c r="E1651" t="s">
        <v>165</v>
      </c>
      <c r="F1651" s="2" t="s">
        <v>167</v>
      </c>
      <c r="G1651" s="2" t="s">
        <v>87</v>
      </c>
      <c r="H1651">
        <v>75202</v>
      </c>
      <c r="I1651" t="s">
        <v>16</v>
      </c>
      <c r="J1651" t="s">
        <v>2381</v>
      </c>
      <c r="K1651" t="s">
        <v>96</v>
      </c>
      <c r="L1651" t="s">
        <v>4673</v>
      </c>
      <c r="M1651">
        <f>VLOOKUP(SUBSTITUTE(J1651,"'",""),Sheet1!L:M,2,FALSE)</f>
        <v>64100</v>
      </c>
    </row>
    <row r="1652" spans="1:13" ht="13.5" customHeight="1" x14ac:dyDescent="0.4">
      <c r="A1652" s="1">
        <v>45934</v>
      </c>
      <c r="B1652" t="s">
        <v>2390</v>
      </c>
      <c r="C1652">
        <v>21.4</v>
      </c>
      <c r="D1652" s="2" t="s">
        <v>2391</v>
      </c>
      <c r="E1652" t="s">
        <v>2390</v>
      </c>
      <c r="F1652" s="2" t="s">
        <v>167</v>
      </c>
      <c r="G1652" s="2" t="s">
        <v>87</v>
      </c>
      <c r="H1652">
        <v>75202</v>
      </c>
      <c r="I1652" t="s">
        <v>16</v>
      </c>
      <c r="J1652" t="s">
        <v>2392</v>
      </c>
      <c r="K1652" t="s">
        <v>96</v>
      </c>
      <c r="L1652" t="s">
        <v>4673</v>
      </c>
      <c r="M1652">
        <f>VLOOKUP(SUBSTITUTE(J1652,"'",""),Sheet1!L:M,2,FALSE)</f>
        <v>64100</v>
      </c>
    </row>
    <row r="1653" spans="1:13" ht="13.5" customHeight="1" x14ac:dyDescent="0.4">
      <c r="A1653" s="1">
        <v>45934</v>
      </c>
      <c r="B1653" t="s">
        <v>165</v>
      </c>
      <c r="C1653">
        <v>289.06</v>
      </c>
      <c r="D1653" s="2" t="s">
        <v>2388</v>
      </c>
      <c r="E1653" t="s">
        <v>165</v>
      </c>
      <c r="F1653" s="2" t="s">
        <v>167</v>
      </c>
      <c r="G1653" s="2" t="s">
        <v>87</v>
      </c>
      <c r="H1653">
        <v>75202</v>
      </c>
      <c r="I1653" t="s">
        <v>16</v>
      </c>
      <c r="J1653" t="s">
        <v>2389</v>
      </c>
      <c r="K1653" t="s">
        <v>96</v>
      </c>
      <c r="L1653" t="s">
        <v>4673</v>
      </c>
      <c r="M1653">
        <f>VLOOKUP(SUBSTITUTE(J1653,"'",""),Sheet1!L:M,2,FALSE)</f>
        <v>64100</v>
      </c>
    </row>
    <row r="1654" spans="1:13" ht="13.5" customHeight="1" x14ac:dyDescent="0.4">
      <c r="A1654" s="1">
        <v>45934</v>
      </c>
      <c r="B1654" t="s">
        <v>196</v>
      </c>
      <c r="C1654">
        <v>10.99</v>
      </c>
      <c r="D1654" s="2" t="s">
        <v>197</v>
      </c>
      <c r="E1654" t="s">
        <v>196</v>
      </c>
      <c r="F1654" t="s">
        <v>198</v>
      </c>
      <c r="G1654" s="2" t="s">
        <v>199</v>
      </c>
      <c r="H1654">
        <v>91608</v>
      </c>
      <c r="I1654" t="s">
        <v>16</v>
      </c>
      <c r="J1654" t="s">
        <v>200</v>
      </c>
      <c r="K1654" t="s">
        <v>201</v>
      </c>
      <c r="L1654" t="s">
        <v>2047</v>
      </c>
      <c r="M1654">
        <f>VLOOKUP(SUBSTITUTE(J1654,"'",""),Sheet1!L:M,2,FALSE)</f>
        <v>54820</v>
      </c>
    </row>
    <row r="1655" spans="1:13" ht="13.5" customHeight="1" x14ac:dyDescent="0.4">
      <c r="A1655" s="1">
        <v>45934</v>
      </c>
      <c r="B1655" t="s">
        <v>2393</v>
      </c>
      <c r="C1655">
        <v>9.9499999999999993</v>
      </c>
      <c r="D1655" s="2" t="s">
        <v>2394</v>
      </c>
      <c r="E1655" t="s">
        <v>2393</v>
      </c>
      <c r="F1655" s="2" t="s">
        <v>2395</v>
      </c>
      <c r="G1655" s="2" t="s">
        <v>2396</v>
      </c>
      <c r="H1655">
        <v>55331</v>
      </c>
      <c r="I1655" t="s">
        <v>16</v>
      </c>
      <c r="J1655" t="s">
        <v>2397</v>
      </c>
      <c r="K1655" t="s">
        <v>37</v>
      </c>
      <c r="L1655" t="s">
        <v>4673</v>
      </c>
      <c r="M1655">
        <f>VLOOKUP(SUBSTITUTE(J1655,"'",""),Sheet1!L:M,2,FALSE)</f>
        <v>54820</v>
      </c>
    </row>
    <row r="1656" spans="1:13" ht="13.5" customHeight="1" x14ac:dyDescent="0.4">
      <c r="A1656" s="1">
        <v>45934</v>
      </c>
      <c r="B1656" t="s">
        <v>153</v>
      </c>
      <c r="C1656">
        <v>25.84</v>
      </c>
      <c r="D1656" s="2" t="s">
        <v>194</v>
      </c>
      <c r="E1656" t="s">
        <v>153</v>
      </c>
      <c r="F1656" t="s">
        <v>155</v>
      </c>
      <c r="G1656" s="2" t="s">
        <v>156</v>
      </c>
      <c r="H1656">
        <v>98052</v>
      </c>
      <c r="I1656" t="s">
        <v>16</v>
      </c>
      <c r="J1656" t="s">
        <v>195</v>
      </c>
      <c r="K1656" t="s">
        <v>96</v>
      </c>
      <c r="L1656" t="s">
        <v>2047</v>
      </c>
      <c r="M1656">
        <f>VLOOKUP(SUBSTITUTE(J1656,"'",""),Sheet1!L:M,2,FALSE)</f>
        <v>64100</v>
      </c>
    </row>
    <row r="1657" spans="1:13" ht="13.5" customHeight="1" x14ac:dyDescent="0.4">
      <c r="A1657" s="1">
        <v>45935</v>
      </c>
      <c r="B1657" t="s">
        <v>517</v>
      </c>
      <c r="C1657">
        <v>4</v>
      </c>
      <c r="D1657" s="2" t="s">
        <v>2368</v>
      </c>
      <c r="E1657" t="s">
        <v>517</v>
      </c>
      <c r="F1657" t="s">
        <v>519</v>
      </c>
      <c r="G1657" s="2" t="s">
        <v>35</v>
      </c>
      <c r="H1657">
        <v>94107</v>
      </c>
      <c r="I1657" t="s">
        <v>16</v>
      </c>
      <c r="J1657" t="s">
        <v>2369</v>
      </c>
      <c r="K1657" t="s">
        <v>96</v>
      </c>
      <c r="L1657" t="s">
        <v>4673</v>
      </c>
      <c r="M1657">
        <f>VLOOKUP(SUBSTITUTE(J1657,"'",""),Sheet1!L:M,2,FALSE)</f>
        <v>64100</v>
      </c>
    </row>
    <row r="1658" spans="1:13" ht="13.5" customHeight="1" x14ac:dyDescent="0.4">
      <c r="A1658" s="1">
        <v>45935</v>
      </c>
      <c r="B1658" t="s">
        <v>2365</v>
      </c>
      <c r="C1658">
        <v>300</v>
      </c>
      <c r="D1658" s="2" t="s">
        <v>2366</v>
      </c>
      <c r="E1658" t="s">
        <v>2365</v>
      </c>
      <c r="F1658" t="s">
        <v>519</v>
      </c>
      <c r="G1658" s="2" t="s">
        <v>35</v>
      </c>
      <c r="H1658">
        <v>94107</v>
      </c>
      <c r="I1658" t="s">
        <v>16</v>
      </c>
      <c r="J1658" t="s">
        <v>2367</v>
      </c>
      <c r="K1658" t="s">
        <v>96</v>
      </c>
      <c r="L1658" t="s">
        <v>4673</v>
      </c>
      <c r="M1658">
        <f>VLOOKUP(SUBSTITUTE(J1658,"'",""),Sheet1!L:M,2,FALSE)</f>
        <v>64100</v>
      </c>
    </row>
    <row r="1659" spans="1:13" ht="13.5" customHeight="1" x14ac:dyDescent="0.4">
      <c r="A1659" s="1">
        <v>45935</v>
      </c>
      <c r="B1659" t="s">
        <v>478</v>
      </c>
      <c r="C1659">
        <v>61.37</v>
      </c>
      <c r="D1659" s="2" t="s">
        <v>2374</v>
      </c>
      <c r="E1659" t="s">
        <v>480</v>
      </c>
      <c r="F1659" s="2" t="s">
        <v>481</v>
      </c>
      <c r="G1659" s="2" t="s">
        <v>35</v>
      </c>
      <c r="H1659">
        <v>94103</v>
      </c>
      <c r="I1659" t="s">
        <v>16</v>
      </c>
      <c r="J1659" t="s">
        <v>2375</v>
      </c>
      <c r="K1659" t="s">
        <v>483</v>
      </c>
      <c r="L1659" t="s">
        <v>4673</v>
      </c>
      <c r="M1659">
        <f>VLOOKUP(SUBSTITUTE(J1659,"'",""),Sheet1!L:M,2,FALSE)</f>
        <v>61130</v>
      </c>
    </row>
    <row r="1660" spans="1:13" ht="13.5" customHeight="1" x14ac:dyDescent="0.4">
      <c r="A1660" s="1">
        <v>45935</v>
      </c>
      <c r="B1660" t="s">
        <v>478</v>
      </c>
      <c r="C1660">
        <v>65.44</v>
      </c>
      <c r="D1660" s="2" t="s">
        <v>2376</v>
      </c>
      <c r="E1660" t="s">
        <v>480</v>
      </c>
      <c r="F1660" s="2" t="s">
        <v>481</v>
      </c>
      <c r="G1660" s="2" t="s">
        <v>35</v>
      </c>
      <c r="H1660">
        <v>94103</v>
      </c>
      <c r="I1660" t="s">
        <v>16</v>
      </c>
      <c r="J1660" t="s">
        <v>2377</v>
      </c>
      <c r="K1660" t="s">
        <v>483</v>
      </c>
      <c r="L1660" t="s">
        <v>4673</v>
      </c>
      <c r="M1660">
        <f>VLOOKUP(SUBSTITUTE(J1660,"'",""),Sheet1!L:M,2,FALSE)</f>
        <v>61130</v>
      </c>
    </row>
    <row r="1661" spans="1:13" ht="13.5" customHeight="1" x14ac:dyDescent="0.4">
      <c r="A1661" s="1">
        <v>45935</v>
      </c>
      <c r="B1661" t="s">
        <v>583</v>
      </c>
      <c r="C1661">
        <v>434.88</v>
      </c>
      <c r="D1661" s="2" t="s">
        <v>2372</v>
      </c>
      <c r="E1661" t="s">
        <v>583</v>
      </c>
      <c r="F1661" s="2" t="s">
        <v>585</v>
      </c>
      <c r="G1661" s="2" t="s">
        <v>35</v>
      </c>
      <c r="H1661">
        <v>94103</v>
      </c>
      <c r="I1661" t="s">
        <v>16</v>
      </c>
      <c r="J1661" t="s">
        <v>2373</v>
      </c>
      <c r="K1661" t="s">
        <v>126</v>
      </c>
      <c r="L1661" t="s">
        <v>4673</v>
      </c>
      <c r="M1661">
        <f>VLOOKUP(SUBSTITUTE(J1661,"'",""),Sheet1!L:M,2,FALSE)</f>
        <v>54820</v>
      </c>
    </row>
    <row r="1662" spans="1:13" ht="13.5" customHeight="1" x14ac:dyDescent="0.4">
      <c r="A1662" s="1">
        <v>45935</v>
      </c>
      <c r="B1662" t="s">
        <v>191</v>
      </c>
      <c r="C1662">
        <v>19.989999999999998</v>
      </c>
      <c r="D1662" s="2" t="s">
        <v>192</v>
      </c>
      <c r="E1662" t="s">
        <v>191</v>
      </c>
      <c r="F1662" t="s">
        <v>13</v>
      </c>
      <c r="G1662" s="2" t="s">
        <v>14</v>
      </c>
      <c r="H1662" t="s">
        <v>15</v>
      </c>
      <c r="I1662" t="s">
        <v>16</v>
      </c>
      <c r="J1662" t="s">
        <v>193</v>
      </c>
      <c r="K1662" t="s">
        <v>18</v>
      </c>
      <c r="L1662" t="s">
        <v>2047</v>
      </c>
      <c r="M1662">
        <f>VLOOKUP(SUBSTITUTE(J1662,"'",""),Sheet1!L:M,2,FALSE)</f>
        <v>54820</v>
      </c>
    </row>
    <row r="1663" spans="1:13" ht="13.5" customHeight="1" x14ac:dyDescent="0.4">
      <c r="A1663" s="1">
        <v>45935</v>
      </c>
      <c r="B1663" t="s">
        <v>2240</v>
      </c>
      <c r="C1663">
        <v>20.45</v>
      </c>
      <c r="D1663" s="2" t="s">
        <v>2378</v>
      </c>
      <c r="E1663" t="s">
        <v>2240</v>
      </c>
      <c r="F1663" t="s">
        <v>2242</v>
      </c>
      <c r="G1663" s="2" t="s">
        <v>41</v>
      </c>
      <c r="H1663">
        <v>10003</v>
      </c>
      <c r="I1663" t="s">
        <v>16</v>
      </c>
      <c r="J1663" t="s">
        <v>2379</v>
      </c>
      <c r="K1663" t="s">
        <v>1218</v>
      </c>
      <c r="L1663" t="s">
        <v>4673</v>
      </c>
      <c r="M1663">
        <f>VLOOKUP(SUBSTITUTE(J1663,"'",""),Sheet1!L:M,2,FALSE)</f>
        <v>54820</v>
      </c>
    </row>
    <row r="1664" spans="1:13" ht="13.5" customHeight="1" x14ac:dyDescent="0.4">
      <c r="A1664" s="1">
        <v>45935</v>
      </c>
      <c r="B1664" t="s">
        <v>2077</v>
      </c>
      <c r="C1664">
        <v>9.74</v>
      </c>
      <c r="D1664" s="2" t="s">
        <v>2370</v>
      </c>
      <c r="E1664" t="s">
        <v>2077</v>
      </c>
      <c r="F1664" t="s">
        <v>2079</v>
      </c>
      <c r="G1664" s="2" t="s">
        <v>14</v>
      </c>
      <c r="H1664">
        <v>98134</v>
      </c>
      <c r="I1664" t="s">
        <v>16</v>
      </c>
      <c r="J1664" t="s">
        <v>2371</v>
      </c>
      <c r="K1664" t="s">
        <v>305</v>
      </c>
      <c r="L1664" t="s">
        <v>4673</v>
      </c>
      <c r="M1664">
        <f>VLOOKUP(SUBSTITUTE(J1664,"'",""),Sheet1!L:M,2,FALSE)</f>
        <v>54820</v>
      </c>
    </row>
    <row r="1665" spans="1:13" ht="13.5" customHeight="1" x14ac:dyDescent="0.4">
      <c r="A1665" s="1">
        <v>45935</v>
      </c>
      <c r="B1665" t="s">
        <v>140</v>
      </c>
      <c r="C1665">
        <v>130.6</v>
      </c>
      <c r="D1665" s="2" t="s">
        <v>189</v>
      </c>
      <c r="E1665" t="s">
        <v>142</v>
      </c>
      <c r="F1665" t="s">
        <v>143</v>
      </c>
      <c r="G1665" s="2" t="s">
        <v>14</v>
      </c>
      <c r="H1665">
        <v>98109</v>
      </c>
      <c r="I1665" t="s">
        <v>16</v>
      </c>
      <c r="J1665" t="s">
        <v>190</v>
      </c>
      <c r="K1665" t="s">
        <v>18</v>
      </c>
      <c r="L1665" t="s">
        <v>2047</v>
      </c>
      <c r="M1665">
        <f>VLOOKUP(SUBSTITUTE(J1665,"'",""),Sheet1!L:M,2,FALSE)</f>
        <v>54820</v>
      </c>
    </row>
    <row r="1666" spans="1:13" ht="13.5" customHeight="1" x14ac:dyDescent="0.4">
      <c r="A1666" s="1">
        <v>45936</v>
      </c>
      <c r="B1666" t="s">
        <v>2344</v>
      </c>
      <c r="C1666">
        <v>9.42</v>
      </c>
      <c r="D1666" s="2" t="s">
        <v>2345</v>
      </c>
      <c r="E1666" t="s">
        <v>2344</v>
      </c>
      <c r="F1666" t="s">
        <v>2219</v>
      </c>
      <c r="G1666" s="2" t="s">
        <v>41</v>
      </c>
      <c r="H1666">
        <v>10013</v>
      </c>
      <c r="I1666" t="s">
        <v>16</v>
      </c>
      <c r="J1666" t="s">
        <v>2346</v>
      </c>
      <c r="K1666" t="s">
        <v>321</v>
      </c>
      <c r="L1666" t="s">
        <v>4673</v>
      </c>
      <c r="M1666">
        <f>VLOOKUP(SUBSTITUTE(J1666,"'",""),Sheet1!L:M,2,FALSE)</f>
        <v>54820</v>
      </c>
    </row>
    <row r="1667" spans="1:13" ht="13.5" customHeight="1" x14ac:dyDescent="0.4">
      <c r="A1667" s="1">
        <v>45936</v>
      </c>
      <c r="B1667" t="s">
        <v>2327</v>
      </c>
      <c r="C1667">
        <v>50</v>
      </c>
      <c r="D1667" s="2" t="s">
        <v>2328</v>
      </c>
      <c r="E1667" t="s">
        <v>2327</v>
      </c>
      <c r="F1667" t="s">
        <v>2329</v>
      </c>
      <c r="G1667" s="2" t="s">
        <v>2330</v>
      </c>
      <c r="H1667">
        <v>19713</v>
      </c>
      <c r="I1667" t="s">
        <v>16</v>
      </c>
      <c r="J1667" t="s">
        <v>2331</v>
      </c>
      <c r="K1667" t="s">
        <v>37</v>
      </c>
      <c r="L1667" t="s">
        <v>4673</v>
      </c>
      <c r="M1667">
        <f>VLOOKUP(SUBSTITUTE(J1667,"'",""),Sheet1!L:M,2,FALSE)</f>
        <v>64100</v>
      </c>
    </row>
    <row r="1668" spans="1:13" ht="13.5" customHeight="1" x14ac:dyDescent="0.4">
      <c r="A1668" s="1">
        <v>45936</v>
      </c>
      <c r="B1668" t="s">
        <v>2354</v>
      </c>
      <c r="C1668">
        <v>115</v>
      </c>
      <c r="D1668" s="2" t="s">
        <v>2355</v>
      </c>
      <c r="E1668" t="s">
        <v>2354</v>
      </c>
      <c r="F1668" t="s">
        <v>2356</v>
      </c>
      <c r="G1668" s="2" t="s">
        <v>2357</v>
      </c>
      <c r="H1668">
        <v>63131</v>
      </c>
      <c r="I1668" t="s">
        <v>16</v>
      </c>
      <c r="J1668" t="s">
        <v>2358</v>
      </c>
      <c r="K1668" t="s">
        <v>201</v>
      </c>
      <c r="L1668" t="s">
        <v>4673</v>
      </c>
      <c r="M1668">
        <f>VLOOKUP(SUBSTITUTE(J1668,"'",""),Sheet1!L:M,2,FALSE)</f>
        <v>65700</v>
      </c>
    </row>
    <row r="1669" spans="1:13" ht="13.5" customHeight="1" x14ac:dyDescent="0.4">
      <c r="A1669" s="1">
        <v>45936</v>
      </c>
      <c r="B1669" t="s">
        <v>2336</v>
      </c>
      <c r="C1669">
        <v>21.4</v>
      </c>
      <c r="D1669" s="2" t="s">
        <v>2337</v>
      </c>
      <c r="E1669" t="s">
        <v>2336</v>
      </c>
      <c r="F1669" s="2" t="s">
        <v>2338</v>
      </c>
      <c r="G1669" s="2" t="s">
        <v>35</v>
      </c>
      <c r="H1669">
        <v>94102</v>
      </c>
      <c r="I1669" t="s">
        <v>16</v>
      </c>
      <c r="J1669" t="s">
        <v>2339</v>
      </c>
      <c r="K1669" t="s">
        <v>188</v>
      </c>
      <c r="L1669" t="s">
        <v>4673</v>
      </c>
      <c r="M1669">
        <f>VLOOKUP(SUBSTITUTE(J1669,"'",""),Sheet1!L:M,2,FALSE)</f>
        <v>64100</v>
      </c>
    </row>
    <row r="1670" spans="1:13" ht="13.5" customHeight="1" x14ac:dyDescent="0.4">
      <c r="A1670" s="1">
        <v>45936</v>
      </c>
      <c r="B1670" t="s">
        <v>2181</v>
      </c>
      <c r="C1670">
        <v>48.24</v>
      </c>
      <c r="D1670" s="2" t="s">
        <v>2325</v>
      </c>
      <c r="E1670" t="s">
        <v>2181</v>
      </c>
      <c r="F1670" s="2" t="s">
        <v>2183</v>
      </c>
      <c r="G1670" s="2" t="s">
        <v>1376</v>
      </c>
      <c r="H1670" t="s">
        <v>2184</v>
      </c>
      <c r="I1670" t="s">
        <v>16</v>
      </c>
      <c r="J1670" t="s">
        <v>2326</v>
      </c>
      <c r="K1670" t="s">
        <v>18</v>
      </c>
      <c r="L1670" t="s">
        <v>4673</v>
      </c>
      <c r="M1670">
        <f>VLOOKUP(SUBSTITUTE(J1670,"'",""),Sheet1!L:M,2,FALSE)</f>
        <v>54820</v>
      </c>
    </row>
    <row r="1671" spans="1:13" ht="13.5" customHeight="1" x14ac:dyDescent="0.4">
      <c r="A1671" s="1">
        <v>45936</v>
      </c>
      <c r="B1671" t="s">
        <v>184</v>
      </c>
      <c r="C1671">
        <v>25.68</v>
      </c>
      <c r="D1671" s="2" t="s">
        <v>185</v>
      </c>
      <c r="E1671" t="s">
        <v>184</v>
      </c>
      <c r="F1671" s="2" t="s">
        <v>186</v>
      </c>
      <c r="G1671" s="2" t="s">
        <v>35</v>
      </c>
      <c r="H1671">
        <v>94105</v>
      </c>
      <c r="I1671" t="s">
        <v>16</v>
      </c>
      <c r="J1671" t="s">
        <v>187</v>
      </c>
      <c r="K1671" t="s">
        <v>188</v>
      </c>
      <c r="L1671" t="s">
        <v>2047</v>
      </c>
      <c r="M1671">
        <f>VLOOKUP(SUBSTITUTE(J1671,"'",""),Sheet1!L:M,2,FALSE)</f>
        <v>64100</v>
      </c>
    </row>
    <row r="1672" spans="1:13" ht="13.5" customHeight="1" x14ac:dyDescent="0.4">
      <c r="A1672" s="1">
        <v>45936</v>
      </c>
      <c r="B1672" t="s">
        <v>583</v>
      </c>
      <c r="C1672">
        <v>80.78</v>
      </c>
      <c r="D1672" s="2" t="s">
        <v>2361</v>
      </c>
      <c r="E1672" t="s">
        <v>583</v>
      </c>
      <c r="F1672" s="2" t="s">
        <v>585</v>
      </c>
      <c r="G1672" s="2" t="s">
        <v>35</v>
      </c>
      <c r="H1672">
        <v>94103</v>
      </c>
      <c r="I1672" t="s">
        <v>16</v>
      </c>
      <c r="J1672" t="s">
        <v>2362</v>
      </c>
      <c r="K1672" t="s">
        <v>126</v>
      </c>
      <c r="L1672" t="s">
        <v>4673</v>
      </c>
      <c r="M1672">
        <f>VLOOKUP(SUBSTITUTE(J1672,"'",""),Sheet1!L:M,2,FALSE)</f>
        <v>54820</v>
      </c>
    </row>
    <row r="1673" spans="1:13" ht="13.5" customHeight="1" x14ac:dyDescent="0.4">
      <c r="A1673" s="1">
        <v>45936</v>
      </c>
      <c r="B1673" t="s">
        <v>2332</v>
      </c>
      <c r="C1673">
        <v>7.6</v>
      </c>
      <c r="D1673" s="2" t="s">
        <v>2333</v>
      </c>
      <c r="E1673" t="s">
        <v>2332</v>
      </c>
      <c r="F1673" t="s">
        <v>2248</v>
      </c>
      <c r="G1673" s="2" t="s">
        <v>2249</v>
      </c>
      <c r="H1673">
        <v>94025</v>
      </c>
      <c r="I1673" t="s">
        <v>16</v>
      </c>
      <c r="J1673" t="s">
        <v>2334</v>
      </c>
      <c r="K1673" t="s">
        <v>2335</v>
      </c>
      <c r="L1673" t="s">
        <v>4673</v>
      </c>
      <c r="M1673">
        <f>VLOOKUP(SUBSTITUTE(J1673,"'",""),Sheet1!L:M,2,FALSE)</f>
        <v>54820</v>
      </c>
    </row>
    <row r="1674" spans="1:13" ht="13.5" customHeight="1" x14ac:dyDescent="0.4">
      <c r="A1674" s="1">
        <v>45936</v>
      </c>
      <c r="B1674" t="s">
        <v>2321</v>
      </c>
      <c r="C1674">
        <v>25.68</v>
      </c>
      <c r="D1674" s="2" t="s">
        <v>2322</v>
      </c>
      <c r="E1674" t="s">
        <v>2321</v>
      </c>
      <c r="F1674" s="2" t="s">
        <v>2323</v>
      </c>
      <c r="G1674" s="2" t="s">
        <v>35</v>
      </c>
      <c r="H1674">
        <v>94111</v>
      </c>
      <c r="I1674" t="s">
        <v>16</v>
      </c>
      <c r="J1674" t="s">
        <v>2324</v>
      </c>
      <c r="K1674" t="s">
        <v>188</v>
      </c>
      <c r="L1674" t="s">
        <v>4673</v>
      </c>
      <c r="M1674">
        <f>VLOOKUP(SUBSTITUTE(J1674,"'",""),Sheet1!L:M,2,FALSE)</f>
        <v>54820</v>
      </c>
    </row>
    <row r="1675" spans="1:13" ht="13.5" customHeight="1" x14ac:dyDescent="0.4">
      <c r="A1675" s="1">
        <v>45936</v>
      </c>
      <c r="B1675" t="s">
        <v>2347</v>
      </c>
      <c r="C1675">
        <v>100</v>
      </c>
      <c r="D1675" s="2" t="s">
        <v>2348</v>
      </c>
      <c r="E1675" t="s">
        <v>2347</v>
      </c>
      <c r="F1675" t="s">
        <v>2349</v>
      </c>
      <c r="G1675" s="2" t="s">
        <v>41</v>
      </c>
      <c r="H1675" t="s">
        <v>2350</v>
      </c>
      <c r="I1675" t="s">
        <v>16</v>
      </c>
      <c r="J1675" t="s">
        <v>2351</v>
      </c>
      <c r="K1675" t="s">
        <v>116</v>
      </c>
      <c r="L1675" t="s">
        <v>4673</v>
      </c>
      <c r="M1675">
        <f>VLOOKUP(SUBSTITUTE(J1675,"'",""),Sheet1!L:M,2,FALSE)</f>
        <v>54820</v>
      </c>
    </row>
    <row r="1676" spans="1:13" ht="13.5" customHeight="1" x14ac:dyDescent="0.4">
      <c r="A1676" s="1">
        <v>45936</v>
      </c>
      <c r="B1676" t="s">
        <v>179</v>
      </c>
      <c r="C1676">
        <v>84.91</v>
      </c>
      <c r="D1676" s="2" t="s">
        <v>180</v>
      </c>
      <c r="E1676" t="s">
        <v>179</v>
      </c>
      <c r="F1676" t="s">
        <v>143</v>
      </c>
      <c r="G1676" s="2" t="s">
        <v>14</v>
      </c>
      <c r="H1676">
        <v>98109</v>
      </c>
      <c r="I1676" t="s">
        <v>16</v>
      </c>
      <c r="J1676" t="s">
        <v>181</v>
      </c>
      <c r="K1676" t="s">
        <v>18</v>
      </c>
      <c r="L1676" t="s">
        <v>2047</v>
      </c>
      <c r="M1676">
        <f>VLOOKUP(SUBSTITUTE(J1676,"'",""),Sheet1!L:M,2,FALSE)</f>
        <v>54820</v>
      </c>
    </row>
    <row r="1677" spans="1:13" ht="13.5" customHeight="1" x14ac:dyDescent="0.4">
      <c r="A1677" s="1">
        <v>45936</v>
      </c>
      <c r="B1677" t="s">
        <v>145</v>
      </c>
      <c r="C1677">
        <v>37.61</v>
      </c>
      <c r="D1677" s="2" t="s">
        <v>182</v>
      </c>
      <c r="E1677" t="s">
        <v>145</v>
      </c>
      <c r="F1677" t="s">
        <v>29</v>
      </c>
      <c r="G1677" t="e">
        <f>-
NY</f>
        <v>#NAME?</v>
      </c>
      <c r="H1677">
        <v>11577</v>
      </c>
      <c r="I1677" t="s">
        <v>16</v>
      </c>
      <c r="J1677" t="s">
        <v>183</v>
      </c>
      <c r="K1677" t="s">
        <v>31</v>
      </c>
      <c r="L1677" t="s">
        <v>2047</v>
      </c>
      <c r="M1677">
        <f>VLOOKUP(SUBSTITUTE(J1677,"'",""),Sheet1!L:M,2,FALSE)</f>
        <v>61131</v>
      </c>
    </row>
    <row r="1678" spans="1:13" ht="13.5" customHeight="1" x14ac:dyDescent="0.4">
      <c r="A1678" s="1">
        <v>45936</v>
      </c>
      <c r="B1678" t="s">
        <v>2240</v>
      </c>
      <c r="C1678">
        <v>52.31</v>
      </c>
      <c r="D1678" s="2" t="s">
        <v>2363</v>
      </c>
      <c r="E1678" t="s">
        <v>2240</v>
      </c>
      <c r="F1678" t="s">
        <v>2242</v>
      </c>
      <c r="G1678" s="2" t="s">
        <v>41</v>
      </c>
      <c r="H1678">
        <v>10003</v>
      </c>
      <c r="I1678" t="s">
        <v>16</v>
      </c>
      <c r="J1678" t="s">
        <v>2364</v>
      </c>
      <c r="K1678" t="s">
        <v>1218</v>
      </c>
      <c r="L1678" t="s">
        <v>4673</v>
      </c>
      <c r="M1678">
        <f>VLOOKUP(SUBSTITUTE(J1678,"'",""),Sheet1!L:M,2,FALSE)</f>
        <v>54820</v>
      </c>
    </row>
    <row r="1679" spans="1:13" ht="13.5" customHeight="1" x14ac:dyDescent="0.4">
      <c r="A1679" s="1">
        <v>45936</v>
      </c>
      <c r="B1679" t="s">
        <v>2340</v>
      </c>
      <c r="C1679">
        <v>18.079999999999998</v>
      </c>
      <c r="D1679" s="2" t="s">
        <v>2341</v>
      </c>
      <c r="E1679" t="s">
        <v>2340</v>
      </c>
      <c r="F1679" s="2" t="s">
        <v>2342</v>
      </c>
      <c r="G1679" s="2" t="s">
        <v>14</v>
      </c>
      <c r="H1679">
        <v>98119</v>
      </c>
      <c r="I1679" t="s">
        <v>16</v>
      </c>
      <c r="J1679" t="s">
        <v>2343</v>
      </c>
      <c r="K1679" t="s">
        <v>96</v>
      </c>
      <c r="L1679" t="s">
        <v>4673</v>
      </c>
      <c r="M1679">
        <f>VLOOKUP(SUBSTITUTE(J1679,"'",""),Sheet1!L:M,2,FALSE)</f>
        <v>65700</v>
      </c>
    </row>
    <row r="1680" spans="1:13" ht="13.5" customHeight="1" x14ac:dyDescent="0.4">
      <c r="A1680" s="1">
        <v>45936</v>
      </c>
      <c r="B1680" t="s">
        <v>2077</v>
      </c>
      <c r="C1680">
        <v>9.74</v>
      </c>
      <c r="D1680" s="2" t="s">
        <v>2359</v>
      </c>
      <c r="E1680" t="s">
        <v>2077</v>
      </c>
      <c r="F1680" t="s">
        <v>2079</v>
      </c>
      <c r="G1680" s="2" t="s">
        <v>14</v>
      </c>
      <c r="H1680">
        <v>98134</v>
      </c>
      <c r="I1680" t="s">
        <v>16</v>
      </c>
      <c r="J1680" t="s">
        <v>2360</v>
      </c>
      <c r="K1680" t="s">
        <v>305</v>
      </c>
      <c r="L1680" t="s">
        <v>4673</v>
      </c>
      <c r="M1680">
        <f>VLOOKUP(SUBSTITUTE(J1680,"'",""),Sheet1!L:M,2,FALSE)</f>
        <v>54820</v>
      </c>
    </row>
    <row r="1681" spans="1:13" ht="13.5" customHeight="1" x14ac:dyDescent="0.4">
      <c r="A1681" s="1">
        <v>45936</v>
      </c>
      <c r="B1681" t="s">
        <v>2072</v>
      </c>
      <c r="C1681">
        <v>53.81</v>
      </c>
      <c r="D1681" s="2" t="s">
        <v>2352</v>
      </c>
      <c r="E1681" t="s">
        <v>2072</v>
      </c>
      <c r="F1681" s="2" t="s">
        <v>2074</v>
      </c>
      <c r="G1681" s="2" t="s">
        <v>2075</v>
      </c>
      <c r="H1681">
        <v>94404</v>
      </c>
      <c r="I1681" t="s">
        <v>16</v>
      </c>
      <c r="J1681" t="s">
        <v>2353</v>
      </c>
      <c r="K1681" t="s">
        <v>37</v>
      </c>
      <c r="L1681" t="s">
        <v>4673</v>
      </c>
      <c r="M1681">
        <f>VLOOKUP(SUBSTITUTE(J1681,"'",""),Sheet1!L:M,2,FALSE)</f>
        <v>64100</v>
      </c>
    </row>
    <row r="1682" spans="1:13" ht="13.5" customHeight="1" x14ac:dyDescent="0.4">
      <c r="A1682" s="1">
        <v>45937</v>
      </c>
      <c r="B1682" t="s">
        <v>2190</v>
      </c>
      <c r="C1682">
        <v>7.26</v>
      </c>
      <c r="D1682" s="2" t="s">
        <v>2319</v>
      </c>
      <c r="E1682" t="s">
        <v>2190</v>
      </c>
      <c r="F1682" t="s">
        <v>2192</v>
      </c>
      <c r="G1682" s="2" t="s">
        <v>41</v>
      </c>
      <c r="H1682">
        <v>10003</v>
      </c>
      <c r="I1682" t="s">
        <v>16</v>
      </c>
      <c r="J1682" t="s">
        <v>2320</v>
      </c>
      <c r="K1682" t="s">
        <v>305</v>
      </c>
      <c r="L1682" t="s">
        <v>4673</v>
      </c>
      <c r="M1682">
        <f>VLOOKUP(SUBSTITUTE(J1682,"'",""),Sheet1!L:M,2,FALSE)</f>
        <v>54820</v>
      </c>
    </row>
    <row r="1683" spans="1:13" ht="13.5" customHeight="1" x14ac:dyDescent="0.4">
      <c r="A1683" s="1">
        <v>45937</v>
      </c>
      <c r="B1683" t="s">
        <v>165</v>
      </c>
      <c r="C1683">
        <v>21.38</v>
      </c>
      <c r="D1683" s="2" t="s">
        <v>166</v>
      </c>
      <c r="E1683" t="s">
        <v>165</v>
      </c>
      <c r="F1683" s="2" t="s">
        <v>167</v>
      </c>
      <c r="G1683" s="2" t="s">
        <v>87</v>
      </c>
      <c r="H1683">
        <v>75202</v>
      </c>
      <c r="I1683" t="s">
        <v>16</v>
      </c>
      <c r="J1683" t="s">
        <v>168</v>
      </c>
      <c r="K1683" t="s">
        <v>96</v>
      </c>
      <c r="L1683" t="s">
        <v>2047</v>
      </c>
      <c r="M1683">
        <f>VLOOKUP(SUBSTITUTE(J1683,"'",""),Sheet1!L:M,2,FALSE)</f>
        <v>64100</v>
      </c>
    </row>
    <row r="1684" spans="1:13" ht="13.5" customHeight="1" x14ac:dyDescent="0.4">
      <c r="A1684" s="1">
        <v>45937</v>
      </c>
      <c r="B1684" t="s">
        <v>175</v>
      </c>
      <c r="C1684">
        <v>630</v>
      </c>
      <c r="D1684" s="2" t="s">
        <v>176</v>
      </c>
      <c r="E1684" t="s">
        <v>175</v>
      </c>
      <c r="F1684" t="s">
        <v>177</v>
      </c>
      <c r="G1684" s="2" t="s">
        <v>41</v>
      </c>
      <c r="H1684">
        <v>10012</v>
      </c>
      <c r="I1684" t="s">
        <v>16</v>
      </c>
      <c r="J1684" t="s">
        <v>178</v>
      </c>
      <c r="K1684" t="s">
        <v>126</v>
      </c>
      <c r="L1684" t="s">
        <v>2047</v>
      </c>
      <c r="M1684">
        <f>VLOOKUP(SUBSTITUTE(J1684,"'",""),Sheet1!L:M,2,FALSE)</f>
        <v>61215</v>
      </c>
    </row>
    <row r="1685" spans="1:13" ht="13.5" customHeight="1" x14ac:dyDescent="0.4">
      <c r="A1685" s="1">
        <v>45937</v>
      </c>
      <c r="B1685" t="s">
        <v>2311</v>
      </c>
      <c r="C1685">
        <v>44.86</v>
      </c>
      <c r="D1685" s="2" t="s">
        <v>2312</v>
      </c>
      <c r="E1685" t="s">
        <v>2311</v>
      </c>
      <c r="F1685" s="2" t="s">
        <v>2313</v>
      </c>
      <c r="G1685" s="2" t="s">
        <v>2314</v>
      </c>
      <c r="H1685" t="s">
        <v>2315</v>
      </c>
      <c r="I1685" t="s">
        <v>16</v>
      </c>
      <c r="J1685" t="s">
        <v>2316</v>
      </c>
      <c r="K1685" t="s">
        <v>37</v>
      </c>
      <c r="L1685" t="s">
        <v>4673</v>
      </c>
      <c r="M1685">
        <f>VLOOKUP(SUBSTITUTE(J1685,"'",""),Sheet1!L:M,2,FALSE)</f>
        <v>64100</v>
      </c>
    </row>
    <row r="1686" spans="1:13" ht="13.5" customHeight="1" x14ac:dyDescent="0.4">
      <c r="A1686" s="1">
        <v>45937</v>
      </c>
      <c r="B1686" t="s">
        <v>169</v>
      </c>
      <c r="C1686">
        <v>21.39</v>
      </c>
      <c r="D1686" s="2" t="s">
        <v>170</v>
      </c>
      <c r="E1686" t="s">
        <v>169</v>
      </c>
      <c r="F1686" s="2" t="s">
        <v>171</v>
      </c>
      <c r="G1686" s="2" t="s">
        <v>172</v>
      </c>
      <c r="H1686">
        <v>95035</v>
      </c>
      <c r="I1686" t="s">
        <v>16</v>
      </c>
      <c r="J1686" t="s">
        <v>173</v>
      </c>
      <c r="K1686" t="s">
        <v>174</v>
      </c>
      <c r="L1686" t="s">
        <v>2047</v>
      </c>
      <c r="M1686">
        <f>VLOOKUP(SUBSTITUTE(J1686,"'",""),Sheet1!L:M,2,FALSE)</f>
        <v>64100</v>
      </c>
    </row>
    <row r="1687" spans="1:13" ht="13.5" customHeight="1" x14ac:dyDescent="0.4">
      <c r="A1687" s="1">
        <v>45937</v>
      </c>
      <c r="B1687" t="s">
        <v>2158</v>
      </c>
      <c r="C1687">
        <v>200</v>
      </c>
      <c r="D1687" s="2" t="s">
        <v>2317</v>
      </c>
      <c r="E1687" t="s">
        <v>2158</v>
      </c>
      <c r="F1687" t="s">
        <v>2160</v>
      </c>
      <c r="G1687" s="2" t="s">
        <v>41</v>
      </c>
      <c r="H1687">
        <v>10017</v>
      </c>
      <c r="I1687" t="s">
        <v>16</v>
      </c>
      <c r="J1687" t="s">
        <v>2318</v>
      </c>
      <c r="K1687" t="s">
        <v>116</v>
      </c>
      <c r="L1687" t="s">
        <v>4673</v>
      </c>
      <c r="M1687">
        <f>VLOOKUP(SUBSTITUTE(J1687,"'",""),Sheet1!L:M,2,FALSE)</f>
        <v>54820</v>
      </c>
    </row>
    <row r="1688" spans="1:13" ht="13.5" customHeight="1" x14ac:dyDescent="0.4">
      <c r="A1688" s="1">
        <v>45938</v>
      </c>
      <c r="B1688" t="s">
        <v>2303</v>
      </c>
      <c r="C1688">
        <v>848.33</v>
      </c>
      <c r="D1688" t="s">
        <v>2303</v>
      </c>
      <c r="E1688" t="s">
        <v>2303</v>
      </c>
      <c r="J1688" t="s">
        <v>2304</v>
      </c>
      <c r="K1688" t="s">
        <v>21</v>
      </c>
      <c r="L1688" t="s">
        <v>4673</v>
      </c>
      <c r="M1688">
        <f>VLOOKUP(SUBSTITUTE(J1688,"'",""),Sheet1!L:M,2,FALSE)</f>
        <v>80100</v>
      </c>
    </row>
    <row r="1689" spans="1:13" ht="13.5" customHeight="1" x14ac:dyDescent="0.4">
      <c r="A1689" s="1">
        <v>45938</v>
      </c>
      <c r="B1689" t="s">
        <v>977</v>
      </c>
      <c r="C1689">
        <v>20</v>
      </c>
      <c r="D1689" s="2" t="s">
        <v>2301</v>
      </c>
      <c r="E1689" t="s">
        <v>977</v>
      </c>
      <c r="F1689" s="2" t="s">
        <v>979</v>
      </c>
      <c r="G1689" s="2" t="s">
        <v>980</v>
      </c>
      <c r="H1689">
        <v>78259</v>
      </c>
      <c r="I1689" t="s">
        <v>16</v>
      </c>
      <c r="J1689" t="s">
        <v>2302</v>
      </c>
      <c r="K1689" t="s">
        <v>164</v>
      </c>
      <c r="L1689" t="s">
        <v>4673</v>
      </c>
      <c r="M1689">
        <f>VLOOKUP(SUBSTITUTE(J1689,"'",""),Sheet1!L:M,2,FALSE)</f>
        <v>54820</v>
      </c>
    </row>
    <row r="1690" spans="1:13" ht="13.5" customHeight="1" x14ac:dyDescent="0.4">
      <c r="A1690" s="1">
        <v>45938</v>
      </c>
      <c r="B1690" t="s">
        <v>478</v>
      </c>
      <c r="C1690">
        <v>25.39</v>
      </c>
      <c r="D1690" s="2" t="s">
        <v>2307</v>
      </c>
      <c r="E1690" t="s">
        <v>480</v>
      </c>
      <c r="F1690" s="2" t="s">
        <v>481</v>
      </c>
      <c r="G1690" s="2" t="s">
        <v>35</v>
      </c>
      <c r="H1690">
        <v>94103</v>
      </c>
      <c r="I1690" t="s">
        <v>16</v>
      </c>
      <c r="J1690" t="s">
        <v>2308</v>
      </c>
      <c r="K1690" t="s">
        <v>483</v>
      </c>
      <c r="L1690" t="s">
        <v>4673</v>
      </c>
      <c r="M1690">
        <f>VLOOKUP(SUBSTITUTE(J1690,"'",""),Sheet1!L:M,2,FALSE)</f>
        <v>61130</v>
      </c>
    </row>
    <row r="1691" spans="1:13" ht="13.5" customHeight="1" x14ac:dyDescent="0.4">
      <c r="A1691" s="1">
        <v>45938</v>
      </c>
      <c r="B1691" t="s">
        <v>478</v>
      </c>
      <c r="C1691">
        <v>5.07</v>
      </c>
      <c r="D1691" s="2" t="s">
        <v>2305</v>
      </c>
      <c r="E1691" t="s">
        <v>480</v>
      </c>
      <c r="F1691" s="2" t="s">
        <v>481</v>
      </c>
      <c r="G1691" s="2" t="s">
        <v>35</v>
      </c>
      <c r="H1691">
        <v>94103</v>
      </c>
      <c r="I1691" t="s">
        <v>16</v>
      </c>
      <c r="J1691" t="s">
        <v>2306</v>
      </c>
      <c r="K1691" t="s">
        <v>483</v>
      </c>
      <c r="L1691" t="s">
        <v>4673</v>
      </c>
      <c r="M1691">
        <f>VLOOKUP(SUBSTITUTE(J1691,"'",""),Sheet1!L:M,2,FALSE)</f>
        <v>61130</v>
      </c>
    </row>
    <row r="1692" spans="1:13" ht="13.5" customHeight="1" x14ac:dyDescent="0.4">
      <c r="A1692" s="1">
        <v>45938</v>
      </c>
      <c r="B1692" t="s">
        <v>2240</v>
      </c>
      <c r="C1692">
        <v>131.58000000000001</v>
      </c>
      <c r="D1692" s="2" t="s">
        <v>2309</v>
      </c>
      <c r="E1692" t="s">
        <v>2240</v>
      </c>
      <c r="F1692" t="s">
        <v>2242</v>
      </c>
      <c r="G1692" s="2" t="s">
        <v>41</v>
      </c>
      <c r="H1692">
        <v>10003</v>
      </c>
      <c r="I1692" t="s">
        <v>16</v>
      </c>
      <c r="J1692" t="s">
        <v>2310</v>
      </c>
      <c r="K1692" t="s">
        <v>1218</v>
      </c>
      <c r="L1692" t="s">
        <v>4673</v>
      </c>
      <c r="M1692">
        <f>VLOOKUP(SUBSTITUTE(J1692,"'",""),Sheet1!L:M,2,FALSE)</f>
        <v>54820</v>
      </c>
    </row>
    <row r="1693" spans="1:13" ht="13.5" customHeight="1" x14ac:dyDescent="0.4">
      <c r="A1693" s="1">
        <v>45939</v>
      </c>
      <c r="B1693" t="s">
        <v>2291</v>
      </c>
      <c r="C1693">
        <v>133.53</v>
      </c>
      <c r="D1693" s="2" t="s">
        <v>2292</v>
      </c>
      <c r="E1693" t="s">
        <v>2291</v>
      </c>
      <c r="F1693" s="2" t="s">
        <v>2206</v>
      </c>
      <c r="G1693" s="2" t="s">
        <v>491</v>
      </c>
      <c r="H1693">
        <v>60602</v>
      </c>
      <c r="I1693" t="s">
        <v>16</v>
      </c>
      <c r="J1693" t="s">
        <v>2293</v>
      </c>
      <c r="K1693" t="s">
        <v>126</v>
      </c>
      <c r="L1693" t="s">
        <v>4673</v>
      </c>
      <c r="M1693">
        <f>VLOOKUP(SUBSTITUTE(J1693,"'",""),Sheet1!L:M,2,FALSE)</f>
        <v>54820</v>
      </c>
    </row>
    <row r="1694" spans="1:13" ht="13.5" customHeight="1" x14ac:dyDescent="0.4">
      <c r="A1694" s="1">
        <v>45939</v>
      </c>
      <c r="B1694" t="s">
        <v>2285</v>
      </c>
      <c r="C1694">
        <v>1.06</v>
      </c>
      <c r="D1694" s="2" t="s">
        <v>2286</v>
      </c>
      <c r="E1694" t="s">
        <v>2285</v>
      </c>
      <c r="F1694" t="s">
        <v>2287</v>
      </c>
      <c r="G1694" s="2" t="s">
        <v>41</v>
      </c>
      <c r="H1694">
        <v>10003</v>
      </c>
      <c r="I1694" t="s">
        <v>16</v>
      </c>
      <c r="J1694" t="s">
        <v>2288</v>
      </c>
      <c r="K1694" t="s">
        <v>96</v>
      </c>
      <c r="L1694" t="s">
        <v>4673</v>
      </c>
      <c r="M1694">
        <f>VLOOKUP(SUBSTITUTE(J1694,"'",""),Sheet1!L:M,2,FALSE)</f>
        <v>54820</v>
      </c>
    </row>
    <row r="1695" spans="1:13" ht="13.5" customHeight="1" x14ac:dyDescent="0.4">
      <c r="A1695" s="1">
        <v>45939</v>
      </c>
      <c r="B1695" t="s">
        <v>2279</v>
      </c>
      <c r="C1695">
        <v>42.3</v>
      </c>
      <c r="D1695" s="2" t="s">
        <v>2280</v>
      </c>
      <c r="E1695" t="s">
        <v>2279</v>
      </c>
      <c r="F1695" t="s">
        <v>2281</v>
      </c>
      <c r="G1695" s="2" t="s">
        <v>41</v>
      </c>
      <c r="H1695">
        <v>10003</v>
      </c>
      <c r="I1695" t="s">
        <v>16</v>
      </c>
      <c r="J1695" t="s">
        <v>2282</v>
      </c>
      <c r="K1695" t="s">
        <v>126</v>
      </c>
      <c r="L1695" t="s">
        <v>4673</v>
      </c>
      <c r="M1695">
        <f>VLOOKUP(SUBSTITUTE(J1695,"'",""),Sheet1!L:M,2,FALSE)</f>
        <v>54820</v>
      </c>
    </row>
    <row r="1696" spans="1:13" ht="13.5" customHeight="1" x14ac:dyDescent="0.4">
      <c r="A1696" s="1">
        <v>45939</v>
      </c>
      <c r="B1696" t="s">
        <v>2190</v>
      </c>
      <c r="C1696">
        <v>9.06</v>
      </c>
      <c r="D1696" s="2" t="s">
        <v>2294</v>
      </c>
      <c r="E1696" t="s">
        <v>2190</v>
      </c>
      <c r="F1696" t="s">
        <v>2192</v>
      </c>
      <c r="G1696" s="2" t="s">
        <v>41</v>
      </c>
      <c r="H1696">
        <v>10003</v>
      </c>
      <c r="I1696" t="s">
        <v>16</v>
      </c>
      <c r="J1696" t="s">
        <v>2295</v>
      </c>
      <c r="K1696" t="s">
        <v>305</v>
      </c>
      <c r="L1696" t="s">
        <v>4673</v>
      </c>
      <c r="M1696">
        <f>VLOOKUP(SUBSTITUTE(J1696,"'",""),Sheet1!L:M,2,FALSE)</f>
        <v>54820</v>
      </c>
    </row>
    <row r="1697" spans="1:13" ht="13.5" customHeight="1" x14ac:dyDescent="0.4">
      <c r="A1697" s="1">
        <v>45939</v>
      </c>
      <c r="B1697" t="s">
        <v>2296</v>
      </c>
      <c r="C1697">
        <v>105.95</v>
      </c>
      <c r="D1697" s="2" t="s">
        <v>2297</v>
      </c>
      <c r="E1697" t="s">
        <v>2296</v>
      </c>
      <c r="F1697" t="s">
        <v>2298</v>
      </c>
      <c r="G1697" s="2" t="s">
        <v>35</v>
      </c>
      <c r="H1697" t="s">
        <v>2299</v>
      </c>
      <c r="I1697" t="s">
        <v>16</v>
      </c>
      <c r="J1697" t="s">
        <v>2300</v>
      </c>
      <c r="K1697" t="s">
        <v>18</v>
      </c>
      <c r="L1697" t="s">
        <v>4673</v>
      </c>
      <c r="M1697">
        <f>VLOOKUP(SUBSTITUTE(J1697,"'",""),Sheet1!L:M,2,FALSE)</f>
        <v>54820</v>
      </c>
    </row>
    <row r="1698" spans="1:13" ht="13.5" customHeight="1" x14ac:dyDescent="0.4">
      <c r="A1698" s="1">
        <v>45939</v>
      </c>
      <c r="B1698" t="s">
        <v>153</v>
      </c>
      <c r="C1698">
        <v>160.69</v>
      </c>
      <c r="D1698" s="2" t="s">
        <v>154</v>
      </c>
      <c r="E1698" t="s">
        <v>153</v>
      </c>
      <c r="F1698" t="s">
        <v>155</v>
      </c>
      <c r="G1698" s="2" t="s">
        <v>156</v>
      </c>
      <c r="H1698">
        <v>98052</v>
      </c>
      <c r="I1698" t="s">
        <v>16</v>
      </c>
      <c r="J1698" t="s">
        <v>157</v>
      </c>
      <c r="K1698" t="s">
        <v>96</v>
      </c>
      <c r="L1698" t="s">
        <v>2047</v>
      </c>
      <c r="M1698">
        <f>VLOOKUP(SUBSTITUTE(J1698,"'",""),Sheet1!L:M,2,FALSE)</f>
        <v>64100</v>
      </c>
    </row>
    <row r="1699" spans="1:13" ht="13.5" customHeight="1" x14ac:dyDescent="0.4">
      <c r="A1699" s="1">
        <v>45939</v>
      </c>
      <c r="B1699" t="s">
        <v>153</v>
      </c>
      <c r="C1699">
        <v>216</v>
      </c>
      <c r="D1699" s="2" t="s">
        <v>158</v>
      </c>
      <c r="E1699" t="s">
        <v>153</v>
      </c>
      <c r="F1699" t="s">
        <v>155</v>
      </c>
      <c r="G1699" s="2" t="s">
        <v>156</v>
      </c>
      <c r="H1699">
        <v>98052</v>
      </c>
      <c r="I1699" t="s">
        <v>16</v>
      </c>
      <c r="J1699" t="s">
        <v>159</v>
      </c>
      <c r="K1699" t="s">
        <v>96</v>
      </c>
      <c r="L1699" t="s">
        <v>2047</v>
      </c>
      <c r="M1699">
        <f>VLOOKUP(SUBSTITUTE(J1699,"'",""),Sheet1!L:M,2,FALSE)</f>
        <v>64100</v>
      </c>
    </row>
    <row r="1700" spans="1:13" ht="13.5" customHeight="1" x14ac:dyDescent="0.4">
      <c r="A1700" s="1">
        <v>45939</v>
      </c>
      <c r="B1700" t="s">
        <v>1300</v>
      </c>
      <c r="C1700">
        <v>28.74</v>
      </c>
      <c r="D1700" s="2" t="s">
        <v>2289</v>
      </c>
      <c r="E1700" t="s">
        <v>1300</v>
      </c>
      <c r="F1700" t="s">
        <v>1302</v>
      </c>
      <c r="G1700" s="2" t="s">
        <v>41</v>
      </c>
      <c r="H1700">
        <v>10003</v>
      </c>
      <c r="I1700" t="s">
        <v>16</v>
      </c>
      <c r="J1700" t="s">
        <v>2290</v>
      </c>
      <c r="K1700" t="s">
        <v>1304</v>
      </c>
      <c r="L1700" t="s">
        <v>4673</v>
      </c>
      <c r="M1700">
        <f>VLOOKUP(SUBSTITUTE(J1700,"'",""),Sheet1!L:M,2,FALSE)</f>
        <v>54820</v>
      </c>
    </row>
    <row r="1701" spans="1:13" ht="13.5" customHeight="1" x14ac:dyDescent="0.4">
      <c r="A1701" s="1">
        <v>45939</v>
      </c>
      <c r="B1701" t="s">
        <v>2142</v>
      </c>
      <c r="C1701">
        <v>24.03</v>
      </c>
      <c r="D1701" s="2" t="s">
        <v>2283</v>
      </c>
      <c r="E1701" t="s">
        <v>2142</v>
      </c>
      <c r="F1701" t="s">
        <v>2144</v>
      </c>
      <c r="G1701" s="2" t="s">
        <v>41</v>
      </c>
      <c r="H1701">
        <v>10012</v>
      </c>
      <c r="I1701" t="s">
        <v>16</v>
      </c>
      <c r="J1701" t="s">
        <v>2284</v>
      </c>
      <c r="K1701" t="s">
        <v>1304</v>
      </c>
      <c r="L1701" t="s">
        <v>4673</v>
      </c>
      <c r="M1701">
        <f>VLOOKUP(SUBSTITUTE(J1701,"'",""),Sheet1!L:M,2,FALSE)</f>
        <v>54820</v>
      </c>
    </row>
    <row r="1702" spans="1:13" ht="13.5" customHeight="1" x14ac:dyDescent="0.4">
      <c r="A1702" s="1">
        <v>45939</v>
      </c>
      <c r="B1702" t="s">
        <v>160</v>
      </c>
      <c r="C1702">
        <v>21.4</v>
      </c>
      <c r="D1702" s="2" t="s">
        <v>161</v>
      </c>
      <c r="E1702" t="s">
        <v>160</v>
      </c>
      <c r="F1702" s="2" t="s">
        <v>162</v>
      </c>
      <c r="G1702" s="2" t="s">
        <v>35</v>
      </c>
      <c r="H1702">
        <v>94104</v>
      </c>
      <c r="I1702" t="s">
        <v>16</v>
      </c>
      <c r="J1702" t="s">
        <v>163</v>
      </c>
      <c r="K1702" t="s">
        <v>164</v>
      </c>
      <c r="L1702" t="s">
        <v>2047</v>
      </c>
      <c r="M1702">
        <f>VLOOKUP(SUBSTITUTE(J1702,"'",""),Sheet1!L:M,2,FALSE)</f>
        <v>64100</v>
      </c>
    </row>
    <row r="1703" spans="1:13" ht="13.5" customHeight="1" x14ac:dyDescent="0.4">
      <c r="A1703" s="1">
        <v>45940</v>
      </c>
      <c r="B1703" t="s">
        <v>2181</v>
      </c>
      <c r="C1703">
        <v>4.26</v>
      </c>
      <c r="D1703" s="2" t="s">
        <v>2270</v>
      </c>
      <c r="E1703" t="s">
        <v>2181</v>
      </c>
      <c r="F1703" s="2" t="s">
        <v>2183</v>
      </c>
      <c r="G1703" s="2" t="s">
        <v>1376</v>
      </c>
      <c r="H1703" t="s">
        <v>2184</v>
      </c>
      <c r="I1703" t="s">
        <v>16</v>
      </c>
      <c r="J1703" t="s">
        <v>2271</v>
      </c>
      <c r="K1703" t="s">
        <v>18</v>
      </c>
      <c r="L1703" t="s">
        <v>4673</v>
      </c>
      <c r="M1703">
        <f>VLOOKUP(SUBSTITUTE(J1703,"'",""),Sheet1!L:M,2,FALSE)</f>
        <v>54820</v>
      </c>
    </row>
    <row r="1704" spans="1:13" ht="13.5" customHeight="1" x14ac:dyDescent="0.4">
      <c r="A1704" s="1">
        <v>45940</v>
      </c>
      <c r="B1704" t="s">
        <v>2272</v>
      </c>
      <c r="C1704">
        <v>307.66000000000003</v>
      </c>
      <c r="D1704" s="2" t="s">
        <v>2273</v>
      </c>
      <c r="E1704" t="s">
        <v>2272</v>
      </c>
      <c r="F1704" s="2" t="s">
        <v>2274</v>
      </c>
      <c r="G1704" s="2" t="s">
        <v>41</v>
      </c>
      <c r="H1704">
        <v>10003</v>
      </c>
      <c r="I1704" t="s">
        <v>16</v>
      </c>
      <c r="J1704" t="s">
        <v>2275</v>
      </c>
      <c r="K1704" t="s">
        <v>2276</v>
      </c>
      <c r="L1704" t="s">
        <v>4673</v>
      </c>
      <c r="M1704">
        <f>VLOOKUP(SUBSTITUTE(J1704,"'",""),Sheet1!L:M,2,FALSE)</f>
        <v>67500</v>
      </c>
    </row>
    <row r="1705" spans="1:13" ht="13.5" customHeight="1" x14ac:dyDescent="0.4">
      <c r="A1705" s="1">
        <v>45940</v>
      </c>
      <c r="B1705" t="s">
        <v>2077</v>
      </c>
      <c r="C1705">
        <v>25</v>
      </c>
      <c r="D1705" s="2" t="s">
        <v>2277</v>
      </c>
      <c r="E1705" t="s">
        <v>2077</v>
      </c>
      <c r="F1705" t="s">
        <v>2079</v>
      </c>
      <c r="G1705" s="2" t="s">
        <v>14</v>
      </c>
      <c r="H1705">
        <v>98134</v>
      </c>
      <c r="I1705" t="s">
        <v>16</v>
      </c>
      <c r="J1705" t="s">
        <v>2278</v>
      </c>
      <c r="K1705" t="s">
        <v>305</v>
      </c>
      <c r="L1705" t="s">
        <v>4673</v>
      </c>
      <c r="M1705">
        <f>VLOOKUP(SUBSTITUTE(J1705,"'",""),Sheet1!L:M,2,FALSE)</f>
        <v>54820</v>
      </c>
    </row>
    <row r="1706" spans="1:13" ht="13.5" customHeight="1" x14ac:dyDescent="0.4">
      <c r="A1706" s="1">
        <v>45941</v>
      </c>
      <c r="B1706" t="s">
        <v>2181</v>
      </c>
      <c r="C1706">
        <v>9.99</v>
      </c>
      <c r="D1706" s="2" t="s">
        <v>2263</v>
      </c>
      <c r="E1706" t="s">
        <v>2181</v>
      </c>
      <c r="F1706" s="2" t="s">
        <v>2183</v>
      </c>
      <c r="G1706" s="2" t="s">
        <v>1376</v>
      </c>
      <c r="H1706" t="s">
        <v>2184</v>
      </c>
      <c r="I1706" t="s">
        <v>16</v>
      </c>
      <c r="J1706" t="s">
        <v>2264</v>
      </c>
      <c r="K1706" t="s">
        <v>18</v>
      </c>
      <c r="L1706" t="s">
        <v>4673</v>
      </c>
      <c r="M1706">
        <f>VLOOKUP(SUBSTITUTE(J1706,"'",""),Sheet1!L:M,2,FALSE)</f>
        <v>54820</v>
      </c>
    </row>
    <row r="1707" spans="1:13" ht="13.5" customHeight="1" x14ac:dyDescent="0.4">
      <c r="A1707" s="1">
        <v>45941</v>
      </c>
      <c r="B1707" t="s">
        <v>583</v>
      </c>
      <c r="C1707">
        <v>109.56</v>
      </c>
      <c r="D1707" s="2" t="s">
        <v>2268</v>
      </c>
      <c r="E1707" t="s">
        <v>583</v>
      </c>
      <c r="F1707" s="2" t="s">
        <v>585</v>
      </c>
      <c r="G1707" s="2" t="s">
        <v>35</v>
      </c>
      <c r="H1707">
        <v>94103</v>
      </c>
      <c r="I1707" t="s">
        <v>16</v>
      </c>
      <c r="J1707" t="s">
        <v>2269</v>
      </c>
      <c r="K1707" t="s">
        <v>126</v>
      </c>
      <c r="L1707" t="s">
        <v>4673</v>
      </c>
      <c r="M1707">
        <f>VLOOKUP(SUBSTITUTE(J1707,"'",""),Sheet1!L:M,2,FALSE)</f>
        <v>54820</v>
      </c>
    </row>
    <row r="1708" spans="1:13" ht="13.5" customHeight="1" x14ac:dyDescent="0.4">
      <c r="A1708" s="1">
        <v>45941</v>
      </c>
      <c r="B1708" t="s">
        <v>2259</v>
      </c>
      <c r="C1708">
        <v>21.39</v>
      </c>
      <c r="D1708" s="2" t="s">
        <v>2260</v>
      </c>
      <c r="E1708" t="s">
        <v>2259</v>
      </c>
      <c r="F1708" t="s">
        <v>2261</v>
      </c>
      <c r="G1708" s="2" t="s">
        <v>14</v>
      </c>
      <c r="H1708">
        <v>98103</v>
      </c>
      <c r="I1708" t="s">
        <v>16</v>
      </c>
      <c r="J1708" t="s">
        <v>2262</v>
      </c>
      <c r="K1708" t="s">
        <v>1904</v>
      </c>
      <c r="L1708" t="s">
        <v>4673</v>
      </c>
      <c r="M1708">
        <f>VLOOKUP(SUBSTITUTE(J1708,"'",""),Sheet1!L:M,2,FALSE)</f>
        <v>64100</v>
      </c>
    </row>
    <row r="1709" spans="1:13" ht="13.5" customHeight="1" x14ac:dyDescent="0.4">
      <c r="A1709" s="1">
        <v>45941</v>
      </c>
      <c r="B1709" t="s">
        <v>2265</v>
      </c>
      <c r="C1709">
        <v>36.9</v>
      </c>
      <c r="D1709" s="2" t="s">
        <v>2266</v>
      </c>
      <c r="E1709" t="s">
        <v>2265</v>
      </c>
      <c r="F1709" t="s">
        <v>2261</v>
      </c>
      <c r="G1709" s="2" t="s">
        <v>14</v>
      </c>
      <c r="H1709">
        <v>98103</v>
      </c>
      <c r="I1709" t="s">
        <v>16</v>
      </c>
      <c r="J1709" t="s">
        <v>2267</v>
      </c>
      <c r="K1709" t="s">
        <v>1904</v>
      </c>
      <c r="L1709" t="s">
        <v>4673</v>
      </c>
      <c r="M1709">
        <f>VLOOKUP(SUBSTITUTE(J1709,"'",""),Sheet1!L:M,2,FALSE)</f>
        <v>64100</v>
      </c>
    </row>
    <row r="1710" spans="1:13" ht="13.5" customHeight="1" x14ac:dyDescent="0.4">
      <c r="A1710" s="1">
        <v>45941</v>
      </c>
      <c r="B1710" t="s">
        <v>145</v>
      </c>
      <c r="C1710">
        <v>2.25</v>
      </c>
      <c r="D1710" s="2" t="s">
        <v>146</v>
      </c>
      <c r="E1710" t="s">
        <v>145</v>
      </c>
      <c r="F1710" t="s">
        <v>29</v>
      </c>
      <c r="G1710" t="e">
        <f>-
NY</f>
        <v>#NAME?</v>
      </c>
      <c r="H1710">
        <v>11577</v>
      </c>
      <c r="I1710" t="s">
        <v>16</v>
      </c>
      <c r="J1710" t="s">
        <v>147</v>
      </c>
      <c r="K1710" t="s">
        <v>31</v>
      </c>
      <c r="L1710" t="s">
        <v>2047</v>
      </c>
      <c r="M1710">
        <f>VLOOKUP(SUBSTITUTE(J1710,"'",""),Sheet1!L:M,2,FALSE)</f>
        <v>61131</v>
      </c>
    </row>
    <row r="1711" spans="1:13" ht="13.5" customHeight="1" x14ac:dyDescent="0.4">
      <c r="A1711" s="1">
        <v>45941</v>
      </c>
      <c r="B1711" t="s">
        <v>148</v>
      </c>
      <c r="C1711">
        <v>29.96</v>
      </c>
      <c r="D1711" s="2" t="s">
        <v>149</v>
      </c>
      <c r="E1711" t="s">
        <v>148</v>
      </c>
      <c r="F1711" t="s">
        <v>150</v>
      </c>
      <c r="G1711" s="2" t="s">
        <v>151</v>
      </c>
      <c r="H1711">
        <v>93101</v>
      </c>
      <c r="I1711" t="s">
        <v>16</v>
      </c>
      <c r="J1711" t="s">
        <v>152</v>
      </c>
      <c r="K1711" t="s">
        <v>18</v>
      </c>
      <c r="L1711" t="s">
        <v>2047</v>
      </c>
      <c r="M1711">
        <f>VLOOKUP(SUBSTITUTE(J1711,"'",""),Sheet1!L:M,2,FALSE)</f>
        <v>64100</v>
      </c>
    </row>
    <row r="1712" spans="1:13" ht="13.5" customHeight="1" x14ac:dyDescent="0.4">
      <c r="A1712" s="1">
        <v>45941</v>
      </c>
      <c r="B1712" t="s">
        <v>140</v>
      </c>
      <c r="C1712">
        <v>71.3</v>
      </c>
      <c r="D1712" s="2" t="s">
        <v>141</v>
      </c>
      <c r="E1712" t="s">
        <v>142</v>
      </c>
      <c r="F1712" t="s">
        <v>143</v>
      </c>
      <c r="G1712" s="2" t="s">
        <v>14</v>
      </c>
      <c r="H1712">
        <v>98109</v>
      </c>
      <c r="I1712" t="s">
        <v>16</v>
      </c>
      <c r="J1712" t="s">
        <v>144</v>
      </c>
      <c r="K1712" t="s">
        <v>18</v>
      </c>
      <c r="L1712" t="s">
        <v>2047</v>
      </c>
      <c r="M1712">
        <f>VLOOKUP(SUBSTITUTE(J1712,"'",""),Sheet1!L:M,2,FALSE)</f>
        <v>54820</v>
      </c>
    </row>
    <row r="1713" spans="1:13" ht="13.5" customHeight="1" x14ac:dyDescent="0.4">
      <c r="A1713" s="1">
        <v>45942</v>
      </c>
      <c r="B1713" t="s">
        <v>134</v>
      </c>
      <c r="C1713">
        <v>-3000</v>
      </c>
      <c r="D1713" t="s">
        <v>134</v>
      </c>
      <c r="E1713" t="s">
        <v>134</v>
      </c>
      <c r="J1713" t="s">
        <v>135</v>
      </c>
      <c r="L1713" t="s">
        <v>2047</v>
      </c>
      <c r="M1713" t="e">
        <f>VLOOKUP(SUBSTITUTE(J1713,"'",""),Sheet1!L:M,2,FALSE)</f>
        <v>#N/A</v>
      </c>
    </row>
    <row r="1714" spans="1:13" ht="13.5" customHeight="1" x14ac:dyDescent="0.4">
      <c r="A1714" s="1">
        <v>45942</v>
      </c>
      <c r="B1714" t="s">
        <v>2181</v>
      </c>
      <c r="C1714">
        <v>17.09</v>
      </c>
      <c r="D1714" s="2" t="s">
        <v>2244</v>
      </c>
      <c r="E1714" t="s">
        <v>2181</v>
      </c>
      <c r="F1714" s="2" t="s">
        <v>2183</v>
      </c>
      <c r="G1714" s="2" t="s">
        <v>1376</v>
      </c>
      <c r="H1714" t="s">
        <v>2184</v>
      </c>
      <c r="I1714" t="s">
        <v>16</v>
      </c>
      <c r="J1714" t="s">
        <v>2245</v>
      </c>
      <c r="K1714" t="s">
        <v>18</v>
      </c>
      <c r="L1714" t="s">
        <v>4673</v>
      </c>
      <c r="M1714">
        <f>VLOOKUP(SUBSTITUTE(J1714,"'",""),Sheet1!L:M,2,FALSE)</f>
        <v>54820</v>
      </c>
    </row>
    <row r="1715" spans="1:13" ht="13.5" customHeight="1" x14ac:dyDescent="0.4">
      <c r="A1715" s="1">
        <v>45942</v>
      </c>
      <c r="B1715" t="s">
        <v>583</v>
      </c>
      <c r="C1715">
        <v>203.47</v>
      </c>
      <c r="D1715" s="2" t="s">
        <v>2251</v>
      </c>
      <c r="E1715" t="s">
        <v>583</v>
      </c>
      <c r="F1715" s="2" t="s">
        <v>585</v>
      </c>
      <c r="G1715" s="2" t="s">
        <v>35</v>
      </c>
      <c r="H1715">
        <v>94103</v>
      </c>
      <c r="I1715" t="s">
        <v>16</v>
      </c>
      <c r="J1715" t="s">
        <v>2252</v>
      </c>
      <c r="K1715" t="s">
        <v>126</v>
      </c>
      <c r="L1715" t="s">
        <v>4673</v>
      </c>
      <c r="M1715">
        <f>VLOOKUP(SUBSTITUTE(J1715,"'",""),Sheet1!L:M,2,FALSE)</f>
        <v>54820</v>
      </c>
    </row>
    <row r="1716" spans="1:13" ht="13.5" customHeight="1" x14ac:dyDescent="0.4">
      <c r="A1716" s="1">
        <v>45942</v>
      </c>
      <c r="B1716" t="s">
        <v>478</v>
      </c>
      <c r="C1716">
        <v>28.88</v>
      </c>
      <c r="D1716" s="2" t="s">
        <v>2253</v>
      </c>
      <c r="E1716" t="s">
        <v>480</v>
      </c>
      <c r="F1716" s="2" t="s">
        <v>481</v>
      </c>
      <c r="G1716" s="2" t="s">
        <v>35</v>
      </c>
      <c r="H1716">
        <v>94103</v>
      </c>
      <c r="I1716" t="s">
        <v>16</v>
      </c>
      <c r="J1716" t="s">
        <v>2254</v>
      </c>
      <c r="K1716" t="s">
        <v>483</v>
      </c>
      <c r="L1716" t="s">
        <v>4673</v>
      </c>
      <c r="M1716">
        <f>VLOOKUP(SUBSTITUTE(J1716,"'",""),Sheet1!L:M,2,FALSE)</f>
        <v>61130</v>
      </c>
    </row>
    <row r="1717" spans="1:13" ht="13.5" customHeight="1" x14ac:dyDescent="0.4">
      <c r="A1717" s="1">
        <v>45942</v>
      </c>
      <c r="B1717" t="s">
        <v>478</v>
      </c>
      <c r="C1717">
        <v>30.79</v>
      </c>
      <c r="D1717" s="2" t="s">
        <v>2255</v>
      </c>
      <c r="E1717" t="s">
        <v>480</v>
      </c>
      <c r="F1717" s="2" t="s">
        <v>481</v>
      </c>
      <c r="G1717" s="2" t="s">
        <v>35</v>
      </c>
      <c r="H1717">
        <v>94103</v>
      </c>
      <c r="I1717" t="s">
        <v>16</v>
      </c>
      <c r="J1717" t="s">
        <v>2256</v>
      </c>
      <c r="K1717" t="s">
        <v>483</v>
      </c>
      <c r="L1717" t="s">
        <v>4673</v>
      </c>
      <c r="M1717">
        <f>VLOOKUP(SUBSTITUTE(J1717,"'",""),Sheet1!L:M,2,FALSE)</f>
        <v>61130</v>
      </c>
    </row>
    <row r="1718" spans="1:13" ht="13.5" customHeight="1" x14ac:dyDescent="0.4">
      <c r="A1718" s="1">
        <v>45942</v>
      </c>
      <c r="B1718" t="s">
        <v>127</v>
      </c>
      <c r="C1718">
        <v>16.04</v>
      </c>
      <c r="D1718" s="2" t="s">
        <v>128</v>
      </c>
      <c r="E1718" t="s">
        <v>127</v>
      </c>
      <c r="F1718" t="s">
        <v>129</v>
      </c>
      <c r="G1718" s="2" t="s">
        <v>130</v>
      </c>
      <c r="H1718" t="s">
        <v>131</v>
      </c>
      <c r="I1718" t="s">
        <v>16</v>
      </c>
      <c r="J1718" t="s">
        <v>132</v>
      </c>
      <c r="K1718" t="s">
        <v>133</v>
      </c>
      <c r="L1718" t="s">
        <v>2047</v>
      </c>
      <c r="M1718">
        <f>VLOOKUP(SUBSTITUTE(J1718,"'",""),Sheet1!L:M,2,FALSE)</f>
        <v>64100</v>
      </c>
    </row>
    <row r="1719" spans="1:13" ht="13.5" customHeight="1" x14ac:dyDescent="0.4">
      <c r="A1719" s="1">
        <v>45942</v>
      </c>
      <c r="B1719" t="s">
        <v>478</v>
      </c>
      <c r="C1719">
        <v>40.51</v>
      </c>
      <c r="D1719" s="2" t="s">
        <v>2257</v>
      </c>
      <c r="E1719" t="s">
        <v>480</v>
      </c>
      <c r="F1719" s="2" t="s">
        <v>481</v>
      </c>
      <c r="G1719" s="2" t="s">
        <v>35</v>
      </c>
      <c r="H1719">
        <v>94103</v>
      </c>
      <c r="I1719" t="s">
        <v>16</v>
      </c>
      <c r="J1719" t="s">
        <v>2258</v>
      </c>
      <c r="K1719" t="s">
        <v>483</v>
      </c>
      <c r="L1719" t="s">
        <v>4673</v>
      </c>
      <c r="M1719">
        <f>VLOOKUP(SUBSTITUTE(J1719,"'",""),Sheet1!L:M,2,FALSE)</f>
        <v>61130</v>
      </c>
    </row>
    <row r="1720" spans="1:13" ht="13.5" customHeight="1" x14ac:dyDescent="0.4">
      <c r="A1720" s="1">
        <v>45942</v>
      </c>
      <c r="B1720" t="s">
        <v>136</v>
      </c>
      <c r="C1720">
        <v>318.61</v>
      </c>
      <c r="D1720" s="2" t="s">
        <v>137</v>
      </c>
      <c r="E1720" t="s">
        <v>136</v>
      </c>
      <c r="F1720" t="s">
        <v>138</v>
      </c>
      <c r="G1720" s="2" t="s">
        <v>41</v>
      </c>
      <c r="H1720">
        <v>10001</v>
      </c>
      <c r="I1720" t="s">
        <v>16</v>
      </c>
      <c r="J1720" t="s">
        <v>139</v>
      </c>
      <c r="K1720" t="s">
        <v>126</v>
      </c>
      <c r="L1720" t="s">
        <v>2047</v>
      </c>
      <c r="M1720">
        <f>VLOOKUP(SUBSTITUTE(J1720,"'",""),Sheet1!L:M,2,FALSE)</f>
        <v>61215</v>
      </c>
    </row>
    <row r="1721" spans="1:13" ht="13.5" customHeight="1" x14ac:dyDescent="0.4">
      <c r="A1721" s="1">
        <v>45942</v>
      </c>
      <c r="B1721" t="s">
        <v>2246</v>
      </c>
      <c r="C1721">
        <v>11.99</v>
      </c>
      <c r="D1721" s="2" t="s">
        <v>2247</v>
      </c>
      <c r="E1721" t="s">
        <v>2246</v>
      </c>
      <c r="F1721" t="s">
        <v>2248</v>
      </c>
      <c r="G1721" s="2" t="s">
        <v>2249</v>
      </c>
      <c r="H1721">
        <v>94025</v>
      </c>
      <c r="I1721" t="s">
        <v>16</v>
      </c>
      <c r="J1721" t="s">
        <v>2250</v>
      </c>
      <c r="K1721" t="s">
        <v>164</v>
      </c>
      <c r="L1721" t="s">
        <v>4673</v>
      </c>
      <c r="M1721">
        <f>VLOOKUP(SUBSTITUTE(J1721,"'",""),Sheet1!L:M,2,FALSE)</f>
        <v>54820</v>
      </c>
    </row>
    <row r="1722" spans="1:13" ht="13.5" customHeight="1" x14ac:dyDescent="0.4">
      <c r="A1722" s="1">
        <v>45943</v>
      </c>
      <c r="B1722" t="s">
        <v>2231</v>
      </c>
      <c r="C1722">
        <v>106.99</v>
      </c>
      <c r="D1722" s="2" t="s">
        <v>2232</v>
      </c>
      <c r="E1722" t="s">
        <v>2231</v>
      </c>
      <c r="F1722" s="2" t="s">
        <v>2233</v>
      </c>
      <c r="G1722" s="2" t="s">
        <v>130</v>
      </c>
      <c r="H1722" t="s">
        <v>2234</v>
      </c>
      <c r="I1722" t="s">
        <v>16</v>
      </c>
      <c r="J1722" t="s">
        <v>2235</v>
      </c>
      <c r="K1722" t="s">
        <v>18</v>
      </c>
      <c r="L1722" t="s">
        <v>4673</v>
      </c>
      <c r="M1722">
        <f>VLOOKUP(SUBSTITUTE(J1722,"'",""),Sheet1!L:M,2,FALSE)</f>
        <v>61100</v>
      </c>
    </row>
    <row r="1723" spans="1:13" ht="13.5" customHeight="1" x14ac:dyDescent="0.4">
      <c r="A1723" s="1">
        <v>45943</v>
      </c>
      <c r="B1723" t="s">
        <v>478</v>
      </c>
      <c r="C1723">
        <v>44.11</v>
      </c>
      <c r="D1723" s="2" t="s">
        <v>2238</v>
      </c>
      <c r="E1723" t="s">
        <v>480</v>
      </c>
      <c r="F1723" s="2" t="s">
        <v>481</v>
      </c>
      <c r="G1723" s="2" t="s">
        <v>35</v>
      </c>
      <c r="H1723">
        <v>94103</v>
      </c>
      <c r="I1723" t="s">
        <v>16</v>
      </c>
      <c r="J1723" t="s">
        <v>2239</v>
      </c>
      <c r="K1723" t="s">
        <v>483</v>
      </c>
      <c r="L1723" t="s">
        <v>4673</v>
      </c>
      <c r="M1723">
        <f>VLOOKUP(SUBSTITUTE(J1723,"'",""),Sheet1!L:M,2,FALSE)</f>
        <v>61130</v>
      </c>
    </row>
    <row r="1724" spans="1:13" ht="13.5" customHeight="1" x14ac:dyDescent="0.4">
      <c r="A1724" s="1">
        <v>45943</v>
      </c>
      <c r="B1724" t="s">
        <v>478</v>
      </c>
      <c r="C1724">
        <v>33.61</v>
      </c>
      <c r="D1724" s="2" t="s">
        <v>2236</v>
      </c>
      <c r="E1724" t="s">
        <v>480</v>
      </c>
      <c r="F1724" s="2" t="s">
        <v>481</v>
      </c>
      <c r="G1724" s="2" t="s">
        <v>35</v>
      </c>
      <c r="H1724">
        <v>94103</v>
      </c>
      <c r="I1724" t="s">
        <v>16</v>
      </c>
      <c r="J1724" t="s">
        <v>2237</v>
      </c>
      <c r="K1724" t="s">
        <v>483</v>
      </c>
      <c r="L1724" t="s">
        <v>4673</v>
      </c>
      <c r="M1724">
        <f>VLOOKUP(SUBSTITUTE(J1724,"'",""),Sheet1!L:M,2,FALSE)</f>
        <v>61130</v>
      </c>
    </row>
    <row r="1725" spans="1:13" ht="13.5" customHeight="1" x14ac:dyDescent="0.4">
      <c r="A1725" s="1">
        <v>45943</v>
      </c>
      <c r="B1725" t="s">
        <v>122</v>
      </c>
      <c r="C1725">
        <v>1764.46</v>
      </c>
      <c r="D1725" s="2" t="s">
        <v>123</v>
      </c>
      <c r="E1725" t="s">
        <v>122</v>
      </c>
      <c r="F1725" s="2" t="s">
        <v>124</v>
      </c>
      <c r="G1725" s="2" t="s">
        <v>41</v>
      </c>
      <c r="H1725">
        <v>10003</v>
      </c>
      <c r="I1725" t="s">
        <v>16</v>
      </c>
      <c r="J1725" t="s">
        <v>125</v>
      </c>
      <c r="K1725" t="s">
        <v>126</v>
      </c>
      <c r="L1725" t="s">
        <v>2047</v>
      </c>
      <c r="M1725">
        <f>VLOOKUP(SUBSTITUTE(J1725,"'",""),Sheet1!L:M,2,FALSE)</f>
        <v>61215</v>
      </c>
    </row>
    <row r="1726" spans="1:13" ht="13.5" customHeight="1" x14ac:dyDescent="0.4">
      <c r="A1726" s="1">
        <v>45943</v>
      </c>
      <c r="B1726" t="s">
        <v>2240</v>
      </c>
      <c r="C1726">
        <v>48.56</v>
      </c>
      <c r="D1726" s="2" t="s">
        <v>2241</v>
      </c>
      <c r="E1726" t="s">
        <v>2240</v>
      </c>
      <c r="F1726" t="s">
        <v>2242</v>
      </c>
      <c r="G1726" s="2" t="s">
        <v>41</v>
      </c>
      <c r="H1726">
        <v>10003</v>
      </c>
      <c r="I1726" t="s">
        <v>16</v>
      </c>
      <c r="J1726" t="s">
        <v>2243</v>
      </c>
      <c r="K1726" t="s">
        <v>1218</v>
      </c>
      <c r="L1726" t="s">
        <v>4673</v>
      </c>
      <c r="M1726">
        <f>VLOOKUP(SUBSTITUTE(J1726,"'",""),Sheet1!L:M,2,FALSE)</f>
        <v>54820</v>
      </c>
    </row>
    <row r="1727" spans="1:13" ht="13.5" customHeight="1" x14ac:dyDescent="0.4">
      <c r="A1727" s="1">
        <v>45943</v>
      </c>
      <c r="B1727" t="s">
        <v>2142</v>
      </c>
      <c r="C1727">
        <v>15.49</v>
      </c>
      <c r="D1727" s="2" t="s">
        <v>2229</v>
      </c>
      <c r="E1727" t="s">
        <v>2142</v>
      </c>
      <c r="F1727" t="s">
        <v>2144</v>
      </c>
      <c r="G1727" s="2" t="s">
        <v>41</v>
      </c>
      <c r="H1727">
        <v>10012</v>
      </c>
      <c r="I1727" t="s">
        <v>16</v>
      </c>
      <c r="J1727" t="s">
        <v>2230</v>
      </c>
      <c r="K1727" t="s">
        <v>1304</v>
      </c>
      <c r="L1727" t="s">
        <v>4673</v>
      </c>
      <c r="M1727">
        <f>VLOOKUP(SUBSTITUTE(J1727,"'",""),Sheet1!L:M,2,FALSE)</f>
        <v>54820</v>
      </c>
    </row>
    <row r="1728" spans="1:13" ht="13.5" customHeight="1" x14ac:dyDescent="0.4">
      <c r="A1728" s="1">
        <v>45943</v>
      </c>
      <c r="B1728" t="s">
        <v>119</v>
      </c>
      <c r="C1728">
        <v>9.99</v>
      </c>
      <c r="D1728" s="2" t="s">
        <v>120</v>
      </c>
      <c r="E1728" t="s">
        <v>119</v>
      </c>
      <c r="F1728" t="s">
        <v>13</v>
      </c>
      <c r="G1728" s="2" t="s">
        <v>14</v>
      </c>
      <c r="H1728" t="s">
        <v>15</v>
      </c>
      <c r="I1728" t="s">
        <v>16</v>
      </c>
      <c r="J1728" t="s">
        <v>121</v>
      </c>
      <c r="K1728" t="s">
        <v>18</v>
      </c>
      <c r="L1728" t="s">
        <v>2047</v>
      </c>
      <c r="M1728">
        <f>VLOOKUP(SUBSTITUTE(J1728,"'",""),Sheet1!L:M,2,FALSE)</f>
        <v>54820</v>
      </c>
    </row>
    <row r="1729" spans="1:13" ht="13.5" customHeight="1" x14ac:dyDescent="0.4">
      <c r="A1729" s="1">
        <v>45944</v>
      </c>
      <c r="B1729" t="s">
        <v>22</v>
      </c>
      <c r="C1729">
        <v>-2500</v>
      </c>
      <c r="D1729" t="s">
        <v>22</v>
      </c>
      <c r="E1729" t="s">
        <v>22</v>
      </c>
      <c r="J1729" t="s">
        <v>102</v>
      </c>
      <c r="L1729" t="s">
        <v>2047</v>
      </c>
      <c r="M1729" t="e">
        <f>VLOOKUP(SUBSTITUTE(J1729,"'",""),Sheet1!L:M,2,FALSE)</f>
        <v>#N/A</v>
      </c>
    </row>
    <row r="1730" spans="1:13" ht="13.5" customHeight="1" x14ac:dyDescent="0.4">
      <c r="A1730" s="1">
        <v>45944</v>
      </c>
      <c r="B1730" t="s">
        <v>22</v>
      </c>
      <c r="C1730">
        <v>-2500</v>
      </c>
      <c r="D1730" t="s">
        <v>22</v>
      </c>
      <c r="E1730" t="s">
        <v>22</v>
      </c>
      <c r="J1730" t="s">
        <v>2221</v>
      </c>
      <c r="L1730" t="s">
        <v>4673</v>
      </c>
      <c r="M1730" t="e">
        <f>VLOOKUP(SUBSTITUTE(J1730,"'",""),Sheet1!L:M,2,FALSE)</f>
        <v>#N/A</v>
      </c>
    </row>
    <row r="1731" spans="1:13" ht="13.5" customHeight="1" x14ac:dyDescent="0.4">
      <c r="A1731" s="1">
        <v>45944</v>
      </c>
      <c r="B1731" t="s">
        <v>2222</v>
      </c>
      <c r="C1731">
        <v>20.18</v>
      </c>
      <c r="D1731" s="2" t="s">
        <v>2223</v>
      </c>
      <c r="E1731" t="s">
        <v>2222</v>
      </c>
      <c r="F1731" s="2" t="s">
        <v>2224</v>
      </c>
      <c r="G1731" s="2" t="s">
        <v>35</v>
      </c>
      <c r="H1731">
        <v>94103</v>
      </c>
      <c r="I1731" t="s">
        <v>16</v>
      </c>
      <c r="J1731" t="s">
        <v>2225</v>
      </c>
      <c r="K1731" t="s">
        <v>164</v>
      </c>
      <c r="L1731" t="s">
        <v>4673</v>
      </c>
      <c r="M1731">
        <f>VLOOKUP(SUBSTITUTE(J1731,"'",""),Sheet1!L:M,2,FALSE)</f>
        <v>54820</v>
      </c>
    </row>
    <row r="1732" spans="1:13" ht="13.5" customHeight="1" x14ac:dyDescent="0.4">
      <c r="A1732" s="1">
        <v>45944</v>
      </c>
      <c r="B1732" t="s">
        <v>2217</v>
      </c>
      <c r="C1732">
        <v>50.67</v>
      </c>
      <c r="D1732" s="2" t="s">
        <v>2218</v>
      </c>
      <c r="E1732" t="s">
        <v>2217</v>
      </c>
      <c r="F1732" t="s">
        <v>2219</v>
      </c>
      <c r="G1732" s="2" t="s">
        <v>41</v>
      </c>
      <c r="H1732">
        <v>10013</v>
      </c>
      <c r="I1732" t="s">
        <v>16</v>
      </c>
      <c r="J1732" t="s">
        <v>2220</v>
      </c>
      <c r="K1732" t="s">
        <v>321</v>
      </c>
      <c r="L1732" t="s">
        <v>4673</v>
      </c>
      <c r="M1732">
        <f>VLOOKUP(SUBSTITUTE(J1732,"'",""),Sheet1!L:M,2,FALSE)</f>
        <v>54820</v>
      </c>
    </row>
    <row r="1733" spans="1:13" ht="13.5" customHeight="1" x14ac:dyDescent="0.4">
      <c r="A1733" s="1">
        <v>45944</v>
      </c>
      <c r="B1733" t="s">
        <v>106</v>
      </c>
      <c r="C1733">
        <v>95.63</v>
      </c>
      <c r="D1733" s="2" t="s">
        <v>107</v>
      </c>
      <c r="E1733" t="s">
        <v>106</v>
      </c>
      <c r="F1733" t="s">
        <v>108</v>
      </c>
      <c r="G1733" s="2" t="s">
        <v>41</v>
      </c>
      <c r="H1733">
        <v>10012</v>
      </c>
      <c r="I1733" t="s">
        <v>16</v>
      </c>
      <c r="J1733" t="s">
        <v>109</v>
      </c>
      <c r="K1733" t="s">
        <v>110</v>
      </c>
      <c r="L1733" t="s">
        <v>2047</v>
      </c>
      <c r="M1733">
        <f>VLOOKUP(SUBSTITUTE(J1733,"'",""),Sheet1!L:M,2,FALSE)</f>
        <v>67500</v>
      </c>
    </row>
    <row r="1734" spans="1:13" ht="13.5" customHeight="1" x14ac:dyDescent="0.4">
      <c r="A1734" s="1">
        <v>45944</v>
      </c>
      <c r="B1734" t="s">
        <v>111</v>
      </c>
      <c r="C1734">
        <v>190</v>
      </c>
      <c r="D1734" s="2" t="s">
        <v>112</v>
      </c>
      <c r="E1734" t="s">
        <v>111</v>
      </c>
      <c r="F1734" t="s">
        <v>113</v>
      </c>
      <c r="G1734" s="2" t="s">
        <v>41</v>
      </c>
      <c r="H1734" t="s">
        <v>114</v>
      </c>
      <c r="I1734" t="s">
        <v>16</v>
      </c>
      <c r="J1734" t="s">
        <v>115</v>
      </c>
      <c r="K1734" t="s">
        <v>116</v>
      </c>
      <c r="L1734" t="s">
        <v>2047</v>
      </c>
      <c r="M1734">
        <f>VLOOKUP(SUBSTITUTE(J1734,"'",""),Sheet1!L:M,2,FALSE)</f>
        <v>67500</v>
      </c>
    </row>
    <row r="1735" spans="1:13" ht="13.5" customHeight="1" x14ac:dyDescent="0.4">
      <c r="A1735" s="1">
        <v>45944</v>
      </c>
      <c r="B1735" t="s">
        <v>111</v>
      </c>
      <c r="C1735">
        <v>600</v>
      </c>
      <c r="D1735" s="2" t="s">
        <v>117</v>
      </c>
      <c r="E1735" t="s">
        <v>111</v>
      </c>
      <c r="F1735" t="s">
        <v>113</v>
      </c>
      <c r="G1735" s="2" t="s">
        <v>41</v>
      </c>
      <c r="H1735" t="s">
        <v>114</v>
      </c>
      <c r="I1735" t="s">
        <v>16</v>
      </c>
      <c r="J1735" t="s">
        <v>118</v>
      </c>
      <c r="K1735" t="s">
        <v>116</v>
      </c>
      <c r="L1735" t="s">
        <v>2047</v>
      </c>
      <c r="M1735">
        <f>VLOOKUP(SUBSTITUTE(J1735,"'",""),Sheet1!L:M,2,FALSE)</f>
        <v>67500</v>
      </c>
    </row>
    <row r="1736" spans="1:13" ht="13.5" customHeight="1" x14ac:dyDescent="0.4">
      <c r="A1736" s="1">
        <v>45944</v>
      </c>
      <c r="B1736" t="s">
        <v>2190</v>
      </c>
      <c r="C1736">
        <v>9.06</v>
      </c>
      <c r="D1736" s="2" t="s">
        <v>2215</v>
      </c>
      <c r="E1736" t="s">
        <v>2190</v>
      </c>
      <c r="F1736" t="s">
        <v>2192</v>
      </c>
      <c r="G1736" s="2" t="s">
        <v>41</v>
      </c>
      <c r="H1736">
        <v>10003</v>
      </c>
      <c r="I1736" t="s">
        <v>16</v>
      </c>
      <c r="J1736" t="s">
        <v>2216</v>
      </c>
      <c r="K1736" t="s">
        <v>305</v>
      </c>
      <c r="L1736" t="s">
        <v>4673</v>
      </c>
      <c r="M1736">
        <f>VLOOKUP(SUBSTITUTE(J1736,"'",""),Sheet1!L:M,2,FALSE)</f>
        <v>54820</v>
      </c>
    </row>
    <row r="1737" spans="1:13" ht="13.5" customHeight="1" x14ac:dyDescent="0.4">
      <c r="A1737" s="1">
        <v>45944</v>
      </c>
      <c r="B1737" t="s">
        <v>103</v>
      </c>
      <c r="C1737">
        <v>3.99</v>
      </c>
      <c r="D1737" s="2" t="s">
        <v>104</v>
      </c>
      <c r="E1737" t="s">
        <v>103</v>
      </c>
      <c r="F1737" t="s">
        <v>13</v>
      </c>
      <c r="G1737" s="2" t="s">
        <v>14</v>
      </c>
      <c r="H1737" t="s">
        <v>15</v>
      </c>
      <c r="I1737" t="s">
        <v>16</v>
      </c>
      <c r="J1737" t="s">
        <v>105</v>
      </c>
      <c r="K1737" t="s">
        <v>18</v>
      </c>
      <c r="L1737" t="s">
        <v>2047</v>
      </c>
      <c r="M1737">
        <f>VLOOKUP(SUBSTITUTE(J1737,"'",""),Sheet1!L:M,2,FALSE)</f>
        <v>54820</v>
      </c>
    </row>
    <row r="1738" spans="1:13" ht="13.5" customHeight="1" x14ac:dyDescent="0.4">
      <c r="A1738" s="1">
        <v>45944</v>
      </c>
      <c r="B1738" t="s">
        <v>140</v>
      </c>
      <c r="C1738">
        <v>67.650000000000006</v>
      </c>
      <c r="D1738" s="2" t="s">
        <v>2213</v>
      </c>
      <c r="E1738" t="s">
        <v>142</v>
      </c>
      <c r="F1738" t="s">
        <v>143</v>
      </c>
      <c r="G1738" s="2" t="s">
        <v>14</v>
      </c>
      <c r="H1738">
        <v>98109</v>
      </c>
      <c r="I1738" t="s">
        <v>16</v>
      </c>
      <c r="J1738" t="s">
        <v>2214</v>
      </c>
      <c r="K1738" t="s">
        <v>18</v>
      </c>
      <c r="L1738" t="s">
        <v>4673</v>
      </c>
      <c r="M1738">
        <f>VLOOKUP(SUBSTITUTE(J1738,"'",""),Sheet1!L:M,2,FALSE)</f>
        <v>54820</v>
      </c>
    </row>
    <row r="1739" spans="1:13" ht="13.5" customHeight="1" x14ac:dyDescent="0.4">
      <c r="A1739" s="1">
        <v>45944</v>
      </c>
      <c r="B1739" t="s">
        <v>91</v>
      </c>
      <c r="C1739">
        <v>199</v>
      </c>
      <c r="D1739" s="2" t="s">
        <v>92</v>
      </c>
      <c r="E1739" t="s">
        <v>91</v>
      </c>
      <c r="F1739" t="s">
        <v>93</v>
      </c>
      <c r="G1739" s="2" t="s">
        <v>94</v>
      </c>
      <c r="H1739">
        <v>94306</v>
      </c>
      <c r="I1739" t="s">
        <v>16</v>
      </c>
      <c r="J1739" t="s">
        <v>95</v>
      </c>
      <c r="K1739" t="s">
        <v>96</v>
      </c>
      <c r="L1739" t="s">
        <v>2047</v>
      </c>
      <c r="M1739">
        <f>VLOOKUP(SUBSTITUTE(J1739,"'",""),Sheet1!L:M,2,FALSE)</f>
        <v>64100</v>
      </c>
    </row>
    <row r="1740" spans="1:13" ht="13.5" customHeight="1" x14ac:dyDescent="0.4">
      <c r="A1740" s="1">
        <v>45944</v>
      </c>
      <c r="B1740" t="s">
        <v>83</v>
      </c>
      <c r="C1740">
        <v>109.47</v>
      </c>
      <c r="D1740" s="2" t="s">
        <v>84</v>
      </c>
      <c r="E1740" t="s">
        <v>85</v>
      </c>
      <c r="F1740" s="2" t="s">
        <v>86</v>
      </c>
      <c r="G1740" s="2" t="s">
        <v>87</v>
      </c>
      <c r="H1740" t="s">
        <v>88</v>
      </c>
      <c r="I1740" t="s">
        <v>16</v>
      </c>
      <c r="J1740" t="s">
        <v>89</v>
      </c>
      <c r="K1740" t="s">
        <v>90</v>
      </c>
      <c r="L1740" t="s">
        <v>2047</v>
      </c>
      <c r="M1740">
        <f>VLOOKUP(SUBSTITUTE(J1740,"'",""),Sheet1!L:M,2,FALSE)</f>
        <v>65700</v>
      </c>
    </row>
    <row r="1741" spans="1:13" ht="13.5" customHeight="1" x14ac:dyDescent="0.4">
      <c r="A1741" s="1">
        <v>45944</v>
      </c>
      <c r="B1741" t="s">
        <v>97</v>
      </c>
      <c r="C1741">
        <v>473.81</v>
      </c>
      <c r="D1741" s="2" t="s">
        <v>98</v>
      </c>
      <c r="E1741" t="s">
        <v>97</v>
      </c>
      <c r="F1741" s="2" t="s">
        <v>99</v>
      </c>
      <c r="G1741" s="2" t="s">
        <v>100</v>
      </c>
      <c r="H1741">
        <v>33160</v>
      </c>
      <c r="I1741" t="s">
        <v>16</v>
      </c>
      <c r="J1741" t="s">
        <v>101</v>
      </c>
      <c r="K1741" t="s">
        <v>96</v>
      </c>
      <c r="L1741" t="s">
        <v>2047</v>
      </c>
      <c r="M1741">
        <f>VLOOKUP(SUBSTITUTE(J1741,"'",""),Sheet1!L:M,2,FALSE)</f>
        <v>64100</v>
      </c>
    </row>
    <row r="1742" spans="1:13" ht="13.5" customHeight="1" x14ac:dyDescent="0.4">
      <c r="A1742" s="1">
        <v>45944</v>
      </c>
      <c r="B1742" t="s">
        <v>2226</v>
      </c>
      <c r="C1742">
        <v>126.9</v>
      </c>
      <c r="D1742" s="2" t="s">
        <v>2227</v>
      </c>
      <c r="E1742" t="s">
        <v>2226</v>
      </c>
      <c r="F1742" t="s">
        <v>2131</v>
      </c>
      <c r="G1742" s="2" t="s">
        <v>2132</v>
      </c>
      <c r="H1742">
        <v>95131</v>
      </c>
      <c r="I1742" t="s">
        <v>16</v>
      </c>
      <c r="J1742" t="s">
        <v>2228</v>
      </c>
      <c r="K1742" t="s">
        <v>133</v>
      </c>
      <c r="L1742" t="s">
        <v>4673</v>
      </c>
      <c r="M1742">
        <f>VLOOKUP(SUBSTITUTE(J1742,"'",""),Sheet1!L:M,2,FALSE)</f>
        <v>54820</v>
      </c>
    </row>
    <row r="1743" spans="1:13" ht="13.5" customHeight="1" x14ac:dyDescent="0.4">
      <c r="A1743" s="1">
        <v>45945</v>
      </c>
      <c r="B1743" t="s">
        <v>2204</v>
      </c>
      <c r="C1743">
        <v>103.54</v>
      </c>
      <c r="D1743" s="2" t="s">
        <v>2205</v>
      </c>
      <c r="E1743" t="s">
        <v>2204</v>
      </c>
      <c r="F1743" s="2" t="s">
        <v>2206</v>
      </c>
      <c r="G1743" s="2" t="s">
        <v>491</v>
      </c>
      <c r="H1743">
        <v>60602</v>
      </c>
      <c r="I1743" t="s">
        <v>16</v>
      </c>
      <c r="J1743" t="s">
        <v>2207</v>
      </c>
      <c r="K1743" t="s">
        <v>126</v>
      </c>
      <c r="L1743" t="s">
        <v>4673</v>
      </c>
      <c r="M1743">
        <f>VLOOKUP(SUBSTITUTE(J1743,"'",""),Sheet1!L:M,2,FALSE)</f>
        <v>54820</v>
      </c>
    </row>
    <row r="1744" spans="1:13" ht="13.5" customHeight="1" x14ac:dyDescent="0.4">
      <c r="A1744" s="1">
        <v>45945</v>
      </c>
      <c r="B1744" t="s">
        <v>2181</v>
      </c>
      <c r="C1744">
        <v>7.48</v>
      </c>
      <c r="D1744" s="2" t="s">
        <v>2202</v>
      </c>
      <c r="E1744" t="s">
        <v>2181</v>
      </c>
      <c r="F1744" s="2" t="s">
        <v>2183</v>
      </c>
      <c r="G1744" s="2" t="s">
        <v>1376</v>
      </c>
      <c r="H1744" t="s">
        <v>2184</v>
      </c>
      <c r="I1744" t="s">
        <v>16</v>
      </c>
      <c r="J1744" t="s">
        <v>2203</v>
      </c>
      <c r="K1744" t="s">
        <v>18</v>
      </c>
      <c r="L1744" t="s">
        <v>4673</v>
      </c>
      <c r="M1744">
        <f>VLOOKUP(SUBSTITUTE(J1744,"'",""),Sheet1!L:M,2,FALSE)</f>
        <v>54820</v>
      </c>
    </row>
    <row r="1745" spans="1:13" ht="13.5" customHeight="1" x14ac:dyDescent="0.4">
      <c r="A1745" s="1">
        <v>45945</v>
      </c>
      <c r="B1745" t="s">
        <v>2208</v>
      </c>
      <c r="C1745">
        <v>239</v>
      </c>
      <c r="D1745" s="2" t="s">
        <v>2209</v>
      </c>
      <c r="E1745" t="s">
        <v>2208</v>
      </c>
      <c r="F1745" t="s">
        <v>2210</v>
      </c>
      <c r="G1745" s="2" t="s">
        <v>2211</v>
      </c>
      <c r="H1745">
        <v>20260</v>
      </c>
      <c r="I1745" t="s">
        <v>16</v>
      </c>
      <c r="J1745" t="s">
        <v>2212</v>
      </c>
      <c r="K1745" t="s">
        <v>573</v>
      </c>
      <c r="L1745" t="s">
        <v>4673</v>
      </c>
      <c r="M1745">
        <f>VLOOKUP(SUBSTITUTE(J1745,"'",""),Sheet1!L:M,2,FALSE)</f>
        <v>65600</v>
      </c>
    </row>
    <row r="1746" spans="1:13" ht="13.5" customHeight="1" x14ac:dyDescent="0.4">
      <c r="A1746" s="1">
        <v>45945</v>
      </c>
      <c r="B1746" t="s">
        <v>78</v>
      </c>
      <c r="C1746">
        <v>10</v>
      </c>
      <c r="D1746" s="2" t="s">
        <v>79</v>
      </c>
      <c r="E1746" t="s">
        <v>78</v>
      </c>
      <c r="F1746" s="2" t="s">
        <v>80</v>
      </c>
      <c r="H1746">
        <v>2150</v>
      </c>
      <c r="I1746" t="s">
        <v>81</v>
      </c>
      <c r="J1746" t="s">
        <v>82</v>
      </c>
      <c r="K1746" t="s">
        <v>37</v>
      </c>
      <c r="L1746" t="s">
        <v>2047</v>
      </c>
      <c r="M1746">
        <f>VLOOKUP(SUBSTITUTE(J1746,"'",""),Sheet1!L:M,2,FALSE)</f>
        <v>64100</v>
      </c>
    </row>
    <row r="1747" spans="1:13" ht="13.5" customHeight="1" x14ac:dyDescent="0.4">
      <c r="A1747" s="1">
        <v>45945</v>
      </c>
      <c r="B1747" t="s">
        <v>140</v>
      </c>
      <c r="C1747">
        <v>46.82</v>
      </c>
      <c r="D1747" s="2" t="s">
        <v>2200</v>
      </c>
      <c r="E1747" t="s">
        <v>142</v>
      </c>
      <c r="F1747" t="s">
        <v>143</v>
      </c>
      <c r="G1747" s="2" t="s">
        <v>14</v>
      </c>
      <c r="H1747">
        <v>98109</v>
      </c>
      <c r="I1747" t="s">
        <v>16</v>
      </c>
      <c r="J1747" t="s">
        <v>2201</v>
      </c>
      <c r="K1747" t="s">
        <v>18</v>
      </c>
      <c r="L1747" t="s">
        <v>4673</v>
      </c>
      <c r="M1747">
        <f>VLOOKUP(SUBSTITUTE(J1747,"'",""),Sheet1!L:M,2,FALSE)</f>
        <v>54820</v>
      </c>
    </row>
    <row r="1748" spans="1:13" ht="13.5" customHeight="1" x14ac:dyDescent="0.4">
      <c r="A1748" s="1">
        <v>45945</v>
      </c>
      <c r="B1748" t="s">
        <v>75</v>
      </c>
      <c r="C1748">
        <v>9.15</v>
      </c>
      <c r="D1748" s="2" t="s">
        <v>76</v>
      </c>
      <c r="E1748" t="s">
        <v>75</v>
      </c>
      <c r="F1748" t="s">
        <v>29</v>
      </c>
      <c r="G1748" t="e">
        <f>-
NY</f>
        <v>#NAME?</v>
      </c>
      <c r="H1748">
        <v>11577</v>
      </c>
      <c r="I1748" t="s">
        <v>16</v>
      </c>
      <c r="J1748" t="s">
        <v>77</v>
      </c>
      <c r="K1748" t="s">
        <v>31</v>
      </c>
      <c r="L1748" t="s">
        <v>2047</v>
      </c>
      <c r="M1748">
        <f>VLOOKUP(SUBSTITUTE(J1748,"'",""),Sheet1!L:M,2,FALSE)</f>
        <v>61131</v>
      </c>
    </row>
    <row r="1749" spans="1:13" ht="13.5" customHeight="1" x14ac:dyDescent="0.4">
      <c r="A1749" s="1">
        <v>45946</v>
      </c>
      <c r="B1749" t="s">
        <v>2125</v>
      </c>
      <c r="C1749">
        <v>27.99</v>
      </c>
      <c r="D1749" s="2" t="s">
        <v>2194</v>
      </c>
      <c r="E1749" t="s">
        <v>2125</v>
      </c>
      <c r="F1749" t="s">
        <v>2127</v>
      </c>
      <c r="G1749" s="2" t="s">
        <v>41</v>
      </c>
      <c r="H1749">
        <v>10003</v>
      </c>
      <c r="I1749" t="s">
        <v>16</v>
      </c>
      <c r="J1749" t="s">
        <v>2195</v>
      </c>
      <c r="K1749" t="s">
        <v>37</v>
      </c>
      <c r="L1749" t="s">
        <v>4673</v>
      </c>
      <c r="M1749">
        <f>VLOOKUP(SUBSTITUTE(J1749,"'",""),Sheet1!L:M,2,FALSE)</f>
        <v>54820</v>
      </c>
    </row>
    <row r="1750" spans="1:13" ht="13.5" customHeight="1" x14ac:dyDescent="0.4">
      <c r="A1750" s="1">
        <v>45946</v>
      </c>
      <c r="B1750" t="s">
        <v>2190</v>
      </c>
      <c r="C1750">
        <v>6.99</v>
      </c>
      <c r="D1750" s="2" t="s">
        <v>2191</v>
      </c>
      <c r="E1750" t="s">
        <v>2190</v>
      </c>
      <c r="F1750" t="s">
        <v>2192</v>
      </c>
      <c r="G1750" s="2" t="s">
        <v>41</v>
      </c>
      <c r="H1750">
        <v>10003</v>
      </c>
      <c r="I1750" t="s">
        <v>16</v>
      </c>
      <c r="J1750" t="s">
        <v>2193</v>
      </c>
      <c r="K1750" t="s">
        <v>305</v>
      </c>
      <c r="L1750" t="s">
        <v>4673</v>
      </c>
      <c r="M1750">
        <f>VLOOKUP(SUBSTITUTE(J1750,"'",""),Sheet1!L:M,2,FALSE)</f>
        <v>54820</v>
      </c>
    </row>
    <row r="1751" spans="1:13" ht="13.5" customHeight="1" x14ac:dyDescent="0.4">
      <c r="A1751" s="1">
        <v>45946</v>
      </c>
      <c r="B1751" t="s">
        <v>583</v>
      </c>
      <c r="C1751">
        <v>87.98</v>
      </c>
      <c r="D1751" s="2" t="s">
        <v>2196</v>
      </c>
      <c r="E1751" t="s">
        <v>583</v>
      </c>
      <c r="F1751" s="2" t="s">
        <v>585</v>
      </c>
      <c r="G1751" s="2" t="s">
        <v>35</v>
      </c>
      <c r="H1751">
        <v>94103</v>
      </c>
      <c r="I1751" t="s">
        <v>16</v>
      </c>
      <c r="J1751" t="s">
        <v>2197</v>
      </c>
      <c r="K1751" t="s">
        <v>126</v>
      </c>
      <c r="L1751" t="s">
        <v>4673</v>
      </c>
      <c r="M1751">
        <f>VLOOKUP(SUBSTITUTE(J1751,"'",""),Sheet1!L:M,2,FALSE)</f>
        <v>54820</v>
      </c>
    </row>
    <row r="1752" spans="1:13" ht="13.5" customHeight="1" x14ac:dyDescent="0.4">
      <c r="A1752" s="1">
        <v>45946</v>
      </c>
      <c r="B1752" t="s">
        <v>68</v>
      </c>
      <c r="C1752">
        <v>1500</v>
      </c>
      <c r="D1752" s="2" t="s">
        <v>69</v>
      </c>
      <c r="E1752" t="s">
        <v>68</v>
      </c>
      <c r="F1752" t="s">
        <v>70</v>
      </c>
      <c r="G1752" s="2" t="s">
        <v>71</v>
      </c>
      <c r="H1752" t="s">
        <v>72</v>
      </c>
      <c r="I1752" t="s">
        <v>73</v>
      </c>
      <c r="J1752" t="s">
        <v>74</v>
      </c>
      <c r="K1752" t="s">
        <v>18</v>
      </c>
      <c r="L1752" t="s">
        <v>2047</v>
      </c>
      <c r="M1752" t="e">
        <f>VLOOKUP(SUBSTITUTE(J1752,"'",""),Sheet1!L:M,2,FALSE)</f>
        <v>#N/A</v>
      </c>
    </row>
    <row r="1753" spans="1:13" ht="13.5" customHeight="1" x14ac:dyDescent="0.4">
      <c r="A1753" s="1">
        <v>45946</v>
      </c>
      <c r="B1753" t="s">
        <v>2085</v>
      </c>
      <c r="C1753">
        <v>32.07</v>
      </c>
      <c r="D1753" s="2" t="s">
        <v>2198</v>
      </c>
      <c r="E1753" t="s">
        <v>2085</v>
      </c>
      <c r="F1753" t="s">
        <v>2087</v>
      </c>
      <c r="G1753" s="2" t="s">
        <v>41</v>
      </c>
      <c r="H1753">
        <v>10001</v>
      </c>
      <c r="I1753" t="s">
        <v>16</v>
      </c>
      <c r="J1753" t="s">
        <v>2199</v>
      </c>
      <c r="K1753" t="s">
        <v>1218</v>
      </c>
      <c r="L1753" t="s">
        <v>4673</v>
      </c>
      <c r="M1753">
        <f>VLOOKUP(SUBSTITUTE(J1753,"'",""),Sheet1!L:M,2,FALSE)</f>
        <v>54820</v>
      </c>
    </row>
    <row r="1754" spans="1:13" ht="13.5" customHeight="1" x14ac:dyDescent="0.4">
      <c r="A1754" s="1">
        <v>45946</v>
      </c>
      <c r="B1754" t="s">
        <v>2181</v>
      </c>
      <c r="C1754">
        <v>28.82</v>
      </c>
      <c r="D1754" s="2" t="s">
        <v>2182</v>
      </c>
      <c r="E1754" t="s">
        <v>2181</v>
      </c>
      <c r="F1754" s="2" t="s">
        <v>2183</v>
      </c>
      <c r="G1754" s="2" t="s">
        <v>1376</v>
      </c>
      <c r="H1754" t="s">
        <v>2184</v>
      </c>
      <c r="I1754" t="s">
        <v>16</v>
      </c>
      <c r="J1754" t="s">
        <v>2185</v>
      </c>
      <c r="K1754" t="s">
        <v>18</v>
      </c>
      <c r="L1754" t="s">
        <v>4673</v>
      </c>
      <c r="M1754">
        <f>VLOOKUP(SUBSTITUTE(J1754,"'",""),Sheet1!L:M,2,FALSE)</f>
        <v>54820</v>
      </c>
    </row>
    <row r="1755" spans="1:13" ht="13.5" customHeight="1" x14ac:dyDescent="0.4">
      <c r="A1755" s="1">
        <v>45946</v>
      </c>
      <c r="B1755" t="s">
        <v>2186</v>
      </c>
      <c r="C1755">
        <v>350</v>
      </c>
      <c r="D1755" s="2" t="s">
        <v>2187</v>
      </c>
      <c r="E1755" t="s">
        <v>2186</v>
      </c>
      <c r="F1755" t="s">
        <v>2188</v>
      </c>
      <c r="G1755" s="2" t="s">
        <v>41</v>
      </c>
      <c r="H1755">
        <v>10002</v>
      </c>
      <c r="I1755" t="s">
        <v>16</v>
      </c>
      <c r="J1755" t="s">
        <v>2189</v>
      </c>
      <c r="K1755" t="s">
        <v>126</v>
      </c>
      <c r="L1755" t="s">
        <v>4673</v>
      </c>
      <c r="M1755">
        <f>VLOOKUP(SUBSTITUTE(J1755,"'",""),Sheet1!L:M,2,FALSE)</f>
        <v>61215</v>
      </c>
    </row>
    <row r="1756" spans="1:13" ht="13.5" customHeight="1" x14ac:dyDescent="0.4">
      <c r="A1756" s="1">
        <v>45947</v>
      </c>
      <c r="B1756" t="s">
        <v>22</v>
      </c>
      <c r="C1756">
        <v>-2500</v>
      </c>
      <c r="D1756" t="s">
        <v>22</v>
      </c>
      <c r="E1756" t="s">
        <v>22</v>
      </c>
      <c r="J1756" t="s">
        <v>64</v>
      </c>
      <c r="L1756" t="s">
        <v>2047</v>
      </c>
      <c r="M1756" t="e">
        <f>VLOOKUP(SUBSTITUTE(J1756,"'",""),Sheet1!L:M,2,FALSE)</f>
        <v>#N/A</v>
      </c>
    </row>
    <row r="1757" spans="1:13" ht="13.5" customHeight="1" x14ac:dyDescent="0.4">
      <c r="A1757" s="1">
        <v>45947</v>
      </c>
      <c r="B1757" t="s">
        <v>65</v>
      </c>
      <c r="C1757">
        <v>5.99</v>
      </c>
      <c r="D1757" s="2" t="s">
        <v>66</v>
      </c>
      <c r="E1757" t="s">
        <v>65</v>
      </c>
      <c r="F1757" t="s">
        <v>13</v>
      </c>
      <c r="G1757" s="2" t="s">
        <v>14</v>
      </c>
      <c r="H1757" t="s">
        <v>15</v>
      </c>
      <c r="I1757" t="s">
        <v>16</v>
      </c>
      <c r="J1757" t="s">
        <v>67</v>
      </c>
      <c r="K1757" t="s">
        <v>18</v>
      </c>
      <c r="L1757" t="s">
        <v>2047</v>
      </c>
      <c r="M1757">
        <f>VLOOKUP(SUBSTITUTE(J1757,"'",""),Sheet1!L:M,2,FALSE)</f>
        <v>54820</v>
      </c>
    </row>
    <row r="1758" spans="1:13" ht="13.5" customHeight="1" x14ac:dyDescent="0.4">
      <c r="A1758" s="1">
        <v>45947</v>
      </c>
      <c r="B1758" t="s">
        <v>2062</v>
      </c>
      <c r="C1758">
        <v>127.5</v>
      </c>
      <c r="D1758" s="2" t="s">
        <v>2179</v>
      </c>
      <c r="E1758" t="s">
        <v>2062</v>
      </c>
      <c r="F1758" t="s">
        <v>2064</v>
      </c>
      <c r="G1758" s="2" t="s">
        <v>41</v>
      </c>
      <c r="H1758">
        <v>10018</v>
      </c>
      <c r="I1758" t="s">
        <v>16</v>
      </c>
      <c r="J1758" t="s">
        <v>2180</v>
      </c>
      <c r="K1758" t="s">
        <v>532</v>
      </c>
      <c r="L1758" t="s">
        <v>4673</v>
      </c>
      <c r="M1758">
        <f>VLOOKUP(SUBSTITUTE(J1758,"'",""),Sheet1!L:M,2,FALSE)</f>
        <v>54820</v>
      </c>
    </row>
    <row r="1759" spans="1:13" ht="13.5" customHeight="1" x14ac:dyDescent="0.4">
      <c r="A1759" s="1">
        <v>45947</v>
      </c>
      <c r="B1759" t="s">
        <v>478</v>
      </c>
      <c r="C1759">
        <v>34.57</v>
      </c>
      <c r="D1759" s="2" t="s">
        <v>2177</v>
      </c>
      <c r="E1759" t="s">
        <v>480</v>
      </c>
      <c r="F1759" s="2" t="s">
        <v>481</v>
      </c>
      <c r="G1759" s="2" t="s">
        <v>35</v>
      </c>
      <c r="H1759">
        <v>94103</v>
      </c>
      <c r="I1759" t="s">
        <v>16</v>
      </c>
      <c r="J1759" t="s">
        <v>2178</v>
      </c>
      <c r="K1759" t="s">
        <v>483</v>
      </c>
      <c r="L1759" t="s">
        <v>4673</v>
      </c>
      <c r="M1759">
        <f>VLOOKUP(SUBSTITUTE(J1759,"'",""),Sheet1!L:M,2,FALSE)</f>
        <v>61130</v>
      </c>
    </row>
    <row r="1760" spans="1:13" ht="13.5" customHeight="1" x14ac:dyDescent="0.4">
      <c r="A1760" s="1">
        <v>45947</v>
      </c>
      <c r="B1760" t="s">
        <v>2171</v>
      </c>
      <c r="C1760">
        <v>21.14</v>
      </c>
      <c r="D1760" s="2" t="s">
        <v>2172</v>
      </c>
      <c r="E1760" t="s">
        <v>2171</v>
      </c>
      <c r="F1760" t="s">
        <v>2173</v>
      </c>
      <c r="G1760" s="2" t="s">
        <v>41</v>
      </c>
      <c r="H1760">
        <v>10002</v>
      </c>
      <c r="I1760" t="s">
        <v>16</v>
      </c>
      <c r="J1760" t="s">
        <v>2174</v>
      </c>
      <c r="K1760" t="s">
        <v>305</v>
      </c>
      <c r="L1760" t="s">
        <v>4673</v>
      </c>
      <c r="M1760">
        <f>VLOOKUP(SUBSTITUTE(J1760,"'",""),Sheet1!L:M,2,FALSE)</f>
        <v>54820</v>
      </c>
    </row>
    <row r="1761" spans="1:13" ht="13.5" customHeight="1" x14ac:dyDescent="0.4">
      <c r="A1761" s="1">
        <v>45947</v>
      </c>
      <c r="B1761" t="s">
        <v>583</v>
      </c>
      <c r="C1761">
        <v>69.58</v>
      </c>
      <c r="D1761" s="2" t="s">
        <v>2175</v>
      </c>
      <c r="E1761" t="s">
        <v>583</v>
      </c>
      <c r="F1761" s="2" t="s">
        <v>585</v>
      </c>
      <c r="G1761" s="2" t="s">
        <v>35</v>
      </c>
      <c r="H1761">
        <v>94103</v>
      </c>
      <c r="I1761" t="s">
        <v>16</v>
      </c>
      <c r="J1761" t="s">
        <v>2176</v>
      </c>
      <c r="K1761" t="s">
        <v>126</v>
      </c>
      <c r="L1761" t="s">
        <v>4673</v>
      </c>
      <c r="M1761">
        <f>VLOOKUP(SUBSTITUTE(J1761,"'",""),Sheet1!L:M,2,FALSE)</f>
        <v>54820</v>
      </c>
    </row>
    <row r="1762" spans="1:13" ht="13.5" customHeight="1" x14ac:dyDescent="0.4">
      <c r="A1762" s="1">
        <v>45947</v>
      </c>
      <c r="B1762" t="s">
        <v>2168</v>
      </c>
      <c r="C1762">
        <v>7.25</v>
      </c>
      <c r="D1762" s="2" t="s">
        <v>2169</v>
      </c>
      <c r="E1762" t="s">
        <v>2168</v>
      </c>
      <c r="F1762" t="s">
        <v>2096</v>
      </c>
      <c r="G1762" s="2" t="s">
        <v>2097</v>
      </c>
      <c r="H1762">
        <v>11369</v>
      </c>
      <c r="I1762" t="s">
        <v>16</v>
      </c>
      <c r="J1762" t="s">
        <v>2170</v>
      </c>
      <c r="K1762" t="s">
        <v>1218</v>
      </c>
      <c r="L1762" t="s">
        <v>4673</v>
      </c>
      <c r="M1762">
        <f>VLOOKUP(SUBSTITUTE(J1762,"'",""),Sheet1!L:M,2,FALSE)</f>
        <v>54820</v>
      </c>
    </row>
    <row r="1763" spans="1:13" ht="13.5" customHeight="1" x14ac:dyDescent="0.4">
      <c r="A1763" s="1">
        <v>45947</v>
      </c>
      <c r="B1763" t="s">
        <v>2162</v>
      </c>
      <c r="C1763">
        <v>66.290000000000006</v>
      </c>
      <c r="D1763" s="2" t="s">
        <v>2163</v>
      </c>
      <c r="E1763" t="s">
        <v>2162</v>
      </c>
      <c r="F1763" t="s">
        <v>2096</v>
      </c>
      <c r="G1763" s="2" t="s">
        <v>2097</v>
      </c>
      <c r="H1763">
        <v>11369</v>
      </c>
      <c r="I1763" t="s">
        <v>16</v>
      </c>
      <c r="J1763" t="s">
        <v>2164</v>
      </c>
      <c r="K1763" t="s">
        <v>126</v>
      </c>
      <c r="L1763" t="s">
        <v>4673</v>
      </c>
      <c r="M1763">
        <f>VLOOKUP(SUBSTITUTE(J1763,"'",""),Sheet1!L:M,2,FALSE)</f>
        <v>54820</v>
      </c>
    </row>
    <row r="1764" spans="1:13" ht="13.5" customHeight="1" x14ac:dyDescent="0.4">
      <c r="A1764" s="1">
        <v>45947</v>
      </c>
      <c r="B1764" t="s">
        <v>2165</v>
      </c>
      <c r="C1764">
        <v>34.5</v>
      </c>
      <c r="D1764" s="2" t="s">
        <v>2166</v>
      </c>
      <c r="E1764" t="s">
        <v>2165</v>
      </c>
      <c r="F1764" t="s">
        <v>2096</v>
      </c>
      <c r="G1764" s="2" t="s">
        <v>2097</v>
      </c>
      <c r="H1764">
        <v>11369</v>
      </c>
      <c r="I1764" t="s">
        <v>16</v>
      </c>
      <c r="J1764" t="s">
        <v>2167</v>
      </c>
      <c r="K1764" t="s">
        <v>1218</v>
      </c>
      <c r="L1764" t="s">
        <v>4673</v>
      </c>
      <c r="M1764">
        <f>VLOOKUP(SUBSTITUTE(J1764,"'",""),Sheet1!L:M,2,FALSE)</f>
        <v>54820</v>
      </c>
    </row>
    <row r="1765" spans="1:13" ht="13.5" customHeight="1" x14ac:dyDescent="0.4">
      <c r="A1765" s="1">
        <v>45947</v>
      </c>
      <c r="B1765" t="s">
        <v>27</v>
      </c>
      <c r="C1765">
        <v>9.15</v>
      </c>
      <c r="D1765" s="2" t="s">
        <v>62</v>
      </c>
      <c r="E1765" t="s">
        <v>27</v>
      </c>
      <c r="F1765" t="s">
        <v>29</v>
      </c>
      <c r="G1765" t="e">
        <f>-
NY</f>
        <v>#NAME?</v>
      </c>
      <c r="H1765">
        <v>11577</v>
      </c>
      <c r="I1765" t="s">
        <v>16</v>
      </c>
      <c r="J1765" t="s">
        <v>63</v>
      </c>
      <c r="K1765" t="s">
        <v>31</v>
      </c>
      <c r="L1765" t="s">
        <v>2047</v>
      </c>
      <c r="M1765">
        <f>VLOOKUP(SUBSTITUTE(J1765,"'",""),Sheet1!L:M,2,FALSE)</f>
        <v>61131</v>
      </c>
    </row>
    <row r="1766" spans="1:13" ht="13.5" customHeight="1" x14ac:dyDescent="0.4">
      <c r="A1766" s="1">
        <v>45947</v>
      </c>
      <c r="B1766" t="s">
        <v>1300</v>
      </c>
      <c r="C1766">
        <v>4.2699999999999996</v>
      </c>
      <c r="D1766" s="2" t="s">
        <v>2152</v>
      </c>
      <c r="E1766" t="s">
        <v>1300</v>
      </c>
      <c r="F1766" t="s">
        <v>1302</v>
      </c>
      <c r="G1766" s="2" t="s">
        <v>41</v>
      </c>
      <c r="H1766">
        <v>10003</v>
      </c>
      <c r="I1766" t="s">
        <v>16</v>
      </c>
      <c r="J1766" t="s">
        <v>2153</v>
      </c>
      <c r="K1766" t="s">
        <v>1304</v>
      </c>
      <c r="L1766" t="s">
        <v>4673</v>
      </c>
      <c r="M1766">
        <f>VLOOKUP(SUBSTITUTE(J1766,"'",""),Sheet1!L:M,2,FALSE)</f>
        <v>54820</v>
      </c>
    </row>
    <row r="1767" spans="1:13" ht="13.5" customHeight="1" x14ac:dyDescent="0.4">
      <c r="A1767" s="1">
        <v>45947</v>
      </c>
      <c r="B1767" t="s">
        <v>2142</v>
      </c>
      <c r="C1767">
        <v>11.75</v>
      </c>
      <c r="D1767" s="2" t="s">
        <v>2143</v>
      </c>
      <c r="E1767" t="s">
        <v>2142</v>
      </c>
      <c r="F1767" t="s">
        <v>2144</v>
      </c>
      <c r="G1767" s="2" t="s">
        <v>41</v>
      </c>
      <c r="H1767">
        <v>10012</v>
      </c>
      <c r="I1767" t="s">
        <v>16</v>
      </c>
      <c r="J1767" t="s">
        <v>2145</v>
      </c>
      <c r="K1767" t="s">
        <v>1304</v>
      </c>
      <c r="L1767" t="s">
        <v>4673</v>
      </c>
      <c r="M1767">
        <f>VLOOKUP(SUBSTITUTE(J1767,"'",""),Sheet1!L:M,2,FALSE)</f>
        <v>54820</v>
      </c>
    </row>
    <row r="1768" spans="1:13" ht="13.5" customHeight="1" x14ac:dyDescent="0.4">
      <c r="A1768" s="1">
        <v>45947</v>
      </c>
      <c r="B1768" t="s">
        <v>2146</v>
      </c>
      <c r="C1768">
        <v>41.72</v>
      </c>
      <c r="D1768" s="2" t="s">
        <v>2147</v>
      </c>
      <c r="E1768" t="s">
        <v>2146</v>
      </c>
      <c r="F1768" t="s">
        <v>2148</v>
      </c>
      <c r="G1768" s="2" t="s">
        <v>2149</v>
      </c>
      <c r="H1768" s="3" t="s">
        <v>2150</v>
      </c>
      <c r="I1768" t="s">
        <v>16</v>
      </c>
      <c r="J1768" t="s">
        <v>2151</v>
      </c>
      <c r="K1768" t="s">
        <v>1904</v>
      </c>
      <c r="L1768" t="s">
        <v>4673</v>
      </c>
      <c r="M1768">
        <f>VLOOKUP(SUBSTITUTE(J1768,"'",""),Sheet1!L:M,2,FALSE)</f>
        <v>67500</v>
      </c>
    </row>
    <row r="1769" spans="1:13" ht="13.5" customHeight="1" x14ac:dyDescent="0.4">
      <c r="A1769" s="1">
        <v>45947</v>
      </c>
      <c r="B1769" t="s">
        <v>2154</v>
      </c>
      <c r="C1769">
        <v>13.04</v>
      </c>
      <c r="D1769" s="2" t="s">
        <v>2155</v>
      </c>
      <c r="E1769" t="s">
        <v>2154</v>
      </c>
      <c r="F1769" t="s">
        <v>2156</v>
      </c>
      <c r="G1769" s="2" t="s">
        <v>41</v>
      </c>
      <c r="H1769">
        <v>10003</v>
      </c>
      <c r="I1769" t="s">
        <v>16</v>
      </c>
      <c r="J1769" t="s">
        <v>2157</v>
      </c>
      <c r="K1769" t="s">
        <v>1218</v>
      </c>
      <c r="L1769" t="s">
        <v>4673</v>
      </c>
      <c r="M1769">
        <f>VLOOKUP(SUBSTITUTE(J1769,"'",""),Sheet1!L:M,2,FALSE)</f>
        <v>54820</v>
      </c>
    </row>
    <row r="1770" spans="1:13" ht="13.5" customHeight="1" x14ac:dyDescent="0.4">
      <c r="A1770" s="1">
        <v>45947</v>
      </c>
      <c r="B1770" t="s">
        <v>2158</v>
      </c>
      <c r="C1770">
        <v>200</v>
      </c>
      <c r="D1770" s="2" t="s">
        <v>2159</v>
      </c>
      <c r="E1770" t="s">
        <v>2158</v>
      </c>
      <c r="F1770" t="s">
        <v>2160</v>
      </c>
      <c r="G1770" s="2" t="s">
        <v>41</v>
      </c>
      <c r="H1770">
        <v>10017</v>
      </c>
      <c r="I1770" t="s">
        <v>16</v>
      </c>
      <c r="J1770" t="s">
        <v>2161</v>
      </c>
      <c r="K1770" t="s">
        <v>116</v>
      </c>
      <c r="L1770" t="s">
        <v>4673</v>
      </c>
      <c r="M1770">
        <f>VLOOKUP(SUBSTITUTE(J1770,"'",""),Sheet1!L:M,2,FALSE)</f>
        <v>54820</v>
      </c>
    </row>
    <row r="1771" spans="1:13" ht="13.5" customHeight="1" x14ac:dyDescent="0.4">
      <c r="A1771" s="1">
        <v>45948</v>
      </c>
      <c r="B1771" t="s">
        <v>478</v>
      </c>
      <c r="C1771">
        <v>125.51</v>
      </c>
      <c r="D1771" s="2" t="s">
        <v>2140</v>
      </c>
      <c r="E1771" t="s">
        <v>480</v>
      </c>
      <c r="F1771" s="2" t="s">
        <v>481</v>
      </c>
      <c r="G1771" s="2" t="s">
        <v>35</v>
      </c>
      <c r="H1771">
        <v>94103</v>
      </c>
      <c r="I1771" t="s">
        <v>16</v>
      </c>
      <c r="J1771" t="s">
        <v>2141</v>
      </c>
      <c r="K1771" t="s">
        <v>483</v>
      </c>
      <c r="L1771" t="s">
        <v>4673</v>
      </c>
      <c r="M1771">
        <f>VLOOKUP(SUBSTITUTE(J1771,"'",""),Sheet1!L:M,2,FALSE)</f>
        <v>61130</v>
      </c>
    </row>
    <row r="1772" spans="1:13" ht="13.5" customHeight="1" x14ac:dyDescent="0.4">
      <c r="A1772" s="1">
        <v>45949</v>
      </c>
      <c r="B1772" t="s">
        <v>57</v>
      </c>
      <c r="C1772">
        <v>65.42</v>
      </c>
      <c r="D1772" s="2" t="s">
        <v>58</v>
      </c>
      <c r="E1772" t="s">
        <v>57</v>
      </c>
      <c r="F1772" t="s">
        <v>59</v>
      </c>
      <c r="G1772" s="2" t="s">
        <v>47</v>
      </c>
      <c r="H1772">
        <v>12866</v>
      </c>
      <c r="I1772" t="s">
        <v>16</v>
      </c>
      <c r="J1772" t="s">
        <v>60</v>
      </c>
      <c r="K1772" t="s">
        <v>61</v>
      </c>
      <c r="L1772" t="s">
        <v>2047</v>
      </c>
      <c r="M1772">
        <f>VLOOKUP(SUBSTITUTE(J1772,"'",""),Sheet1!L:M,2,FALSE)</f>
        <v>63100</v>
      </c>
    </row>
    <row r="1773" spans="1:13" ht="13.5" customHeight="1" x14ac:dyDescent="0.4">
      <c r="A1773" s="1">
        <v>45949</v>
      </c>
      <c r="B1773" t="s">
        <v>51</v>
      </c>
      <c r="C1773">
        <v>86</v>
      </c>
      <c r="D1773" s="2" t="s">
        <v>52</v>
      </c>
      <c r="E1773" t="s">
        <v>51</v>
      </c>
      <c r="F1773" t="s">
        <v>53</v>
      </c>
      <c r="G1773" t="s">
        <v>54</v>
      </c>
      <c r="H1773">
        <v>128</v>
      </c>
      <c r="I1773" t="s">
        <v>16</v>
      </c>
      <c r="J1773" t="s">
        <v>55</v>
      </c>
      <c r="K1773" t="s">
        <v>56</v>
      </c>
      <c r="L1773" t="s">
        <v>2047</v>
      </c>
      <c r="M1773">
        <f>VLOOKUP(SUBSTITUTE(J1773,"'",""),Sheet1!L:M,2,FALSE)</f>
        <v>54820</v>
      </c>
    </row>
    <row r="1774" spans="1:13" ht="13.5" customHeight="1" x14ac:dyDescent="0.4">
      <c r="A1774" s="1">
        <v>45949</v>
      </c>
      <c r="B1774" t="s">
        <v>2136</v>
      </c>
      <c r="C1774">
        <v>71.61</v>
      </c>
      <c r="D1774" s="2" t="s">
        <v>2137</v>
      </c>
      <c r="E1774" t="s">
        <v>2136</v>
      </c>
      <c r="F1774" t="s">
        <v>2138</v>
      </c>
      <c r="G1774" s="2" t="s">
        <v>2106</v>
      </c>
      <c r="H1774">
        <v>74112</v>
      </c>
      <c r="I1774" t="s">
        <v>16</v>
      </c>
      <c r="J1774" t="s">
        <v>2139</v>
      </c>
      <c r="K1774" t="s">
        <v>174</v>
      </c>
      <c r="L1774" t="s">
        <v>4673</v>
      </c>
      <c r="M1774">
        <f>VLOOKUP(SUBSTITUTE(J1774,"'",""),Sheet1!L:M,2,FALSE)</f>
        <v>54820</v>
      </c>
    </row>
    <row r="1775" spans="1:13" ht="13.5" customHeight="1" x14ac:dyDescent="0.4">
      <c r="A1775" s="1">
        <v>45949</v>
      </c>
      <c r="B1775" t="s">
        <v>140</v>
      </c>
      <c r="C1775">
        <v>5.39</v>
      </c>
      <c r="D1775" s="2" t="s">
        <v>2134</v>
      </c>
      <c r="E1775" t="s">
        <v>142</v>
      </c>
      <c r="F1775" t="s">
        <v>143</v>
      </c>
      <c r="G1775" s="2" t="s">
        <v>14</v>
      </c>
      <c r="H1775">
        <v>98109</v>
      </c>
      <c r="I1775" t="s">
        <v>16</v>
      </c>
      <c r="J1775" t="s">
        <v>2135</v>
      </c>
      <c r="K1775" t="s">
        <v>18</v>
      </c>
      <c r="L1775" t="s">
        <v>4673</v>
      </c>
      <c r="M1775">
        <f>VLOOKUP(SUBSTITUTE(J1775,"'",""),Sheet1!L:M,2,FALSE)</f>
        <v>54820</v>
      </c>
    </row>
    <row r="1776" spans="1:13" ht="13.5" customHeight="1" x14ac:dyDescent="0.4">
      <c r="A1776" s="1">
        <v>45950</v>
      </c>
      <c r="B1776" t="s">
        <v>2121</v>
      </c>
      <c r="C1776">
        <v>49</v>
      </c>
      <c r="D1776" s="2" t="s">
        <v>2122</v>
      </c>
      <c r="E1776" t="s">
        <v>2121</v>
      </c>
      <c r="F1776" t="s">
        <v>2123</v>
      </c>
      <c r="G1776" s="2" t="s">
        <v>1376</v>
      </c>
      <c r="H1776">
        <v>78717</v>
      </c>
      <c r="I1776" t="s">
        <v>16</v>
      </c>
      <c r="J1776" t="s">
        <v>2124</v>
      </c>
      <c r="K1776" t="s">
        <v>188</v>
      </c>
      <c r="L1776" t="s">
        <v>4673</v>
      </c>
      <c r="M1776">
        <f>VLOOKUP(SUBSTITUTE(J1776,"'",""),Sheet1!L:M,2,FALSE)</f>
        <v>54820</v>
      </c>
    </row>
    <row r="1777" spans="1:13" ht="13.5" customHeight="1" x14ac:dyDescent="0.4">
      <c r="A1777" s="1">
        <v>45950</v>
      </c>
      <c r="B1777" t="s">
        <v>2125</v>
      </c>
      <c r="C1777">
        <v>13.9</v>
      </c>
      <c r="D1777" s="2" t="s">
        <v>2126</v>
      </c>
      <c r="E1777" t="s">
        <v>2125</v>
      </c>
      <c r="F1777" t="s">
        <v>2127</v>
      </c>
      <c r="G1777" s="2" t="s">
        <v>41</v>
      </c>
      <c r="H1777">
        <v>10003</v>
      </c>
      <c r="I1777" t="s">
        <v>16</v>
      </c>
      <c r="J1777" t="s">
        <v>2128</v>
      </c>
      <c r="K1777" t="s">
        <v>37</v>
      </c>
      <c r="L1777" t="s">
        <v>4673</v>
      </c>
      <c r="M1777">
        <f>VLOOKUP(SUBSTITUTE(J1777,"'",""),Sheet1!L:M,2,FALSE)</f>
        <v>54820</v>
      </c>
    </row>
    <row r="1778" spans="1:13" ht="13.5" customHeight="1" x14ac:dyDescent="0.4">
      <c r="A1778" s="1">
        <v>45950</v>
      </c>
      <c r="B1778" t="s">
        <v>44</v>
      </c>
      <c r="C1778">
        <v>808.61</v>
      </c>
      <c r="D1778" s="2" t="s">
        <v>45</v>
      </c>
      <c r="E1778" t="s">
        <v>44</v>
      </c>
      <c r="F1778" t="s">
        <v>46</v>
      </c>
      <c r="G1778" s="2" t="s">
        <v>47</v>
      </c>
      <c r="H1778" t="s">
        <v>48</v>
      </c>
      <c r="I1778" t="s">
        <v>16</v>
      </c>
      <c r="J1778" t="s">
        <v>49</v>
      </c>
      <c r="K1778" t="s">
        <v>50</v>
      </c>
      <c r="L1778" t="s">
        <v>2047</v>
      </c>
      <c r="M1778">
        <f>VLOOKUP(SUBSTITUTE(J1778,"'",""),Sheet1!L:M,2,FALSE)</f>
        <v>61110</v>
      </c>
    </row>
    <row r="1779" spans="1:13" ht="13.5" customHeight="1" x14ac:dyDescent="0.4">
      <c r="A1779" s="1">
        <v>45950</v>
      </c>
      <c r="B1779" t="s">
        <v>140</v>
      </c>
      <c r="C1779">
        <v>48.96</v>
      </c>
      <c r="D1779" s="2" t="s">
        <v>2115</v>
      </c>
      <c r="E1779" t="s">
        <v>142</v>
      </c>
      <c r="F1779" t="s">
        <v>143</v>
      </c>
      <c r="G1779" s="2" t="s">
        <v>14</v>
      </c>
      <c r="H1779">
        <v>98109</v>
      </c>
      <c r="I1779" t="s">
        <v>16</v>
      </c>
      <c r="J1779" t="s">
        <v>2116</v>
      </c>
      <c r="K1779" t="s">
        <v>18</v>
      </c>
      <c r="L1779" t="s">
        <v>4673</v>
      </c>
      <c r="M1779">
        <f>VLOOKUP(SUBSTITUTE(J1779,"'",""),Sheet1!L:M,2,FALSE)</f>
        <v>54820</v>
      </c>
    </row>
    <row r="1780" spans="1:13" ht="13.5" customHeight="1" x14ac:dyDescent="0.4">
      <c r="A1780" s="1">
        <v>45950</v>
      </c>
      <c r="B1780" t="s">
        <v>2117</v>
      </c>
      <c r="C1780">
        <v>99.83</v>
      </c>
      <c r="D1780" s="2" t="s">
        <v>2118</v>
      </c>
      <c r="E1780" t="s">
        <v>2117</v>
      </c>
      <c r="F1780" t="s">
        <v>2119</v>
      </c>
      <c r="G1780" s="2" t="s">
        <v>2106</v>
      </c>
      <c r="H1780">
        <v>74133</v>
      </c>
      <c r="I1780" t="s">
        <v>16</v>
      </c>
      <c r="J1780" t="s">
        <v>2120</v>
      </c>
      <c r="K1780" t="s">
        <v>207</v>
      </c>
      <c r="L1780" t="s">
        <v>4673</v>
      </c>
      <c r="M1780">
        <f>VLOOKUP(SUBSTITUTE(J1780,"'",""),Sheet1!L:M,2,FALSE)</f>
        <v>54820</v>
      </c>
    </row>
    <row r="1781" spans="1:13" ht="13.5" customHeight="1" x14ac:dyDescent="0.4">
      <c r="A1781" s="1">
        <v>45950</v>
      </c>
      <c r="B1781" t="s">
        <v>2110</v>
      </c>
      <c r="C1781">
        <v>70.540000000000006</v>
      </c>
      <c r="D1781" s="2" t="s">
        <v>2111</v>
      </c>
      <c r="E1781" t="s">
        <v>2110</v>
      </c>
      <c r="F1781" t="s">
        <v>2112</v>
      </c>
      <c r="G1781" s="2" t="s">
        <v>2106</v>
      </c>
      <c r="H1781">
        <v>74133</v>
      </c>
      <c r="I1781" t="s">
        <v>16</v>
      </c>
      <c r="J1781" t="s">
        <v>2113</v>
      </c>
      <c r="K1781" t="s">
        <v>2114</v>
      </c>
      <c r="L1781" t="s">
        <v>4673</v>
      </c>
      <c r="M1781">
        <f>VLOOKUP(SUBSTITUTE(J1781,"'",""),Sheet1!L:M,2,FALSE)</f>
        <v>54820</v>
      </c>
    </row>
    <row r="1782" spans="1:13" ht="13.5" customHeight="1" x14ac:dyDescent="0.4">
      <c r="A1782" s="1">
        <v>45950</v>
      </c>
      <c r="B1782" t="s">
        <v>2129</v>
      </c>
      <c r="C1782">
        <v>2060</v>
      </c>
      <c r="D1782" s="2" t="s">
        <v>2130</v>
      </c>
      <c r="E1782" t="s">
        <v>2129</v>
      </c>
      <c r="F1782" t="s">
        <v>2131</v>
      </c>
      <c r="G1782" s="2" t="s">
        <v>2132</v>
      </c>
      <c r="H1782">
        <v>95131</v>
      </c>
      <c r="I1782" t="s">
        <v>16</v>
      </c>
      <c r="J1782" t="s">
        <v>2133</v>
      </c>
      <c r="K1782" t="s">
        <v>133</v>
      </c>
      <c r="L1782" t="s">
        <v>4673</v>
      </c>
      <c r="M1782">
        <f>VLOOKUP(SUBSTITUTE(J1782,"'",""),Sheet1!L:M,2,FALSE)</f>
        <v>54820</v>
      </c>
    </row>
    <row r="1783" spans="1:13" ht="13.5" customHeight="1" x14ac:dyDescent="0.4">
      <c r="A1783" s="1">
        <v>45951</v>
      </c>
      <c r="B1783" t="s">
        <v>2089</v>
      </c>
      <c r="C1783">
        <v>15</v>
      </c>
      <c r="D1783" s="2" t="s">
        <v>2090</v>
      </c>
      <c r="E1783" t="s">
        <v>2089</v>
      </c>
      <c r="F1783" t="s">
        <v>2091</v>
      </c>
      <c r="G1783" s="2" t="s">
        <v>2092</v>
      </c>
      <c r="H1783">
        <v>19934</v>
      </c>
      <c r="I1783" t="s">
        <v>16</v>
      </c>
      <c r="J1783" t="s">
        <v>2093</v>
      </c>
      <c r="K1783" t="s">
        <v>56</v>
      </c>
      <c r="L1783" t="s">
        <v>4673</v>
      </c>
      <c r="M1783">
        <f>VLOOKUP(SUBSTITUTE(J1783,"'",""),Sheet1!L:M,2,FALSE)</f>
        <v>64100</v>
      </c>
    </row>
    <row r="1784" spans="1:13" ht="13.5" customHeight="1" x14ac:dyDescent="0.4">
      <c r="A1784" s="1">
        <v>45951</v>
      </c>
      <c r="B1784" t="s">
        <v>2072</v>
      </c>
      <c r="C1784">
        <v>38.130000000000003</v>
      </c>
      <c r="D1784" s="2" t="s">
        <v>2101</v>
      </c>
      <c r="E1784" t="s">
        <v>2072</v>
      </c>
      <c r="F1784" s="2" t="s">
        <v>2074</v>
      </c>
      <c r="G1784" s="2" t="s">
        <v>2075</v>
      </c>
      <c r="H1784">
        <v>94404</v>
      </c>
      <c r="I1784" t="s">
        <v>16</v>
      </c>
      <c r="J1784" t="s">
        <v>2102</v>
      </c>
      <c r="K1784" t="s">
        <v>37</v>
      </c>
      <c r="L1784" t="s">
        <v>4673</v>
      </c>
      <c r="M1784">
        <f>VLOOKUP(SUBSTITUTE(J1784,"'",""),Sheet1!L:M,2,FALSE)</f>
        <v>64100</v>
      </c>
    </row>
    <row r="1785" spans="1:13" ht="13.5" customHeight="1" x14ac:dyDescent="0.4">
      <c r="A1785" s="1">
        <v>45951</v>
      </c>
      <c r="B1785" t="s">
        <v>478</v>
      </c>
      <c r="C1785">
        <v>25.1</v>
      </c>
      <c r="D1785" s="2" t="s">
        <v>2108</v>
      </c>
      <c r="E1785" t="s">
        <v>480</v>
      </c>
      <c r="F1785" s="2" t="s">
        <v>481</v>
      </c>
      <c r="G1785" s="2" t="s">
        <v>35</v>
      </c>
      <c r="H1785">
        <v>94103</v>
      </c>
      <c r="I1785" t="s">
        <v>16</v>
      </c>
      <c r="J1785" t="s">
        <v>2109</v>
      </c>
      <c r="K1785" t="s">
        <v>483</v>
      </c>
      <c r="L1785" t="s">
        <v>4673</v>
      </c>
      <c r="M1785">
        <f>VLOOKUP(SUBSTITUTE(J1785,"'",""),Sheet1!L:M,2,FALSE)</f>
        <v>61130</v>
      </c>
    </row>
    <row r="1786" spans="1:13" ht="13.5" customHeight="1" x14ac:dyDescent="0.4">
      <c r="A1786" s="1">
        <v>45951</v>
      </c>
      <c r="B1786" t="s">
        <v>2072</v>
      </c>
      <c r="C1786">
        <v>26.75</v>
      </c>
      <c r="D1786" s="2" t="s">
        <v>2099</v>
      </c>
      <c r="E1786" t="s">
        <v>2072</v>
      </c>
      <c r="F1786" s="2" t="s">
        <v>2074</v>
      </c>
      <c r="G1786" s="2" t="s">
        <v>2075</v>
      </c>
      <c r="H1786">
        <v>94404</v>
      </c>
      <c r="I1786" t="s">
        <v>16</v>
      </c>
      <c r="J1786" t="s">
        <v>2100</v>
      </c>
      <c r="K1786" t="s">
        <v>37</v>
      </c>
      <c r="L1786" t="s">
        <v>4673</v>
      </c>
      <c r="M1786">
        <f>VLOOKUP(SUBSTITUTE(J1786,"'",""),Sheet1!L:M,2,FALSE)</f>
        <v>64100</v>
      </c>
    </row>
    <row r="1787" spans="1:13" ht="13.5" customHeight="1" x14ac:dyDescent="0.4">
      <c r="A1787" s="1">
        <v>45951</v>
      </c>
      <c r="B1787" t="s">
        <v>2094</v>
      </c>
      <c r="C1787">
        <v>7.55</v>
      </c>
      <c r="D1787" s="2" t="s">
        <v>2095</v>
      </c>
      <c r="E1787" t="s">
        <v>2094</v>
      </c>
      <c r="F1787" t="s">
        <v>2096</v>
      </c>
      <c r="G1787" s="2" t="s">
        <v>2097</v>
      </c>
      <c r="H1787">
        <v>11369</v>
      </c>
      <c r="I1787" t="s">
        <v>16</v>
      </c>
      <c r="J1787" t="s">
        <v>2098</v>
      </c>
      <c r="K1787" t="s">
        <v>1218</v>
      </c>
      <c r="L1787" t="s">
        <v>4673</v>
      </c>
      <c r="M1787">
        <f>VLOOKUP(SUBSTITUTE(J1787,"'",""),Sheet1!L:M,2,FALSE)</f>
        <v>54820</v>
      </c>
    </row>
    <row r="1788" spans="1:13" ht="13.5" customHeight="1" x14ac:dyDescent="0.4">
      <c r="A1788" s="1">
        <v>45951</v>
      </c>
      <c r="B1788" t="s">
        <v>38</v>
      </c>
      <c r="C1788">
        <v>914.8</v>
      </c>
      <c r="D1788" s="2" t="s">
        <v>39</v>
      </c>
      <c r="E1788" t="s">
        <v>38</v>
      </c>
      <c r="F1788" t="s">
        <v>40</v>
      </c>
      <c r="G1788" s="2" t="s">
        <v>41</v>
      </c>
      <c r="H1788">
        <v>10012</v>
      </c>
      <c r="I1788" t="s">
        <v>16</v>
      </c>
      <c r="J1788" t="s">
        <v>42</v>
      </c>
      <c r="K1788" t="s">
        <v>43</v>
      </c>
      <c r="L1788" t="s">
        <v>2047</v>
      </c>
      <c r="M1788">
        <f>VLOOKUP(SUBSTITUTE(J1788,"'",""),Sheet1!L:M,2,FALSE)</f>
        <v>61131</v>
      </c>
    </row>
    <row r="1789" spans="1:13" ht="13.5" customHeight="1" x14ac:dyDescent="0.4">
      <c r="A1789" s="1">
        <v>45951</v>
      </c>
      <c r="B1789" t="s">
        <v>2103</v>
      </c>
      <c r="C1789">
        <v>22.46</v>
      </c>
      <c r="D1789" s="2" t="s">
        <v>2104</v>
      </c>
      <c r="E1789" t="s">
        <v>2103</v>
      </c>
      <c r="F1789" t="s">
        <v>2105</v>
      </c>
      <c r="G1789" s="2" t="s">
        <v>2106</v>
      </c>
      <c r="H1789">
        <v>74115</v>
      </c>
      <c r="I1789" t="s">
        <v>16</v>
      </c>
      <c r="J1789" t="s">
        <v>2107</v>
      </c>
      <c r="K1789" t="s">
        <v>110</v>
      </c>
      <c r="L1789" t="s">
        <v>4673</v>
      </c>
      <c r="M1789">
        <f>VLOOKUP(SUBSTITUTE(J1789,"'",""),Sheet1!L:M,2,FALSE)</f>
        <v>54820</v>
      </c>
    </row>
    <row r="1790" spans="1:13" ht="13.5" customHeight="1" x14ac:dyDescent="0.4">
      <c r="A1790" s="1">
        <v>45952</v>
      </c>
      <c r="B1790" t="s">
        <v>2072</v>
      </c>
      <c r="C1790">
        <v>42.8</v>
      </c>
      <c r="D1790" s="2" t="s">
        <v>2073</v>
      </c>
      <c r="E1790" t="s">
        <v>2072</v>
      </c>
      <c r="F1790" s="2" t="s">
        <v>2074</v>
      </c>
      <c r="G1790" s="2" t="s">
        <v>2075</v>
      </c>
      <c r="H1790">
        <v>94404</v>
      </c>
      <c r="I1790" t="s">
        <v>16</v>
      </c>
      <c r="J1790" t="s">
        <v>2076</v>
      </c>
      <c r="K1790" t="s">
        <v>37</v>
      </c>
      <c r="L1790" t="s">
        <v>4673</v>
      </c>
      <c r="M1790">
        <f>VLOOKUP(SUBSTITUTE(J1790,"'",""),Sheet1!L:M,2,FALSE)</f>
        <v>64100</v>
      </c>
    </row>
    <row r="1791" spans="1:13" ht="13.5" customHeight="1" x14ac:dyDescent="0.4">
      <c r="A1791" s="1">
        <v>45952</v>
      </c>
      <c r="B1791" t="s">
        <v>32</v>
      </c>
      <c r="C1791">
        <v>21.4</v>
      </c>
      <c r="D1791" s="2" t="s">
        <v>33</v>
      </c>
      <c r="E1791" t="s">
        <v>32</v>
      </c>
      <c r="F1791" s="2" t="s">
        <v>34</v>
      </c>
      <c r="G1791" s="2" t="s">
        <v>35</v>
      </c>
      <c r="H1791">
        <v>94110</v>
      </c>
      <c r="I1791" t="s">
        <v>16</v>
      </c>
      <c r="J1791" t="s">
        <v>36</v>
      </c>
      <c r="K1791" t="s">
        <v>37</v>
      </c>
      <c r="L1791" t="s">
        <v>2047</v>
      </c>
      <c r="M1791">
        <f>VLOOKUP(SUBSTITUTE(J1791,"'",""),Sheet1!L:M,2,FALSE)</f>
        <v>64100</v>
      </c>
    </row>
    <row r="1792" spans="1:13" ht="13.5" customHeight="1" x14ac:dyDescent="0.4">
      <c r="A1792" s="1">
        <v>45952</v>
      </c>
      <c r="B1792" t="s">
        <v>478</v>
      </c>
      <c r="C1792">
        <v>104.06</v>
      </c>
      <c r="D1792" s="2" t="s">
        <v>2083</v>
      </c>
      <c r="E1792" t="s">
        <v>480</v>
      </c>
      <c r="F1792" s="2" t="s">
        <v>481</v>
      </c>
      <c r="G1792" s="2" t="s">
        <v>35</v>
      </c>
      <c r="H1792">
        <v>94103</v>
      </c>
      <c r="I1792" t="s">
        <v>16</v>
      </c>
      <c r="J1792" t="s">
        <v>2084</v>
      </c>
      <c r="K1792" t="s">
        <v>483</v>
      </c>
      <c r="L1792" t="s">
        <v>4673</v>
      </c>
      <c r="M1792">
        <f>VLOOKUP(SUBSTITUTE(J1792,"'",""),Sheet1!L:M,2,FALSE)</f>
        <v>61130</v>
      </c>
    </row>
    <row r="1793" spans="1:13" ht="13.5" customHeight="1" x14ac:dyDescent="0.4">
      <c r="A1793" s="1">
        <v>45952</v>
      </c>
      <c r="B1793" t="s">
        <v>583</v>
      </c>
      <c r="C1793">
        <v>153.53</v>
      </c>
      <c r="D1793" s="2" t="s">
        <v>2081</v>
      </c>
      <c r="E1793" t="s">
        <v>583</v>
      </c>
      <c r="F1793" s="2" t="s">
        <v>585</v>
      </c>
      <c r="G1793" s="2" t="s">
        <v>35</v>
      </c>
      <c r="H1793">
        <v>94103</v>
      </c>
      <c r="I1793" t="s">
        <v>16</v>
      </c>
      <c r="J1793" t="s">
        <v>2082</v>
      </c>
      <c r="K1793" t="s">
        <v>126</v>
      </c>
      <c r="L1793" t="s">
        <v>4673</v>
      </c>
      <c r="M1793">
        <f>VLOOKUP(SUBSTITUTE(J1793,"'",""),Sheet1!L:M,2,FALSE)</f>
        <v>54820</v>
      </c>
    </row>
    <row r="1794" spans="1:13" ht="13.5" customHeight="1" x14ac:dyDescent="0.4">
      <c r="A1794" s="1">
        <v>45952</v>
      </c>
      <c r="B1794" t="s">
        <v>1300</v>
      </c>
      <c r="C1794">
        <v>18.23</v>
      </c>
      <c r="D1794" s="2" t="s">
        <v>2070</v>
      </c>
      <c r="E1794" t="s">
        <v>1300</v>
      </c>
      <c r="F1794" t="s">
        <v>1302</v>
      </c>
      <c r="G1794" s="2" t="s">
        <v>41</v>
      </c>
      <c r="H1794">
        <v>10003</v>
      </c>
      <c r="I1794" t="s">
        <v>16</v>
      </c>
      <c r="J1794" t="s">
        <v>2071</v>
      </c>
      <c r="K1794" t="s">
        <v>1304</v>
      </c>
      <c r="L1794" t="s">
        <v>4673</v>
      </c>
      <c r="M1794">
        <f>VLOOKUP(SUBSTITUTE(J1794,"'",""),Sheet1!L:M,2,FALSE)</f>
        <v>54820</v>
      </c>
    </row>
    <row r="1795" spans="1:13" ht="13.5" customHeight="1" x14ac:dyDescent="0.4">
      <c r="A1795" s="1">
        <v>45952</v>
      </c>
      <c r="B1795" t="s">
        <v>27</v>
      </c>
      <c r="C1795">
        <v>9.15</v>
      </c>
      <c r="D1795" s="2" t="s">
        <v>28</v>
      </c>
      <c r="E1795" t="s">
        <v>27</v>
      </c>
      <c r="F1795" t="s">
        <v>29</v>
      </c>
      <c r="G1795" t="e">
        <f>-
NY</f>
        <v>#NAME?</v>
      </c>
      <c r="H1795">
        <v>11577</v>
      </c>
      <c r="I1795" t="s">
        <v>16</v>
      </c>
      <c r="J1795" t="s">
        <v>30</v>
      </c>
      <c r="K1795" t="s">
        <v>31</v>
      </c>
      <c r="L1795" t="s">
        <v>2047</v>
      </c>
      <c r="M1795">
        <f>VLOOKUP(SUBSTITUTE(J1795,"'",""),Sheet1!L:M,2,FALSE)</f>
        <v>61131</v>
      </c>
    </row>
    <row r="1796" spans="1:13" ht="13.5" customHeight="1" x14ac:dyDescent="0.4">
      <c r="A1796" s="1">
        <v>45952</v>
      </c>
      <c r="B1796" t="s">
        <v>2085</v>
      </c>
      <c r="C1796">
        <v>95.47</v>
      </c>
      <c r="D1796" s="2" t="s">
        <v>2086</v>
      </c>
      <c r="E1796" t="s">
        <v>2085</v>
      </c>
      <c r="F1796" t="s">
        <v>2087</v>
      </c>
      <c r="G1796" s="2" t="s">
        <v>41</v>
      </c>
      <c r="H1796">
        <v>10001</v>
      </c>
      <c r="I1796" t="s">
        <v>16</v>
      </c>
      <c r="J1796" t="s">
        <v>2088</v>
      </c>
      <c r="K1796" t="s">
        <v>1218</v>
      </c>
      <c r="L1796" t="s">
        <v>4673</v>
      </c>
      <c r="M1796">
        <f>VLOOKUP(SUBSTITUTE(J1796,"'",""),Sheet1!L:M,2,FALSE)</f>
        <v>54820</v>
      </c>
    </row>
    <row r="1797" spans="1:13" ht="13.5" customHeight="1" x14ac:dyDescent="0.4">
      <c r="A1797" s="1">
        <v>45952</v>
      </c>
      <c r="B1797" t="s">
        <v>2077</v>
      </c>
      <c r="C1797">
        <v>25</v>
      </c>
      <c r="D1797" s="2" t="s">
        <v>2078</v>
      </c>
      <c r="E1797" t="s">
        <v>2077</v>
      </c>
      <c r="F1797" t="s">
        <v>2079</v>
      </c>
      <c r="G1797" s="2" t="s">
        <v>14</v>
      </c>
      <c r="H1797">
        <v>98134</v>
      </c>
      <c r="I1797" t="s">
        <v>16</v>
      </c>
      <c r="J1797" t="s">
        <v>2080</v>
      </c>
      <c r="K1797" t="s">
        <v>305</v>
      </c>
      <c r="L1797" t="s">
        <v>4673</v>
      </c>
      <c r="M1797">
        <f>VLOOKUP(SUBSTITUTE(J1797,"'",""),Sheet1!L:M,2,FALSE)</f>
        <v>54820</v>
      </c>
    </row>
    <row r="1798" spans="1:13" ht="13.5" customHeight="1" x14ac:dyDescent="0.4">
      <c r="A1798" s="1">
        <v>45953</v>
      </c>
      <c r="B1798" t="s">
        <v>179</v>
      </c>
      <c r="C1798">
        <v>37.46</v>
      </c>
      <c r="D1798" s="2" t="s">
        <v>2066</v>
      </c>
      <c r="E1798" t="s">
        <v>179</v>
      </c>
      <c r="F1798" t="s">
        <v>143</v>
      </c>
      <c r="G1798" s="2" t="s">
        <v>14</v>
      </c>
      <c r="H1798">
        <v>98109</v>
      </c>
      <c r="I1798" t="s">
        <v>16</v>
      </c>
      <c r="J1798" t="s">
        <v>2067</v>
      </c>
      <c r="K1798" t="s">
        <v>18</v>
      </c>
      <c r="L1798" t="s">
        <v>4673</v>
      </c>
      <c r="M1798">
        <f>VLOOKUP(SUBSTITUTE(J1798,"'",""),Sheet1!L:M,2,FALSE)</f>
        <v>54820</v>
      </c>
    </row>
    <row r="1799" spans="1:13" ht="13.5" customHeight="1" x14ac:dyDescent="0.4">
      <c r="A1799" s="1">
        <v>45953</v>
      </c>
      <c r="B1799" t="s">
        <v>478</v>
      </c>
      <c r="C1799">
        <v>55.51</v>
      </c>
      <c r="D1799" s="2" t="s">
        <v>2068</v>
      </c>
      <c r="E1799" t="s">
        <v>480</v>
      </c>
      <c r="F1799" s="2" t="s">
        <v>481</v>
      </c>
      <c r="G1799" s="2" t="s">
        <v>35</v>
      </c>
      <c r="H1799">
        <v>94103</v>
      </c>
      <c r="I1799" t="s">
        <v>16</v>
      </c>
      <c r="J1799" t="s">
        <v>2069</v>
      </c>
      <c r="K1799" t="s">
        <v>483</v>
      </c>
      <c r="L1799" t="s">
        <v>4673</v>
      </c>
      <c r="M1799">
        <f>VLOOKUP(SUBSTITUTE(J1799,"'",""),Sheet1!L:M,2,FALSE)</f>
        <v>61130</v>
      </c>
    </row>
    <row r="1800" spans="1:13" ht="13.5" customHeight="1" x14ac:dyDescent="0.4">
      <c r="A1800" s="1">
        <v>45954</v>
      </c>
      <c r="B1800" t="s">
        <v>19</v>
      </c>
      <c r="C1800">
        <v>240.99</v>
      </c>
      <c r="D1800" t="s">
        <v>19</v>
      </c>
      <c r="E1800" t="s">
        <v>19</v>
      </c>
      <c r="J1800" t="s">
        <v>20</v>
      </c>
      <c r="K1800" t="s">
        <v>21</v>
      </c>
      <c r="L1800" t="s">
        <v>2047</v>
      </c>
      <c r="M1800">
        <f>VLOOKUP(SUBSTITUTE(J1800,"'",""),Sheet1!L:M,2,FALSE)</f>
        <v>80100</v>
      </c>
    </row>
    <row r="1801" spans="1:13" ht="13.5" customHeight="1" x14ac:dyDescent="0.4">
      <c r="A1801" s="1">
        <v>45954</v>
      </c>
      <c r="B1801" t="s">
        <v>478</v>
      </c>
      <c r="C1801">
        <v>38.54</v>
      </c>
      <c r="D1801" s="2" t="s">
        <v>2058</v>
      </c>
      <c r="E1801" t="s">
        <v>480</v>
      </c>
      <c r="F1801" s="2" t="s">
        <v>481</v>
      </c>
      <c r="G1801" s="2" t="s">
        <v>35</v>
      </c>
      <c r="H1801">
        <v>94103</v>
      </c>
      <c r="I1801" t="s">
        <v>16</v>
      </c>
      <c r="J1801" t="s">
        <v>2059</v>
      </c>
      <c r="K1801" t="s">
        <v>483</v>
      </c>
      <c r="L1801" t="s">
        <v>4673</v>
      </c>
      <c r="M1801">
        <f>VLOOKUP(SUBSTITUTE(J1801,"'",""),Sheet1!L:M,2,FALSE)</f>
        <v>61130</v>
      </c>
    </row>
    <row r="1802" spans="1:13" ht="13.5" customHeight="1" x14ac:dyDescent="0.4">
      <c r="A1802" s="1">
        <v>45954</v>
      </c>
      <c r="B1802" t="s">
        <v>478</v>
      </c>
      <c r="C1802">
        <v>20.81</v>
      </c>
      <c r="D1802" s="2" t="s">
        <v>2056</v>
      </c>
      <c r="E1802" t="s">
        <v>480</v>
      </c>
      <c r="F1802" s="2" t="s">
        <v>481</v>
      </c>
      <c r="G1802" s="2" t="s">
        <v>35</v>
      </c>
      <c r="H1802">
        <v>94103</v>
      </c>
      <c r="I1802" t="s">
        <v>16</v>
      </c>
      <c r="J1802" t="s">
        <v>2057</v>
      </c>
      <c r="K1802" t="s">
        <v>483</v>
      </c>
      <c r="L1802" t="s">
        <v>4673</v>
      </c>
      <c r="M1802">
        <f>VLOOKUP(SUBSTITUTE(J1802,"'",""),Sheet1!L:M,2,FALSE)</f>
        <v>61130</v>
      </c>
    </row>
    <row r="1803" spans="1:13" ht="13.5" customHeight="1" x14ac:dyDescent="0.4">
      <c r="A1803" s="1">
        <v>45954</v>
      </c>
      <c r="B1803" t="s">
        <v>22</v>
      </c>
      <c r="C1803">
        <v>-2500</v>
      </c>
      <c r="D1803" t="s">
        <v>22</v>
      </c>
      <c r="E1803" t="s">
        <v>22</v>
      </c>
      <c r="J1803" t="s">
        <v>23</v>
      </c>
      <c r="L1803" t="s">
        <v>2047</v>
      </c>
      <c r="M1803" t="e">
        <f>VLOOKUP(SUBSTITUTE(J1803,"'",""),Sheet1!L:M,2,FALSE)</f>
        <v>#N/A</v>
      </c>
    </row>
    <row r="1804" spans="1:13" ht="13.5" customHeight="1" x14ac:dyDescent="0.4">
      <c r="A1804" s="1">
        <v>45954</v>
      </c>
      <c r="B1804" t="s">
        <v>2062</v>
      </c>
      <c r="C1804">
        <v>127.5</v>
      </c>
      <c r="D1804" s="2" t="s">
        <v>2063</v>
      </c>
      <c r="E1804" t="s">
        <v>2062</v>
      </c>
      <c r="F1804" t="s">
        <v>2064</v>
      </c>
      <c r="G1804" s="2" t="s">
        <v>41</v>
      </c>
      <c r="H1804">
        <v>10018</v>
      </c>
      <c r="I1804" t="s">
        <v>16</v>
      </c>
      <c r="J1804" t="s">
        <v>2065</v>
      </c>
      <c r="K1804" t="s">
        <v>110</v>
      </c>
      <c r="L1804" t="s">
        <v>4673</v>
      </c>
      <c r="M1804">
        <f>VLOOKUP(SUBSTITUTE(J1804,"'",""),Sheet1!L:M,2,FALSE)</f>
        <v>54820</v>
      </c>
    </row>
    <row r="1805" spans="1:13" ht="13.5" customHeight="1" x14ac:dyDescent="0.4">
      <c r="A1805" s="1">
        <v>45954</v>
      </c>
      <c r="B1805" t="s">
        <v>478</v>
      </c>
      <c r="C1805">
        <v>50.19</v>
      </c>
      <c r="D1805" s="2" t="s">
        <v>2060</v>
      </c>
      <c r="E1805" t="s">
        <v>480</v>
      </c>
      <c r="F1805" s="2" t="s">
        <v>481</v>
      </c>
      <c r="G1805" s="2" t="s">
        <v>35</v>
      </c>
      <c r="H1805">
        <v>94103</v>
      </c>
      <c r="I1805" t="s">
        <v>16</v>
      </c>
      <c r="J1805" t="s">
        <v>2061</v>
      </c>
      <c r="K1805" t="s">
        <v>483</v>
      </c>
      <c r="L1805" t="s">
        <v>4673</v>
      </c>
      <c r="M1805">
        <f>VLOOKUP(SUBSTITUTE(J1805,"'",""),Sheet1!L:M,2,FALSE)</f>
        <v>61130</v>
      </c>
    </row>
    <row r="1806" spans="1:13" ht="13.5" customHeight="1" x14ac:dyDescent="0.4">
      <c r="A1806" s="1">
        <v>45954</v>
      </c>
      <c r="B1806" t="s">
        <v>478</v>
      </c>
      <c r="C1806">
        <v>7.7</v>
      </c>
      <c r="D1806" s="2" t="s">
        <v>2054</v>
      </c>
      <c r="E1806" t="s">
        <v>480</v>
      </c>
      <c r="F1806" s="2" t="s">
        <v>481</v>
      </c>
      <c r="G1806" s="2" t="s">
        <v>35</v>
      </c>
      <c r="H1806">
        <v>94103</v>
      </c>
      <c r="I1806" t="s">
        <v>16</v>
      </c>
      <c r="J1806" t="s">
        <v>2055</v>
      </c>
      <c r="K1806" t="s">
        <v>483</v>
      </c>
      <c r="L1806" t="s">
        <v>4673</v>
      </c>
      <c r="M1806">
        <f>VLOOKUP(SUBSTITUTE(J1806,"'",""),Sheet1!L:M,2,FALSE)</f>
        <v>61130</v>
      </c>
    </row>
    <row r="1807" spans="1:13" ht="13.5" customHeight="1" x14ac:dyDescent="0.4">
      <c r="A1807" s="1">
        <v>45954</v>
      </c>
      <c r="B1807" t="s">
        <v>24</v>
      </c>
      <c r="C1807">
        <v>2.99</v>
      </c>
      <c r="D1807" s="2" t="s">
        <v>25</v>
      </c>
      <c r="E1807" t="s">
        <v>24</v>
      </c>
      <c r="F1807" t="s">
        <v>13</v>
      </c>
      <c r="G1807" s="2" t="s">
        <v>14</v>
      </c>
      <c r="H1807" t="s">
        <v>15</v>
      </c>
      <c r="I1807" t="s">
        <v>16</v>
      </c>
      <c r="J1807" t="s">
        <v>26</v>
      </c>
      <c r="K1807" t="s">
        <v>18</v>
      </c>
      <c r="L1807" t="s">
        <v>2047</v>
      </c>
      <c r="M1807">
        <f>VLOOKUP(SUBSTITUTE(J1807,"'",""),Sheet1!L:M,2,FALSE)</f>
        <v>54820</v>
      </c>
    </row>
    <row r="1808" spans="1:13" ht="13.5" customHeight="1" x14ac:dyDescent="0.4">
      <c r="A1808" s="1">
        <v>45955</v>
      </c>
      <c r="B1808" t="s">
        <v>11</v>
      </c>
      <c r="C1808">
        <v>14.99</v>
      </c>
      <c r="D1808" s="2" t="s">
        <v>12</v>
      </c>
      <c r="E1808" t="s">
        <v>11</v>
      </c>
      <c r="F1808" t="s">
        <v>13</v>
      </c>
      <c r="G1808" s="2" t="s">
        <v>14</v>
      </c>
      <c r="H1808" t="s">
        <v>15</v>
      </c>
      <c r="I1808" t="s">
        <v>16</v>
      </c>
      <c r="J1808" t="s">
        <v>17</v>
      </c>
      <c r="K1808" t="s">
        <v>18</v>
      </c>
      <c r="L1808" t="s">
        <v>2047</v>
      </c>
      <c r="M1808">
        <f>VLOOKUP(SUBSTITUTE(J1808,"'",""),Sheet1!L:M,2,FALSE)</f>
        <v>54820</v>
      </c>
    </row>
    <row r="1809" spans="1:13" ht="13.5" customHeight="1" x14ac:dyDescent="0.4">
      <c r="A1809" s="1">
        <v>45955</v>
      </c>
      <c r="B1809" t="s">
        <v>106</v>
      </c>
      <c r="C1809">
        <v>74.94</v>
      </c>
      <c r="D1809" s="2" t="s">
        <v>2048</v>
      </c>
      <c r="E1809" t="s">
        <v>106</v>
      </c>
      <c r="F1809" t="s">
        <v>108</v>
      </c>
      <c r="G1809" s="2" t="s">
        <v>41</v>
      </c>
      <c r="H1809">
        <v>10012</v>
      </c>
      <c r="I1809" t="s">
        <v>16</v>
      </c>
      <c r="J1809" t="s">
        <v>2049</v>
      </c>
      <c r="K1809" t="s">
        <v>110</v>
      </c>
      <c r="L1809" t="s">
        <v>4673</v>
      </c>
      <c r="M1809">
        <f>VLOOKUP(SUBSTITUTE(J1809,"'",""),Sheet1!L:M,2,FALSE)</f>
        <v>67500</v>
      </c>
    </row>
    <row r="1810" spans="1:13" ht="13.5" customHeight="1" x14ac:dyDescent="0.4">
      <c r="A1810" s="1">
        <v>45955</v>
      </c>
      <c r="B1810" t="s">
        <v>583</v>
      </c>
      <c r="C1810">
        <v>177.83</v>
      </c>
      <c r="D1810" s="2" t="s">
        <v>2050</v>
      </c>
      <c r="E1810" t="s">
        <v>583</v>
      </c>
      <c r="F1810" s="2" t="s">
        <v>585</v>
      </c>
      <c r="G1810" s="2" t="s">
        <v>35</v>
      </c>
      <c r="H1810">
        <v>94103</v>
      </c>
      <c r="I1810" t="s">
        <v>16</v>
      </c>
      <c r="J1810" t="s">
        <v>2051</v>
      </c>
      <c r="K1810" t="s">
        <v>126</v>
      </c>
      <c r="L1810" t="s">
        <v>4673</v>
      </c>
      <c r="M1810">
        <f>VLOOKUP(SUBSTITUTE(J1810,"'",""),Sheet1!L:M,2,FALSE)</f>
        <v>54820</v>
      </c>
    </row>
    <row r="1811" spans="1:13" ht="13.5" customHeight="1" x14ac:dyDescent="0.4">
      <c r="A1811" s="1">
        <v>45955</v>
      </c>
      <c r="B1811" t="s">
        <v>478</v>
      </c>
      <c r="C1811">
        <v>53.01</v>
      </c>
      <c r="D1811" s="2" t="s">
        <v>2052</v>
      </c>
      <c r="E1811" t="s">
        <v>480</v>
      </c>
      <c r="F1811" s="2" t="s">
        <v>481</v>
      </c>
      <c r="G1811" s="2" t="s">
        <v>35</v>
      </c>
      <c r="H1811">
        <v>94103</v>
      </c>
      <c r="I1811" t="s">
        <v>16</v>
      </c>
      <c r="J1811" t="s">
        <v>2053</v>
      </c>
      <c r="K1811" t="s">
        <v>483</v>
      </c>
      <c r="L1811" t="s">
        <v>4673</v>
      </c>
      <c r="M1811">
        <f>VLOOKUP(SUBSTITUTE(J1811,"'",""),Sheet1!L:M,2,FALSE)</f>
        <v>61130</v>
      </c>
    </row>
  </sheetData>
  <sortState xmlns:xlrd2="http://schemas.microsoft.com/office/spreadsheetml/2017/richdata2" ref="A2:L1811">
    <sortCondition ref="A2:A18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F12C-8D2A-4EA7-B579-4B2F581C9523}">
  <dimension ref="A1:M1792"/>
  <sheetViews>
    <sheetView workbookViewId="0">
      <pane ySplit="1" topLeftCell="A41" activePane="bottomLeft" state="frozen"/>
      <selection pane="bottomLeft" activeCell="F36" sqref="F36"/>
    </sheetView>
  </sheetViews>
  <sheetFormatPr defaultRowHeight="14.6" x14ac:dyDescent="0.4"/>
  <cols>
    <col min="1" max="1" width="11.07421875" bestFit="1" customWidth="1"/>
    <col min="2" max="2" width="13.3046875" bestFit="1" customWidth="1"/>
    <col min="3" max="3" width="12.3828125" bestFit="1" customWidth="1"/>
    <col min="4" max="4" width="13.921875" bestFit="1" customWidth="1"/>
    <col min="5" max="5" width="42.765625" bestFit="1" customWidth="1"/>
    <col min="6" max="6" width="8.53515625" bestFit="1" customWidth="1"/>
    <col min="7" max="7" width="15" bestFit="1" customWidth="1"/>
    <col min="8" max="8" width="4.69140625" customWidth="1"/>
    <col min="9" max="9" width="13.53515625" bestFit="1" customWidth="1"/>
    <col min="10" max="10" width="8.15234375" bestFit="1" customWidth="1"/>
    <col min="11" max="11" width="19.765625" bestFit="1" customWidth="1"/>
    <col min="12" max="12" width="19" bestFit="1" customWidth="1"/>
    <col min="13" max="13" width="13.921875" bestFit="1" customWidth="1"/>
  </cols>
  <sheetData>
    <row r="1" spans="1:13" x14ac:dyDescent="0.4">
      <c r="A1" t="s">
        <v>4674</v>
      </c>
      <c r="B1" t="s">
        <v>4675</v>
      </c>
      <c r="C1" t="s">
        <v>4676</v>
      </c>
      <c r="D1" t="s">
        <v>4677</v>
      </c>
      <c r="E1" t="s">
        <v>1</v>
      </c>
      <c r="F1" t="s">
        <v>2</v>
      </c>
      <c r="G1" t="s">
        <v>4678</v>
      </c>
      <c r="H1" t="s">
        <v>4679</v>
      </c>
      <c r="I1" t="s">
        <v>4680</v>
      </c>
      <c r="J1" t="s">
        <v>4681</v>
      </c>
      <c r="K1" t="s">
        <v>4682</v>
      </c>
      <c r="L1" t="s">
        <v>6541</v>
      </c>
      <c r="M1" t="s">
        <v>4677</v>
      </c>
    </row>
    <row r="2" spans="1:13" x14ac:dyDescent="0.4">
      <c r="A2" s="1">
        <v>45658</v>
      </c>
      <c r="B2" t="s">
        <v>4683</v>
      </c>
      <c r="C2" t="s">
        <v>5863</v>
      </c>
      <c r="D2">
        <v>61131</v>
      </c>
      <c r="E2" t="s">
        <v>5864</v>
      </c>
      <c r="F2">
        <v>850</v>
      </c>
      <c r="G2" t="s">
        <v>4686</v>
      </c>
      <c r="H2" t="s">
        <v>4687</v>
      </c>
      <c r="I2">
        <v>22970</v>
      </c>
      <c r="J2">
        <v>47051</v>
      </c>
      <c r="K2" t="s">
        <v>5865</v>
      </c>
      <c r="L2" t="str">
        <f>SUBSTITUTE(K2,"'","")</f>
        <v>320250010944540760</v>
      </c>
      <c r="M2">
        <v>61131</v>
      </c>
    </row>
    <row r="3" spans="1:13" x14ac:dyDescent="0.4">
      <c r="A3" s="1">
        <v>45658</v>
      </c>
      <c r="B3" t="s">
        <v>4683</v>
      </c>
      <c r="C3" t="s">
        <v>6406</v>
      </c>
      <c r="D3">
        <v>65700</v>
      </c>
      <c r="E3" t="s">
        <v>234</v>
      </c>
      <c r="F3">
        <v>229.15</v>
      </c>
      <c r="G3" t="s">
        <v>4686</v>
      </c>
      <c r="H3" t="s">
        <v>4687</v>
      </c>
      <c r="I3">
        <v>22950</v>
      </c>
      <c r="J3">
        <v>47011</v>
      </c>
      <c r="K3" t="s">
        <v>6407</v>
      </c>
      <c r="L3" t="str">
        <f>SUBSTITUTE(K3,"'","")</f>
        <v>320250010950448554</v>
      </c>
      <c r="M3">
        <v>65700</v>
      </c>
    </row>
    <row r="4" spans="1:13" x14ac:dyDescent="0.4">
      <c r="A4" s="1">
        <v>45658</v>
      </c>
      <c r="B4" t="s">
        <v>4683</v>
      </c>
      <c r="C4" t="s">
        <v>6067</v>
      </c>
      <c r="D4">
        <v>64100</v>
      </c>
      <c r="E4" t="s">
        <v>2429</v>
      </c>
      <c r="F4">
        <v>776.64</v>
      </c>
      <c r="G4" t="s">
        <v>4686</v>
      </c>
      <c r="H4" t="s">
        <v>4687</v>
      </c>
      <c r="I4">
        <v>23851</v>
      </c>
      <c r="J4">
        <v>48813</v>
      </c>
      <c r="K4" t="s">
        <v>6068</v>
      </c>
      <c r="L4" t="str">
        <f>SUBSTITUTE(K4,"'","")</f>
        <v>320250020977867060</v>
      </c>
      <c r="M4">
        <v>64100</v>
      </c>
    </row>
    <row r="5" spans="1:13" x14ac:dyDescent="0.4">
      <c r="A5" s="1">
        <v>45660</v>
      </c>
      <c r="B5" t="s">
        <v>4683</v>
      </c>
      <c r="C5" t="s">
        <v>6385</v>
      </c>
      <c r="D5">
        <v>65505</v>
      </c>
      <c r="E5" t="s">
        <v>6386</v>
      </c>
      <c r="F5">
        <v>105.93</v>
      </c>
      <c r="G5" t="s">
        <v>4686</v>
      </c>
      <c r="H5" t="s">
        <v>4687</v>
      </c>
      <c r="I5">
        <v>24105</v>
      </c>
      <c r="J5">
        <v>49321</v>
      </c>
      <c r="K5" t="s">
        <v>6387</v>
      </c>
      <c r="L5" t="str">
        <f>SUBSTITUTE(K5,"'","")</f>
        <v>320250030988788564</v>
      </c>
      <c r="M5">
        <v>65505</v>
      </c>
    </row>
    <row r="6" spans="1:13" x14ac:dyDescent="0.4">
      <c r="A6" s="1">
        <v>45660</v>
      </c>
      <c r="B6" t="s">
        <v>4683</v>
      </c>
      <c r="C6" t="s">
        <v>5614</v>
      </c>
      <c r="D6">
        <v>61130</v>
      </c>
      <c r="E6" t="s">
        <v>478</v>
      </c>
      <c r="F6">
        <v>22.51</v>
      </c>
      <c r="G6" t="s">
        <v>4686</v>
      </c>
      <c r="H6" t="s">
        <v>4687</v>
      </c>
      <c r="I6">
        <v>22854</v>
      </c>
      <c r="J6">
        <v>46819</v>
      </c>
      <c r="K6" t="s">
        <v>5615</v>
      </c>
      <c r="L6" t="str">
        <f>SUBSTITUTE(K6,"'","")</f>
        <v>320250030993924733</v>
      </c>
      <c r="M6">
        <v>61130</v>
      </c>
    </row>
    <row r="7" spans="1:13" x14ac:dyDescent="0.4">
      <c r="A7" s="1">
        <v>45660</v>
      </c>
      <c r="B7" t="s">
        <v>4683</v>
      </c>
      <c r="C7" t="s">
        <v>5612</v>
      </c>
      <c r="D7">
        <v>61130</v>
      </c>
      <c r="E7" t="s">
        <v>478</v>
      </c>
      <c r="F7">
        <v>19.940000000000001</v>
      </c>
      <c r="G7" t="s">
        <v>4686</v>
      </c>
      <c r="H7" t="s">
        <v>4687</v>
      </c>
      <c r="I7">
        <v>22853</v>
      </c>
      <c r="J7">
        <v>46817</v>
      </c>
      <c r="K7" t="s">
        <v>5613</v>
      </c>
      <c r="L7" t="str">
        <f>SUBSTITUTE(K7,"'","")</f>
        <v>320250030993947348</v>
      </c>
      <c r="M7">
        <v>61130</v>
      </c>
    </row>
    <row r="8" spans="1:13" x14ac:dyDescent="0.4">
      <c r="A8" s="1">
        <v>45660</v>
      </c>
      <c r="B8" t="s">
        <v>4683</v>
      </c>
      <c r="C8" t="s">
        <v>5616</v>
      </c>
      <c r="D8">
        <v>61130</v>
      </c>
      <c r="E8" t="s">
        <v>478</v>
      </c>
      <c r="F8">
        <v>42.82</v>
      </c>
      <c r="G8" t="s">
        <v>4686</v>
      </c>
      <c r="H8" t="s">
        <v>4687</v>
      </c>
      <c r="I8">
        <v>22855</v>
      </c>
      <c r="J8">
        <v>46821</v>
      </c>
      <c r="K8" t="s">
        <v>5617</v>
      </c>
      <c r="L8" t="str">
        <f>SUBSTITUTE(K8,"'","")</f>
        <v>320250030994652143</v>
      </c>
      <c r="M8">
        <v>61130</v>
      </c>
    </row>
    <row r="9" spans="1:13" x14ac:dyDescent="0.4">
      <c r="A9" s="1">
        <v>45660</v>
      </c>
      <c r="B9" t="s">
        <v>4683</v>
      </c>
      <c r="C9" t="s">
        <v>6446</v>
      </c>
      <c r="D9">
        <v>67500</v>
      </c>
      <c r="E9" t="s">
        <v>2400</v>
      </c>
      <c r="F9">
        <v>21.39</v>
      </c>
      <c r="G9" t="s">
        <v>4686</v>
      </c>
      <c r="H9" t="s">
        <v>4687</v>
      </c>
      <c r="I9">
        <v>23932</v>
      </c>
      <c r="J9">
        <v>48975</v>
      </c>
      <c r="K9" t="s">
        <v>6447</v>
      </c>
      <c r="L9" t="str">
        <f>SUBSTITUTE(K9,"'","")</f>
        <v>320250040025658875</v>
      </c>
      <c r="M9">
        <v>67500</v>
      </c>
    </row>
    <row r="10" spans="1:13" x14ac:dyDescent="0.4">
      <c r="A10" s="1">
        <v>45660</v>
      </c>
      <c r="B10" t="s">
        <v>4683</v>
      </c>
      <c r="C10" t="s">
        <v>4684</v>
      </c>
      <c r="D10">
        <v>54820</v>
      </c>
      <c r="E10" t="s">
        <v>4685</v>
      </c>
      <c r="F10">
        <v>9.73</v>
      </c>
      <c r="G10" t="s">
        <v>4686</v>
      </c>
      <c r="H10" t="s">
        <v>4687</v>
      </c>
      <c r="I10">
        <v>24444</v>
      </c>
      <c r="J10">
        <v>49999</v>
      </c>
      <c r="K10" t="s">
        <v>4688</v>
      </c>
      <c r="L10" t="str">
        <f>SUBSTITUTE(K10,"'","")</f>
        <v>320250040028119422</v>
      </c>
      <c r="M10">
        <v>54820</v>
      </c>
    </row>
    <row r="11" spans="1:13" x14ac:dyDescent="0.4">
      <c r="A11" s="1">
        <v>45660</v>
      </c>
      <c r="B11" t="s">
        <v>4683</v>
      </c>
      <c r="C11" t="s">
        <v>4689</v>
      </c>
      <c r="D11">
        <v>54820</v>
      </c>
      <c r="E11" t="s">
        <v>4690</v>
      </c>
      <c r="F11">
        <v>8.48</v>
      </c>
      <c r="G11" t="s">
        <v>4686</v>
      </c>
      <c r="H11" t="s">
        <v>4687</v>
      </c>
      <c r="I11">
        <v>24445</v>
      </c>
      <c r="J11">
        <v>50001</v>
      </c>
      <c r="K11" t="s">
        <v>4691</v>
      </c>
      <c r="L11" t="str">
        <f>SUBSTITUTE(K11,"'","")</f>
        <v>320250040032810577</v>
      </c>
      <c r="M11">
        <v>54820</v>
      </c>
    </row>
    <row r="12" spans="1:13" x14ac:dyDescent="0.4">
      <c r="A12" s="1">
        <v>45660</v>
      </c>
      <c r="B12" t="s">
        <v>4683</v>
      </c>
      <c r="C12" t="s">
        <v>6069</v>
      </c>
      <c r="D12">
        <v>64100</v>
      </c>
      <c r="E12" t="s">
        <v>6070</v>
      </c>
      <c r="F12">
        <v>21.4</v>
      </c>
      <c r="G12" t="s">
        <v>4686</v>
      </c>
      <c r="H12" t="s">
        <v>4687</v>
      </c>
      <c r="I12">
        <v>23836</v>
      </c>
      <c r="J12">
        <v>48783</v>
      </c>
      <c r="K12" t="s">
        <v>6071</v>
      </c>
      <c r="L12" t="str">
        <f>SUBSTITUTE(K12,"'","")</f>
        <v>320250040035107873</v>
      </c>
      <c r="M12">
        <v>64100</v>
      </c>
    </row>
    <row r="13" spans="1:13" x14ac:dyDescent="0.4">
      <c r="A13" s="1">
        <v>45660</v>
      </c>
      <c r="B13" t="s">
        <v>4683</v>
      </c>
      <c r="C13" t="s">
        <v>4692</v>
      </c>
      <c r="D13">
        <v>54820</v>
      </c>
      <c r="E13" t="s">
        <v>4693</v>
      </c>
      <c r="F13">
        <v>5.5</v>
      </c>
      <c r="G13" t="s">
        <v>4686</v>
      </c>
      <c r="H13" t="s">
        <v>4687</v>
      </c>
      <c r="I13">
        <v>24446</v>
      </c>
      <c r="J13">
        <v>50003</v>
      </c>
      <c r="K13" t="s">
        <v>4694</v>
      </c>
      <c r="L13" t="str">
        <f>SUBSTITUTE(K13,"'","")</f>
        <v>320250040036686356</v>
      </c>
      <c r="M13">
        <v>54820</v>
      </c>
    </row>
    <row r="14" spans="1:13" x14ac:dyDescent="0.4">
      <c r="A14" s="1">
        <v>45661</v>
      </c>
      <c r="B14" t="s">
        <v>4683</v>
      </c>
      <c r="C14" t="s">
        <v>6081</v>
      </c>
      <c r="D14">
        <v>64100</v>
      </c>
      <c r="E14" t="s">
        <v>6082</v>
      </c>
      <c r="F14">
        <v>32.07</v>
      </c>
      <c r="G14" t="s">
        <v>4686</v>
      </c>
      <c r="H14" t="s">
        <v>4687</v>
      </c>
      <c r="I14">
        <v>23839</v>
      </c>
      <c r="J14">
        <v>48789</v>
      </c>
      <c r="K14" t="s">
        <v>6083</v>
      </c>
      <c r="L14" t="str">
        <f>SUBSTITUTE(K14,"'","")</f>
        <v>320250030010829021</v>
      </c>
      <c r="M14">
        <v>64100</v>
      </c>
    </row>
    <row r="15" spans="1:13" x14ac:dyDescent="0.4">
      <c r="A15" s="1">
        <v>45661</v>
      </c>
      <c r="B15" t="s">
        <v>4683</v>
      </c>
      <c r="C15" t="s">
        <v>6072</v>
      </c>
      <c r="D15">
        <v>64100</v>
      </c>
      <c r="E15" t="s">
        <v>6073</v>
      </c>
      <c r="F15">
        <v>24.62</v>
      </c>
      <c r="G15" t="s">
        <v>4686</v>
      </c>
      <c r="H15" t="s">
        <v>4687</v>
      </c>
      <c r="I15">
        <v>23243</v>
      </c>
      <c r="J15">
        <v>47597</v>
      </c>
      <c r="K15" t="s">
        <v>6074</v>
      </c>
      <c r="L15" t="str">
        <f>SUBSTITUTE(K15,"'","")</f>
        <v>320250030010841517</v>
      </c>
      <c r="M15">
        <v>64100</v>
      </c>
    </row>
    <row r="16" spans="1:13" x14ac:dyDescent="0.4">
      <c r="A16" s="1">
        <v>45661</v>
      </c>
      <c r="B16" t="s">
        <v>4683</v>
      </c>
      <c r="C16" t="s">
        <v>6075</v>
      </c>
      <c r="D16">
        <v>64100</v>
      </c>
      <c r="E16" t="s">
        <v>6076</v>
      </c>
      <c r="F16">
        <v>26.76</v>
      </c>
      <c r="G16" t="s">
        <v>4686</v>
      </c>
      <c r="H16" t="s">
        <v>4687</v>
      </c>
      <c r="I16">
        <v>23837</v>
      </c>
      <c r="J16">
        <v>48785</v>
      </c>
      <c r="K16" t="s">
        <v>6077</v>
      </c>
      <c r="L16" t="str">
        <f>SUBSTITUTE(K16,"'","")</f>
        <v>320250030011481174</v>
      </c>
      <c r="M16">
        <v>64100</v>
      </c>
    </row>
    <row r="17" spans="1:13" x14ac:dyDescent="0.4">
      <c r="A17" s="1">
        <v>45661</v>
      </c>
      <c r="B17" t="s">
        <v>4683</v>
      </c>
      <c r="C17" t="s">
        <v>6084</v>
      </c>
      <c r="D17">
        <v>64100</v>
      </c>
      <c r="E17" t="s">
        <v>6085</v>
      </c>
      <c r="F17">
        <v>59.92</v>
      </c>
      <c r="G17" t="s">
        <v>4686</v>
      </c>
      <c r="H17" t="s">
        <v>4687</v>
      </c>
      <c r="I17">
        <v>23840</v>
      </c>
      <c r="J17">
        <v>48791</v>
      </c>
      <c r="K17" t="s">
        <v>6086</v>
      </c>
      <c r="L17" t="str">
        <f>SUBSTITUTE(K17,"'","")</f>
        <v>320250030011483266</v>
      </c>
      <c r="M17">
        <v>64100</v>
      </c>
    </row>
    <row r="18" spans="1:13" x14ac:dyDescent="0.4">
      <c r="A18" s="1">
        <v>45661</v>
      </c>
      <c r="B18" t="s">
        <v>4683</v>
      </c>
      <c r="C18" t="s">
        <v>6087</v>
      </c>
      <c r="D18">
        <v>64100</v>
      </c>
      <c r="E18" t="s">
        <v>6088</v>
      </c>
      <c r="F18">
        <v>21.4</v>
      </c>
      <c r="G18" t="s">
        <v>4686</v>
      </c>
      <c r="H18" t="s">
        <v>4687</v>
      </c>
      <c r="I18">
        <v>23841</v>
      </c>
      <c r="J18">
        <v>48793</v>
      </c>
      <c r="K18" t="s">
        <v>6089</v>
      </c>
      <c r="L18" t="str">
        <f>SUBSTITUTE(K18,"'","")</f>
        <v>320250030011488580</v>
      </c>
      <c r="M18">
        <v>64100</v>
      </c>
    </row>
    <row r="19" spans="1:13" x14ac:dyDescent="0.4">
      <c r="A19" s="1">
        <v>45661</v>
      </c>
      <c r="B19" t="s">
        <v>4683</v>
      </c>
      <c r="C19" t="s">
        <v>6078</v>
      </c>
      <c r="D19">
        <v>64100</v>
      </c>
      <c r="E19" t="s">
        <v>6079</v>
      </c>
      <c r="F19">
        <v>289.06</v>
      </c>
      <c r="G19" t="s">
        <v>4686</v>
      </c>
      <c r="H19" t="s">
        <v>4687</v>
      </c>
      <c r="I19">
        <v>23838</v>
      </c>
      <c r="J19">
        <v>48787</v>
      </c>
      <c r="K19" t="s">
        <v>6080</v>
      </c>
      <c r="L19" t="str">
        <f>SUBSTITUTE(K19,"'","")</f>
        <v>320250030011496950</v>
      </c>
      <c r="M19">
        <v>64100</v>
      </c>
    </row>
    <row r="20" spans="1:13" x14ac:dyDescent="0.4">
      <c r="A20" s="1">
        <v>45661</v>
      </c>
      <c r="B20" t="s">
        <v>4683</v>
      </c>
      <c r="C20" t="s">
        <v>4695</v>
      </c>
      <c r="D20">
        <v>54820</v>
      </c>
      <c r="E20" t="s">
        <v>4696</v>
      </c>
      <c r="F20">
        <v>7.99</v>
      </c>
      <c r="G20" t="s">
        <v>4686</v>
      </c>
      <c r="H20" t="s">
        <v>4687</v>
      </c>
      <c r="I20">
        <v>23112</v>
      </c>
      <c r="J20">
        <v>47335</v>
      </c>
      <c r="K20" t="s">
        <v>4697</v>
      </c>
      <c r="L20" t="str">
        <f>SUBSTITUTE(K20,"'","")</f>
        <v>320250040020001922</v>
      </c>
      <c r="M20">
        <v>54820</v>
      </c>
    </row>
    <row r="21" spans="1:13" x14ac:dyDescent="0.4">
      <c r="A21" s="1">
        <v>45661</v>
      </c>
      <c r="B21" t="s">
        <v>4683</v>
      </c>
      <c r="C21" t="s">
        <v>5618</v>
      </c>
      <c r="D21">
        <v>61130</v>
      </c>
      <c r="E21" t="s">
        <v>478</v>
      </c>
      <c r="F21">
        <v>23.05</v>
      </c>
      <c r="G21" t="s">
        <v>4686</v>
      </c>
      <c r="H21" t="s">
        <v>4687</v>
      </c>
      <c r="I21">
        <v>22856</v>
      </c>
      <c r="J21">
        <v>46823</v>
      </c>
      <c r="K21" t="s">
        <v>5619</v>
      </c>
      <c r="L21" t="str">
        <f>SUBSTITUTE(K21,"'","")</f>
        <v>320250040023194053</v>
      </c>
      <c r="M21">
        <v>61130</v>
      </c>
    </row>
    <row r="22" spans="1:13" x14ac:dyDescent="0.4">
      <c r="A22" s="1">
        <v>45661</v>
      </c>
      <c r="B22" t="s">
        <v>4683</v>
      </c>
      <c r="C22" t="s">
        <v>5620</v>
      </c>
      <c r="D22">
        <v>61130</v>
      </c>
      <c r="E22" t="s">
        <v>478</v>
      </c>
      <c r="F22">
        <v>33.17</v>
      </c>
      <c r="G22" t="s">
        <v>4686</v>
      </c>
      <c r="H22" t="s">
        <v>4687</v>
      </c>
      <c r="I22">
        <v>22857</v>
      </c>
      <c r="J22">
        <v>46825</v>
      </c>
      <c r="K22" t="s">
        <v>5621</v>
      </c>
      <c r="L22" t="str">
        <f>SUBSTITUTE(K22,"'","")</f>
        <v>320250040023237801</v>
      </c>
      <c r="M22">
        <v>61130</v>
      </c>
    </row>
    <row r="23" spans="1:13" x14ac:dyDescent="0.4">
      <c r="A23" s="1">
        <v>45661</v>
      </c>
      <c r="B23" t="s">
        <v>4683</v>
      </c>
      <c r="C23" t="s">
        <v>5622</v>
      </c>
      <c r="D23">
        <v>61130</v>
      </c>
      <c r="E23" t="s">
        <v>478</v>
      </c>
      <c r="F23">
        <v>36.770000000000003</v>
      </c>
      <c r="G23" t="s">
        <v>4686</v>
      </c>
      <c r="H23" t="s">
        <v>4687</v>
      </c>
      <c r="I23">
        <v>22858</v>
      </c>
      <c r="J23">
        <v>46827</v>
      </c>
      <c r="K23" t="s">
        <v>5623</v>
      </c>
      <c r="L23" t="str">
        <f>SUBSTITUTE(K23,"'","")</f>
        <v>320250040023274963</v>
      </c>
      <c r="M23">
        <v>61130</v>
      </c>
    </row>
    <row r="24" spans="1:13" x14ac:dyDescent="0.4">
      <c r="A24" s="1">
        <v>45661</v>
      </c>
      <c r="B24" t="s">
        <v>4683</v>
      </c>
      <c r="C24" t="s">
        <v>5624</v>
      </c>
      <c r="D24">
        <v>61130</v>
      </c>
      <c r="E24" t="s">
        <v>478</v>
      </c>
      <c r="F24">
        <v>223.39</v>
      </c>
      <c r="G24" t="s">
        <v>4686</v>
      </c>
      <c r="H24" t="s">
        <v>4687</v>
      </c>
      <c r="I24">
        <v>22859</v>
      </c>
      <c r="J24">
        <v>46829</v>
      </c>
      <c r="K24" t="s">
        <v>5625</v>
      </c>
      <c r="L24" t="str">
        <f>SUBSTITUTE(K24,"'","")</f>
        <v>320250040023754582</v>
      </c>
      <c r="M24">
        <v>61130</v>
      </c>
    </row>
    <row r="25" spans="1:13" x14ac:dyDescent="0.4">
      <c r="A25" s="1">
        <v>45662</v>
      </c>
      <c r="B25" t="s">
        <v>4683</v>
      </c>
      <c r="C25" t="s">
        <v>6092</v>
      </c>
      <c r="D25">
        <v>64100</v>
      </c>
      <c r="E25" t="s">
        <v>6093</v>
      </c>
      <c r="F25">
        <v>24.62</v>
      </c>
      <c r="G25" t="s">
        <v>4686</v>
      </c>
      <c r="H25" t="s">
        <v>4687</v>
      </c>
      <c r="I25">
        <v>23244</v>
      </c>
      <c r="J25">
        <v>47599</v>
      </c>
      <c r="K25" t="s">
        <v>6094</v>
      </c>
      <c r="L25" t="str">
        <f>SUBSTITUTE(K25,"'","")</f>
        <v>320250040015453717</v>
      </c>
      <c r="M25">
        <v>64100</v>
      </c>
    </row>
    <row r="26" spans="1:13" x14ac:dyDescent="0.4">
      <c r="A26" s="1">
        <v>45662</v>
      </c>
      <c r="B26" t="s">
        <v>4683</v>
      </c>
      <c r="C26" t="s">
        <v>4698</v>
      </c>
      <c r="D26">
        <v>54820</v>
      </c>
      <c r="E26" t="s">
        <v>4699</v>
      </c>
      <c r="F26">
        <v>46.3</v>
      </c>
      <c r="G26" t="s">
        <v>4686</v>
      </c>
      <c r="H26" t="s">
        <v>4687</v>
      </c>
      <c r="I26">
        <v>24256</v>
      </c>
      <c r="J26">
        <v>49623</v>
      </c>
      <c r="K26" t="s">
        <v>4700</v>
      </c>
      <c r="L26" t="str">
        <f>SUBSTITUTE(K26,"'","")</f>
        <v>320250050042458629</v>
      </c>
      <c r="M26">
        <v>54820</v>
      </c>
    </row>
    <row r="27" spans="1:13" x14ac:dyDescent="0.4">
      <c r="A27" s="1">
        <v>45662</v>
      </c>
      <c r="B27" t="s">
        <v>4683</v>
      </c>
      <c r="C27" t="s">
        <v>6090</v>
      </c>
      <c r="D27">
        <v>64100</v>
      </c>
      <c r="E27" t="s">
        <v>517</v>
      </c>
      <c r="F27">
        <v>4</v>
      </c>
      <c r="G27" t="s">
        <v>4686</v>
      </c>
      <c r="H27" t="s">
        <v>4687</v>
      </c>
      <c r="I27">
        <v>22886</v>
      </c>
      <c r="J27">
        <v>46883</v>
      </c>
      <c r="K27" t="s">
        <v>6091</v>
      </c>
      <c r="L27" t="str">
        <f>SUBSTITUTE(K27,"'","")</f>
        <v>320250050042718188</v>
      </c>
      <c r="M27">
        <v>64100</v>
      </c>
    </row>
    <row r="28" spans="1:13" x14ac:dyDescent="0.4">
      <c r="A28" s="1">
        <v>45662</v>
      </c>
      <c r="B28" t="s">
        <v>4683</v>
      </c>
      <c r="C28" t="s">
        <v>5626</v>
      </c>
      <c r="D28">
        <v>61130</v>
      </c>
      <c r="E28" t="s">
        <v>478</v>
      </c>
      <c r="F28">
        <v>36.729999999999997</v>
      </c>
      <c r="G28" t="s">
        <v>4686</v>
      </c>
      <c r="H28" t="s">
        <v>4687</v>
      </c>
      <c r="I28">
        <v>22860</v>
      </c>
      <c r="J28">
        <v>46831</v>
      </c>
      <c r="K28" t="s">
        <v>5627</v>
      </c>
      <c r="L28" t="str">
        <f>SUBSTITUTE(K28,"'","")</f>
        <v>320250050046604183</v>
      </c>
      <c r="M28">
        <v>61130</v>
      </c>
    </row>
    <row r="29" spans="1:13" x14ac:dyDescent="0.4">
      <c r="A29" s="1">
        <v>45662</v>
      </c>
      <c r="B29" t="s">
        <v>4683</v>
      </c>
      <c r="C29" t="s">
        <v>5628</v>
      </c>
      <c r="D29">
        <v>61130</v>
      </c>
      <c r="E29" t="s">
        <v>478</v>
      </c>
      <c r="F29">
        <v>38</v>
      </c>
      <c r="G29" t="s">
        <v>4686</v>
      </c>
      <c r="H29" t="s">
        <v>4687</v>
      </c>
      <c r="I29">
        <v>22861</v>
      </c>
      <c r="J29">
        <v>46833</v>
      </c>
      <c r="K29" t="s">
        <v>5629</v>
      </c>
      <c r="L29" t="str">
        <f>SUBSTITUTE(K29,"'","")</f>
        <v>320250050046709386</v>
      </c>
      <c r="M29">
        <v>61130</v>
      </c>
    </row>
    <row r="30" spans="1:13" x14ac:dyDescent="0.4">
      <c r="A30" s="1">
        <v>45663</v>
      </c>
      <c r="B30" t="s">
        <v>4683</v>
      </c>
      <c r="C30" t="s">
        <v>4701</v>
      </c>
      <c r="D30">
        <v>54820</v>
      </c>
      <c r="E30" t="s">
        <v>2217</v>
      </c>
      <c r="F30">
        <v>11.33</v>
      </c>
      <c r="G30" t="s">
        <v>4686</v>
      </c>
      <c r="H30" t="s">
        <v>4687</v>
      </c>
      <c r="I30">
        <v>24013</v>
      </c>
      <c r="J30">
        <v>49137</v>
      </c>
      <c r="K30" t="s">
        <v>4702</v>
      </c>
      <c r="L30" t="str">
        <f>SUBSTITUTE(K30,"'","")</f>
        <v>320250060066833190</v>
      </c>
      <c r="M30">
        <v>54820</v>
      </c>
    </row>
    <row r="31" spans="1:13" x14ac:dyDescent="0.4">
      <c r="A31" s="1">
        <v>45663</v>
      </c>
      <c r="B31" t="s">
        <v>4683</v>
      </c>
      <c r="C31" t="s">
        <v>6398</v>
      </c>
      <c r="D31">
        <v>65600</v>
      </c>
      <c r="E31" t="s">
        <v>653</v>
      </c>
      <c r="F31">
        <v>330</v>
      </c>
      <c r="G31" t="s">
        <v>4686</v>
      </c>
      <c r="H31" t="s">
        <v>4687</v>
      </c>
      <c r="I31">
        <v>24258</v>
      </c>
      <c r="J31">
        <v>49627</v>
      </c>
      <c r="K31" t="s">
        <v>6399</v>
      </c>
      <c r="L31" t="str">
        <f>SUBSTITUTE(K31,"'","")</f>
        <v>320250060070402668</v>
      </c>
      <c r="M31">
        <v>65600</v>
      </c>
    </row>
    <row r="32" spans="1:13" x14ac:dyDescent="0.4">
      <c r="A32" s="1">
        <v>45664</v>
      </c>
      <c r="B32" t="s">
        <v>4683</v>
      </c>
      <c r="C32" t="s">
        <v>6095</v>
      </c>
      <c r="D32">
        <v>64100</v>
      </c>
      <c r="E32" t="s">
        <v>6096</v>
      </c>
      <c r="F32">
        <v>21.38</v>
      </c>
      <c r="G32" t="s">
        <v>4686</v>
      </c>
      <c r="H32" t="s">
        <v>4687</v>
      </c>
      <c r="I32">
        <v>23245</v>
      </c>
      <c r="J32">
        <v>47601</v>
      </c>
      <c r="K32" t="s">
        <v>6097</v>
      </c>
      <c r="L32" t="str">
        <f>SUBSTITUTE(K32,"'","")</f>
        <v>320250060084528362</v>
      </c>
      <c r="M32">
        <v>64100</v>
      </c>
    </row>
    <row r="33" spans="1:13" x14ac:dyDescent="0.4">
      <c r="A33" s="1">
        <v>45664</v>
      </c>
      <c r="B33" t="s">
        <v>4683</v>
      </c>
      <c r="C33" t="s">
        <v>4707</v>
      </c>
      <c r="D33">
        <v>54820</v>
      </c>
      <c r="E33" t="s">
        <v>4302</v>
      </c>
      <c r="F33">
        <v>33.979999999999997</v>
      </c>
      <c r="G33" t="s">
        <v>4686</v>
      </c>
      <c r="H33" t="s">
        <v>4687</v>
      </c>
      <c r="I33">
        <v>24448</v>
      </c>
      <c r="J33">
        <v>50007</v>
      </c>
      <c r="K33" t="s">
        <v>4708</v>
      </c>
      <c r="L33" t="str">
        <f>SUBSTITUTE(K33,"'","")</f>
        <v>320250070094268611</v>
      </c>
      <c r="M33">
        <v>54820</v>
      </c>
    </row>
    <row r="34" spans="1:13" x14ac:dyDescent="0.4">
      <c r="A34" s="1">
        <v>45664</v>
      </c>
      <c r="B34" t="s">
        <v>4683</v>
      </c>
      <c r="C34" t="s">
        <v>4705</v>
      </c>
      <c r="D34">
        <v>54820</v>
      </c>
      <c r="E34" t="s">
        <v>4302</v>
      </c>
      <c r="F34">
        <v>29.99</v>
      </c>
      <c r="G34" t="s">
        <v>4686</v>
      </c>
      <c r="H34" t="s">
        <v>4687</v>
      </c>
      <c r="I34">
        <v>24447</v>
      </c>
      <c r="J34">
        <v>50005</v>
      </c>
      <c r="K34" t="s">
        <v>4706</v>
      </c>
      <c r="L34" t="str">
        <f>SUBSTITUTE(K34,"'","")</f>
        <v>320250070094272994</v>
      </c>
      <c r="M34">
        <v>54820</v>
      </c>
    </row>
    <row r="35" spans="1:13" x14ac:dyDescent="0.4">
      <c r="A35" s="1">
        <v>45664</v>
      </c>
      <c r="B35" t="s">
        <v>4683</v>
      </c>
      <c r="C35" t="s">
        <v>6098</v>
      </c>
      <c r="D35">
        <v>64100</v>
      </c>
      <c r="E35" t="s">
        <v>2311</v>
      </c>
      <c r="F35">
        <v>54.38</v>
      </c>
      <c r="G35" t="s">
        <v>4686</v>
      </c>
      <c r="H35" t="s">
        <v>4687</v>
      </c>
      <c r="I35">
        <v>24131</v>
      </c>
      <c r="J35">
        <v>49373</v>
      </c>
      <c r="K35" t="s">
        <v>6099</v>
      </c>
      <c r="L35" t="str">
        <f>SUBSTITUTE(K35,"'","")</f>
        <v>320250080131648461</v>
      </c>
      <c r="M35">
        <v>64100</v>
      </c>
    </row>
    <row r="36" spans="1:13" x14ac:dyDescent="0.4">
      <c r="A36" s="1">
        <v>45664</v>
      </c>
      <c r="B36" t="s">
        <v>4683</v>
      </c>
      <c r="C36" t="s">
        <v>4703</v>
      </c>
      <c r="D36">
        <v>54820</v>
      </c>
      <c r="E36" t="s">
        <v>169</v>
      </c>
      <c r="F36">
        <v>13.9</v>
      </c>
      <c r="G36" t="s">
        <v>4686</v>
      </c>
      <c r="H36" t="s">
        <v>4687</v>
      </c>
      <c r="I36">
        <v>22920</v>
      </c>
      <c r="J36">
        <v>46951</v>
      </c>
      <c r="K36" t="s">
        <v>4704</v>
      </c>
      <c r="L36" t="str">
        <f>SUBSTITUTE(K36,"'","")</f>
        <v>320250090139451228</v>
      </c>
      <c r="M36">
        <v>54820</v>
      </c>
    </row>
    <row r="37" spans="1:13" x14ac:dyDescent="0.4">
      <c r="A37" s="1">
        <v>45665</v>
      </c>
      <c r="B37" t="s">
        <v>4683</v>
      </c>
      <c r="C37" t="s">
        <v>6519</v>
      </c>
      <c r="D37">
        <v>80100</v>
      </c>
      <c r="E37" t="s">
        <v>2303</v>
      </c>
      <c r="F37">
        <v>825.56</v>
      </c>
      <c r="G37" t="s">
        <v>4686</v>
      </c>
      <c r="H37" t="s">
        <v>4687</v>
      </c>
      <c r="I37">
        <v>23981</v>
      </c>
      <c r="J37">
        <v>49073</v>
      </c>
      <c r="K37" t="s">
        <v>6520</v>
      </c>
      <c r="L37" t="str">
        <f>SUBSTITUTE(K37,"'","")</f>
        <v>150109040000512099</v>
      </c>
      <c r="M37">
        <v>80100</v>
      </c>
    </row>
    <row r="38" spans="1:13" x14ac:dyDescent="0.4">
      <c r="A38" s="1">
        <v>45666</v>
      </c>
      <c r="B38" t="s">
        <v>4683</v>
      </c>
      <c r="C38" t="s">
        <v>6103</v>
      </c>
      <c r="D38">
        <v>64100</v>
      </c>
      <c r="E38" t="s">
        <v>153</v>
      </c>
      <c r="F38">
        <v>139.19999999999999</v>
      </c>
      <c r="G38" t="s">
        <v>4686</v>
      </c>
      <c r="H38" t="s">
        <v>4687</v>
      </c>
      <c r="I38">
        <v>24048</v>
      </c>
      <c r="J38">
        <v>49207</v>
      </c>
      <c r="K38" t="s">
        <v>6104</v>
      </c>
      <c r="L38" t="str">
        <f>SUBSTITUTE(K38,"'","")</f>
        <v>320250090139852047</v>
      </c>
      <c r="M38">
        <v>64100</v>
      </c>
    </row>
    <row r="39" spans="1:13" x14ac:dyDescent="0.4">
      <c r="A39" s="1">
        <v>45666</v>
      </c>
      <c r="B39" t="s">
        <v>4683</v>
      </c>
      <c r="C39" t="s">
        <v>6100</v>
      </c>
      <c r="D39">
        <v>64100</v>
      </c>
      <c r="E39" t="s">
        <v>6101</v>
      </c>
      <c r="F39">
        <v>223.33</v>
      </c>
      <c r="G39" t="s">
        <v>4686</v>
      </c>
      <c r="H39" t="s">
        <v>4687</v>
      </c>
      <c r="I39">
        <v>23280</v>
      </c>
      <c r="J39">
        <v>47671</v>
      </c>
      <c r="K39" t="s">
        <v>6102</v>
      </c>
      <c r="L39" t="str">
        <f>SUBSTITUTE(K39,"'","")</f>
        <v>320250090140978594</v>
      </c>
      <c r="M39">
        <v>64100</v>
      </c>
    </row>
    <row r="40" spans="1:13" x14ac:dyDescent="0.4">
      <c r="A40" s="1">
        <v>45667</v>
      </c>
      <c r="B40" t="s">
        <v>4683</v>
      </c>
      <c r="C40" t="s">
        <v>6448</v>
      </c>
      <c r="D40">
        <v>67500</v>
      </c>
      <c r="E40" t="s">
        <v>885</v>
      </c>
      <c r="F40">
        <v>46.55</v>
      </c>
      <c r="G40" t="s">
        <v>4686</v>
      </c>
      <c r="H40" t="s">
        <v>4687</v>
      </c>
      <c r="I40">
        <v>23970</v>
      </c>
      <c r="J40">
        <v>49051</v>
      </c>
      <c r="K40" t="s">
        <v>6449</v>
      </c>
      <c r="L40" t="str">
        <f>SUBSTITUTE(K40,"'","")</f>
        <v>320250100164304345</v>
      </c>
      <c r="M40">
        <v>67500</v>
      </c>
    </row>
    <row r="41" spans="1:13" x14ac:dyDescent="0.4">
      <c r="A41" s="1">
        <v>45667</v>
      </c>
      <c r="B41" t="s">
        <v>4683</v>
      </c>
      <c r="C41" t="s">
        <v>4709</v>
      </c>
      <c r="D41">
        <v>54820</v>
      </c>
      <c r="E41" t="s">
        <v>2146</v>
      </c>
      <c r="F41">
        <v>41.72</v>
      </c>
      <c r="G41" t="s">
        <v>4686</v>
      </c>
      <c r="H41" t="s">
        <v>4687</v>
      </c>
      <c r="I41">
        <v>24449</v>
      </c>
      <c r="J41">
        <v>50009</v>
      </c>
      <c r="K41" t="s">
        <v>4710</v>
      </c>
      <c r="L41" t="str">
        <f>SUBSTITUTE(K41,"'","")</f>
        <v>320250110201785519</v>
      </c>
      <c r="M41">
        <v>54820</v>
      </c>
    </row>
    <row r="42" spans="1:13" x14ac:dyDescent="0.4">
      <c r="A42" s="1">
        <v>45668</v>
      </c>
      <c r="B42" t="s">
        <v>4683</v>
      </c>
      <c r="C42" t="s">
        <v>4711</v>
      </c>
      <c r="D42">
        <v>54820</v>
      </c>
      <c r="E42" t="s">
        <v>4214</v>
      </c>
      <c r="F42">
        <v>172</v>
      </c>
      <c r="G42" t="s">
        <v>4686</v>
      </c>
      <c r="H42" t="s">
        <v>4687</v>
      </c>
      <c r="I42">
        <v>24450</v>
      </c>
      <c r="J42">
        <v>50011</v>
      </c>
      <c r="K42" t="s">
        <v>4712</v>
      </c>
      <c r="L42" t="str">
        <f>SUBSTITUTE(K42,"'","")</f>
        <v>320250100167393657</v>
      </c>
      <c r="M42">
        <v>54820</v>
      </c>
    </row>
    <row r="43" spans="1:13" x14ac:dyDescent="0.4">
      <c r="A43" s="1">
        <v>45668</v>
      </c>
      <c r="B43" t="s">
        <v>4683</v>
      </c>
      <c r="C43" t="s">
        <v>6106</v>
      </c>
      <c r="D43">
        <v>64100</v>
      </c>
      <c r="E43" t="s">
        <v>2259</v>
      </c>
      <c r="F43">
        <v>21.64</v>
      </c>
      <c r="G43" t="s">
        <v>4686</v>
      </c>
      <c r="H43" t="s">
        <v>4687</v>
      </c>
      <c r="I43">
        <v>26327</v>
      </c>
      <c r="J43">
        <v>53776</v>
      </c>
      <c r="K43" t="s">
        <v>4672</v>
      </c>
      <c r="L43" t="str">
        <f>SUBSTITUTE(K43,"'","")</f>
        <v>320250120216930217</v>
      </c>
      <c r="M43">
        <v>64100</v>
      </c>
    </row>
    <row r="44" spans="1:13" x14ac:dyDescent="0.4">
      <c r="A44" s="1">
        <v>45668</v>
      </c>
      <c r="B44" t="s">
        <v>4683</v>
      </c>
      <c r="C44" t="s">
        <v>6105</v>
      </c>
      <c r="D44">
        <v>64100</v>
      </c>
      <c r="E44" t="s">
        <v>458</v>
      </c>
      <c r="F44">
        <v>16.04</v>
      </c>
      <c r="G44" t="s">
        <v>4686</v>
      </c>
      <c r="H44" t="s">
        <v>4687</v>
      </c>
      <c r="I44">
        <v>25534</v>
      </c>
      <c r="J44">
        <v>52190</v>
      </c>
      <c r="K44" t="s">
        <v>2044</v>
      </c>
      <c r="L44" t="str">
        <f>SUBSTITUTE(K44,"'","")</f>
        <v>320250120218752716</v>
      </c>
      <c r="M44">
        <v>64100</v>
      </c>
    </row>
    <row r="45" spans="1:13" x14ac:dyDescent="0.4">
      <c r="A45" s="1">
        <v>45669</v>
      </c>
      <c r="B45" t="s">
        <v>4683</v>
      </c>
      <c r="C45" t="s">
        <v>5630</v>
      </c>
      <c r="D45">
        <v>61130</v>
      </c>
      <c r="E45" t="s">
        <v>478</v>
      </c>
      <c r="F45">
        <v>28.32</v>
      </c>
      <c r="G45" t="s">
        <v>4686</v>
      </c>
      <c r="H45" t="s">
        <v>4687</v>
      </c>
      <c r="I45">
        <v>25367</v>
      </c>
      <c r="J45">
        <v>51856</v>
      </c>
      <c r="K45" t="s">
        <v>2042</v>
      </c>
      <c r="L45" t="str">
        <f>SUBSTITUTE(K45,"'","")</f>
        <v>320250120213109403</v>
      </c>
      <c r="M45">
        <v>61130</v>
      </c>
    </row>
    <row r="46" spans="1:13" x14ac:dyDescent="0.4">
      <c r="A46" s="1">
        <v>45669</v>
      </c>
      <c r="B46" t="s">
        <v>4683</v>
      </c>
      <c r="C46" t="s">
        <v>4714</v>
      </c>
      <c r="D46">
        <v>54820</v>
      </c>
      <c r="E46" t="s">
        <v>2246</v>
      </c>
      <c r="F46">
        <v>11.99</v>
      </c>
      <c r="G46" t="s">
        <v>4686</v>
      </c>
      <c r="H46" t="s">
        <v>4687</v>
      </c>
      <c r="I46">
        <v>26295</v>
      </c>
      <c r="J46">
        <v>53712</v>
      </c>
      <c r="K46" t="s">
        <v>4668</v>
      </c>
      <c r="L46" t="str">
        <f>SUBSTITUTE(K46,"'","")</f>
        <v>320250120231674656</v>
      </c>
      <c r="M46">
        <v>54820</v>
      </c>
    </row>
    <row r="47" spans="1:13" x14ac:dyDescent="0.4">
      <c r="A47" s="1">
        <v>45669</v>
      </c>
      <c r="B47" t="s">
        <v>4683</v>
      </c>
      <c r="C47" t="s">
        <v>4713</v>
      </c>
      <c r="D47">
        <v>54820</v>
      </c>
      <c r="E47" t="s">
        <v>2240</v>
      </c>
      <c r="F47">
        <v>63.09</v>
      </c>
      <c r="G47" t="s">
        <v>4686</v>
      </c>
      <c r="H47" t="s">
        <v>4687</v>
      </c>
      <c r="I47">
        <v>26118</v>
      </c>
      <c r="J47">
        <v>53358</v>
      </c>
      <c r="K47" t="s">
        <v>4670</v>
      </c>
      <c r="L47" t="str">
        <f>SUBSTITUTE(K47,"'","")</f>
        <v>320250130246487755</v>
      </c>
      <c r="M47">
        <v>54820</v>
      </c>
    </row>
    <row r="48" spans="1:13" x14ac:dyDescent="0.4">
      <c r="A48" s="1">
        <v>45670</v>
      </c>
      <c r="B48" t="s">
        <v>4683</v>
      </c>
      <c r="C48" t="s">
        <v>5515</v>
      </c>
      <c r="D48">
        <v>61100</v>
      </c>
      <c r="E48" t="s">
        <v>4663</v>
      </c>
      <c r="F48">
        <v>40.58</v>
      </c>
      <c r="G48" t="s">
        <v>4686</v>
      </c>
      <c r="H48" t="s">
        <v>4687</v>
      </c>
      <c r="I48">
        <v>26248</v>
      </c>
      <c r="J48">
        <v>53618</v>
      </c>
      <c r="K48" t="s">
        <v>4665</v>
      </c>
      <c r="L48" t="str">
        <f>SUBSTITUTE(K48,"'","")</f>
        <v>320250130237878130</v>
      </c>
      <c r="M48">
        <v>61100</v>
      </c>
    </row>
    <row r="49" spans="1:13" x14ac:dyDescent="0.4">
      <c r="A49" s="1">
        <v>45671</v>
      </c>
      <c r="B49" t="s">
        <v>4683</v>
      </c>
      <c r="C49" t="s">
        <v>4715</v>
      </c>
      <c r="D49">
        <v>54820</v>
      </c>
      <c r="E49" t="s">
        <v>4325</v>
      </c>
      <c r="F49">
        <v>300</v>
      </c>
      <c r="G49" t="s">
        <v>4686</v>
      </c>
      <c r="H49" t="s">
        <v>4687</v>
      </c>
      <c r="I49">
        <v>26113</v>
      </c>
      <c r="J49">
        <v>53348</v>
      </c>
      <c r="K49" t="s">
        <v>4658</v>
      </c>
      <c r="L49" t="str">
        <f>SUBSTITUTE(K49,"'","")</f>
        <v>320250140261104869</v>
      </c>
      <c r="M49">
        <v>54820</v>
      </c>
    </row>
    <row r="50" spans="1:13" x14ac:dyDescent="0.4">
      <c r="A50" s="1">
        <v>45671</v>
      </c>
      <c r="B50" t="s">
        <v>4683</v>
      </c>
      <c r="C50" t="s">
        <v>4719</v>
      </c>
      <c r="D50">
        <v>54820</v>
      </c>
      <c r="E50" t="s">
        <v>2222</v>
      </c>
      <c r="F50">
        <v>20.18</v>
      </c>
      <c r="G50" t="s">
        <v>4686</v>
      </c>
      <c r="H50" t="s">
        <v>4687</v>
      </c>
      <c r="I50">
        <v>26448</v>
      </c>
      <c r="J50">
        <v>54018</v>
      </c>
      <c r="K50" t="s">
        <v>4662</v>
      </c>
      <c r="L50" t="str">
        <f>SUBSTITUTE(K50,"'","")</f>
        <v>320250140261791654</v>
      </c>
      <c r="M50">
        <v>54820</v>
      </c>
    </row>
    <row r="51" spans="1:13" x14ac:dyDescent="0.4">
      <c r="A51" s="1">
        <v>45671</v>
      </c>
      <c r="B51" t="s">
        <v>4683</v>
      </c>
      <c r="C51" t="s">
        <v>4718</v>
      </c>
      <c r="D51">
        <v>54820</v>
      </c>
      <c r="E51" t="s">
        <v>2217</v>
      </c>
      <c r="F51">
        <v>50.67</v>
      </c>
      <c r="G51" t="s">
        <v>4686</v>
      </c>
      <c r="H51" t="s">
        <v>4687</v>
      </c>
      <c r="I51">
        <v>26258</v>
      </c>
      <c r="J51">
        <v>53638</v>
      </c>
      <c r="K51" t="s">
        <v>4660</v>
      </c>
      <c r="L51" t="str">
        <f>SUBSTITUTE(K51,"'","")</f>
        <v>320250140262399923</v>
      </c>
      <c r="M51">
        <v>54820</v>
      </c>
    </row>
    <row r="52" spans="1:13" x14ac:dyDescent="0.4">
      <c r="A52" s="1">
        <v>45671</v>
      </c>
      <c r="B52" t="s">
        <v>4683</v>
      </c>
      <c r="C52" t="s">
        <v>4717</v>
      </c>
      <c r="D52">
        <v>54820</v>
      </c>
      <c r="E52" t="s">
        <v>4302</v>
      </c>
      <c r="F52">
        <v>65.36</v>
      </c>
      <c r="G52" t="s">
        <v>4686</v>
      </c>
      <c r="H52" t="s">
        <v>4687</v>
      </c>
      <c r="I52">
        <v>26159</v>
      </c>
      <c r="J52">
        <v>53440</v>
      </c>
      <c r="K52" t="s">
        <v>4656</v>
      </c>
      <c r="L52" t="str">
        <f>SUBSTITUTE(K52,"'","")</f>
        <v>320250140265806913</v>
      </c>
      <c r="M52">
        <v>54820</v>
      </c>
    </row>
    <row r="53" spans="1:13" x14ac:dyDescent="0.4">
      <c r="A53" s="1">
        <v>45671</v>
      </c>
      <c r="B53" t="s">
        <v>4683</v>
      </c>
      <c r="C53" t="s">
        <v>4716</v>
      </c>
      <c r="D53">
        <v>54820</v>
      </c>
      <c r="E53" t="s">
        <v>4302</v>
      </c>
      <c r="F53">
        <v>29.99</v>
      </c>
      <c r="G53" t="s">
        <v>4686</v>
      </c>
      <c r="H53" t="s">
        <v>4687</v>
      </c>
      <c r="I53">
        <v>26158</v>
      </c>
      <c r="J53">
        <v>53438</v>
      </c>
      <c r="K53" t="s">
        <v>4655</v>
      </c>
      <c r="L53" t="str">
        <f>SUBSTITUTE(K53,"'","")</f>
        <v>320250140266087960</v>
      </c>
      <c r="M53">
        <v>54820</v>
      </c>
    </row>
    <row r="54" spans="1:13" x14ac:dyDescent="0.4">
      <c r="A54" s="1">
        <v>45671</v>
      </c>
      <c r="B54" t="s">
        <v>4683</v>
      </c>
      <c r="C54" t="s">
        <v>6408</v>
      </c>
      <c r="D54">
        <v>65700</v>
      </c>
      <c r="E54" t="s">
        <v>83</v>
      </c>
      <c r="F54">
        <v>104.33</v>
      </c>
      <c r="G54" t="s">
        <v>4686</v>
      </c>
      <c r="H54" t="s">
        <v>4687</v>
      </c>
      <c r="I54">
        <v>25544</v>
      </c>
      <c r="J54">
        <v>52210</v>
      </c>
      <c r="K54" t="s">
        <v>2040</v>
      </c>
      <c r="L54" t="str">
        <f>SUBSTITUTE(K54,"'","")</f>
        <v>320250150296821107</v>
      </c>
      <c r="M54">
        <v>65700</v>
      </c>
    </row>
    <row r="55" spans="1:13" x14ac:dyDescent="0.4">
      <c r="A55" s="1">
        <v>45672</v>
      </c>
      <c r="B55" t="s">
        <v>4683</v>
      </c>
      <c r="C55" t="s">
        <v>4720</v>
      </c>
      <c r="D55">
        <v>54820</v>
      </c>
      <c r="E55" t="s">
        <v>4650</v>
      </c>
      <c r="F55">
        <v>20.9</v>
      </c>
      <c r="G55" t="s">
        <v>4686</v>
      </c>
      <c r="H55" t="s">
        <v>4687</v>
      </c>
      <c r="I55">
        <v>26613</v>
      </c>
      <c r="J55">
        <v>54348</v>
      </c>
      <c r="K55" t="s">
        <v>4653</v>
      </c>
      <c r="L55" t="str">
        <f>SUBSTITUTE(K55,"'","")</f>
        <v>320250160319748672</v>
      </c>
      <c r="M55">
        <v>54820</v>
      </c>
    </row>
    <row r="56" spans="1:13" x14ac:dyDescent="0.4">
      <c r="A56" s="1">
        <v>45672</v>
      </c>
      <c r="B56" t="s">
        <v>4683</v>
      </c>
      <c r="C56" t="s">
        <v>4721</v>
      </c>
      <c r="D56">
        <v>54820</v>
      </c>
      <c r="E56" t="s">
        <v>4650</v>
      </c>
      <c r="F56">
        <v>20.9</v>
      </c>
      <c r="G56" t="s">
        <v>4686</v>
      </c>
      <c r="H56" t="s">
        <v>4687</v>
      </c>
      <c r="I56">
        <v>26614</v>
      </c>
      <c r="J56">
        <v>54350</v>
      </c>
      <c r="K56" t="s">
        <v>4654</v>
      </c>
      <c r="L56" t="str">
        <f>SUBSTITUTE(K56,"'","")</f>
        <v>320250160319791823</v>
      </c>
      <c r="M56">
        <v>54820</v>
      </c>
    </row>
    <row r="57" spans="1:13" x14ac:dyDescent="0.4">
      <c r="A57" s="1">
        <v>45672</v>
      </c>
      <c r="B57" t="s">
        <v>4683</v>
      </c>
      <c r="C57" t="s">
        <v>6107</v>
      </c>
      <c r="D57">
        <v>64100</v>
      </c>
      <c r="E57" t="s">
        <v>437</v>
      </c>
      <c r="F57">
        <v>10</v>
      </c>
      <c r="G57" t="s">
        <v>4686</v>
      </c>
      <c r="H57" t="s">
        <v>4687</v>
      </c>
      <c r="I57">
        <v>25569</v>
      </c>
      <c r="J57">
        <v>52260</v>
      </c>
      <c r="K57" t="s">
        <v>2038</v>
      </c>
      <c r="L57" t="str">
        <f>SUBSTITUTE(K57,"'","")</f>
        <v>320250160323251142</v>
      </c>
      <c r="M57">
        <v>64100</v>
      </c>
    </row>
    <row r="58" spans="1:13" x14ac:dyDescent="0.4">
      <c r="A58" s="1">
        <v>45673</v>
      </c>
      <c r="B58" t="s">
        <v>4683</v>
      </c>
      <c r="C58" t="s">
        <v>4724</v>
      </c>
      <c r="D58">
        <v>54820</v>
      </c>
      <c r="E58" t="s">
        <v>3894</v>
      </c>
      <c r="F58">
        <v>27.99</v>
      </c>
      <c r="G58" t="s">
        <v>4686</v>
      </c>
      <c r="H58" t="s">
        <v>4687</v>
      </c>
      <c r="I58">
        <v>26520</v>
      </c>
      <c r="J58">
        <v>54162</v>
      </c>
      <c r="K58" t="s">
        <v>4647</v>
      </c>
      <c r="L58" t="str">
        <f>SUBSTITUTE(K58,"'","")</f>
        <v>320250160313491858</v>
      </c>
      <c r="M58">
        <v>54820</v>
      </c>
    </row>
    <row r="59" spans="1:13" x14ac:dyDescent="0.4">
      <c r="A59" s="1">
        <v>45673</v>
      </c>
      <c r="B59" t="s">
        <v>4683</v>
      </c>
      <c r="C59" t="s">
        <v>4722</v>
      </c>
      <c r="D59">
        <v>54820</v>
      </c>
      <c r="E59" t="s">
        <v>583</v>
      </c>
      <c r="F59">
        <v>91.19</v>
      </c>
      <c r="G59" t="s">
        <v>4686</v>
      </c>
      <c r="H59" t="s">
        <v>4687</v>
      </c>
      <c r="I59">
        <v>25362</v>
      </c>
      <c r="J59">
        <v>51846</v>
      </c>
      <c r="K59" t="s">
        <v>2034</v>
      </c>
      <c r="L59" t="str">
        <f>SUBSTITUTE(K59,"'","")</f>
        <v>320250160316131282</v>
      </c>
      <c r="M59">
        <v>54820</v>
      </c>
    </row>
    <row r="60" spans="1:13" x14ac:dyDescent="0.4">
      <c r="A60" s="1">
        <v>45673</v>
      </c>
      <c r="B60" t="s">
        <v>4683</v>
      </c>
      <c r="C60" t="s">
        <v>6369</v>
      </c>
      <c r="D60">
        <v>64200</v>
      </c>
      <c r="E60" t="s">
        <v>1975</v>
      </c>
      <c r="F60">
        <v>378.72</v>
      </c>
      <c r="G60" t="s">
        <v>4686</v>
      </c>
      <c r="H60" t="s">
        <v>4687</v>
      </c>
      <c r="I60">
        <v>25670</v>
      </c>
      <c r="J60">
        <v>52462</v>
      </c>
      <c r="K60" t="s">
        <v>2036</v>
      </c>
      <c r="L60" t="str">
        <f>SUBSTITUTE(K60,"'","")</f>
        <v>320250160329171458</v>
      </c>
      <c r="M60">
        <v>64200</v>
      </c>
    </row>
    <row r="61" spans="1:13" x14ac:dyDescent="0.4">
      <c r="A61" s="1">
        <v>45673</v>
      </c>
      <c r="B61" t="s">
        <v>4683</v>
      </c>
      <c r="C61" t="s">
        <v>4723</v>
      </c>
      <c r="D61">
        <v>54820</v>
      </c>
      <c r="E61" t="s">
        <v>2240</v>
      </c>
      <c r="F61">
        <v>49.57</v>
      </c>
      <c r="G61" t="s">
        <v>4686</v>
      </c>
      <c r="H61" t="s">
        <v>4687</v>
      </c>
      <c r="I61">
        <v>26119</v>
      </c>
      <c r="J61">
        <v>53360</v>
      </c>
      <c r="K61" t="s">
        <v>4649</v>
      </c>
      <c r="L61" t="str">
        <f>SUBSTITUTE(K61,"'","")</f>
        <v>320250170349399169</v>
      </c>
      <c r="M61">
        <v>54820</v>
      </c>
    </row>
    <row r="62" spans="1:13" x14ac:dyDescent="0.4">
      <c r="A62" s="1">
        <v>45673</v>
      </c>
      <c r="B62" t="s">
        <v>4683</v>
      </c>
      <c r="C62" t="s">
        <v>6409</v>
      </c>
      <c r="D62">
        <v>65700</v>
      </c>
      <c r="E62" t="s">
        <v>4641</v>
      </c>
      <c r="F62">
        <v>15.41</v>
      </c>
      <c r="G62" t="s">
        <v>4686</v>
      </c>
      <c r="H62" t="s">
        <v>4687</v>
      </c>
      <c r="I62">
        <v>26415</v>
      </c>
      <c r="J62">
        <v>53952</v>
      </c>
      <c r="K62" t="s">
        <v>4644</v>
      </c>
      <c r="L62" t="str">
        <f>SUBSTITUTE(K62,"'","")</f>
        <v>320250180384383438</v>
      </c>
      <c r="M62">
        <v>65700</v>
      </c>
    </row>
    <row r="63" spans="1:13" x14ac:dyDescent="0.4">
      <c r="A63" s="1">
        <v>45674</v>
      </c>
      <c r="B63" t="s">
        <v>4683</v>
      </c>
      <c r="C63" t="s">
        <v>4725</v>
      </c>
      <c r="D63">
        <v>54820</v>
      </c>
      <c r="E63" t="s">
        <v>2142</v>
      </c>
      <c r="F63">
        <v>16.829999999999998</v>
      </c>
      <c r="G63" t="s">
        <v>4686</v>
      </c>
      <c r="H63" t="s">
        <v>4687</v>
      </c>
      <c r="I63">
        <v>26577</v>
      </c>
      <c r="J63">
        <v>54276</v>
      </c>
      <c r="K63" t="s">
        <v>4640</v>
      </c>
      <c r="L63" t="str">
        <f>SUBSTITUTE(K63,"'","")</f>
        <v>320250180376610675</v>
      </c>
      <c r="M63">
        <v>54820</v>
      </c>
    </row>
    <row r="64" spans="1:13" x14ac:dyDescent="0.4">
      <c r="A64" s="1">
        <v>45675</v>
      </c>
      <c r="B64" t="s">
        <v>4683</v>
      </c>
      <c r="C64" t="s">
        <v>4726</v>
      </c>
      <c r="D64">
        <v>54820</v>
      </c>
      <c r="E64" t="s">
        <v>4630</v>
      </c>
      <c r="F64">
        <v>83.99</v>
      </c>
      <c r="G64" t="s">
        <v>4686</v>
      </c>
      <c r="H64" t="s">
        <v>4687</v>
      </c>
      <c r="I64">
        <v>26157</v>
      </c>
      <c r="J64">
        <v>53436</v>
      </c>
      <c r="K64" t="s">
        <v>4634</v>
      </c>
      <c r="L64" t="str">
        <f>SUBSTITUTE(K64,"'","")</f>
        <v>320250180364632138</v>
      </c>
      <c r="M64">
        <v>54820</v>
      </c>
    </row>
    <row r="65" spans="1:13" x14ac:dyDescent="0.4">
      <c r="A65" s="1">
        <v>45675</v>
      </c>
      <c r="B65" t="s">
        <v>4683</v>
      </c>
      <c r="C65" t="s">
        <v>4727</v>
      </c>
      <c r="D65">
        <v>54820</v>
      </c>
      <c r="E65" t="s">
        <v>4635</v>
      </c>
      <c r="F65">
        <v>61.75</v>
      </c>
      <c r="G65" t="s">
        <v>4686</v>
      </c>
      <c r="H65" t="s">
        <v>4687</v>
      </c>
      <c r="I65">
        <v>26186</v>
      </c>
      <c r="J65">
        <v>53494</v>
      </c>
      <c r="K65" t="s">
        <v>4638</v>
      </c>
      <c r="L65" t="str">
        <f>SUBSTITUTE(K65,"'","")</f>
        <v>320250190401162038</v>
      </c>
      <c r="M65">
        <v>54820</v>
      </c>
    </row>
    <row r="66" spans="1:13" x14ac:dyDescent="0.4">
      <c r="A66" s="1">
        <v>45675</v>
      </c>
      <c r="B66" t="s">
        <v>4683</v>
      </c>
      <c r="C66" t="s">
        <v>6047</v>
      </c>
      <c r="D66">
        <v>63100</v>
      </c>
      <c r="E66" t="s">
        <v>2030</v>
      </c>
      <c r="F66">
        <v>43.18</v>
      </c>
      <c r="G66" t="s">
        <v>4686</v>
      </c>
      <c r="H66" t="s">
        <v>4687</v>
      </c>
      <c r="I66">
        <v>25554</v>
      </c>
      <c r="J66">
        <v>52230</v>
      </c>
      <c r="K66" t="s">
        <v>2032</v>
      </c>
      <c r="L66" t="str">
        <f>SUBSTITUTE(K66,"'","")</f>
        <v>320250190405707295</v>
      </c>
      <c r="M66">
        <v>63100</v>
      </c>
    </row>
    <row r="67" spans="1:13" x14ac:dyDescent="0.4">
      <c r="A67" s="1">
        <v>45676</v>
      </c>
      <c r="B67" t="s">
        <v>4683</v>
      </c>
      <c r="C67" t="s">
        <v>4729</v>
      </c>
      <c r="D67">
        <v>54820</v>
      </c>
      <c r="E67" t="s">
        <v>4625</v>
      </c>
      <c r="F67">
        <v>124.3</v>
      </c>
      <c r="G67" t="s">
        <v>4686</v>
      </c>
      <c r="H67" t="s">
        <v>4687</v>
      </c>
      <c r="I67">
        <v>26616</v>
      </c>
      <c r="J67">
        <v>54354</v>
      </c>
      <c r="K67" t="s">
        <v>4629</v>
      </c>
      <c r="L67" t="str">
        <f>SUBSTITUTE(K67,"'","")</f>
        <v>320250190391173789</v>
      </c>
      <c r="M67">
        <v>54820</v>
      </c>
    </row>
    <row r="68" spans="1:13" x14ac:dyDescent="0.4">
      <c r="A68" s="1">
        <v>45676</v>
      </c>
      <c r="B68" t="s">
        <v>4683</v>
      </c>
      <c r="C68" t="s">
        <v>4728</v>
      </c>
      <c r="D68">
        <v>54820</v>
      </c>
      <c r="E68" t="s">
        <v>4621</v>
      </c>
      <c r="F68">
        <v>608.6</v>
      </c>
      <c r="G68" t="s">
        <v>4686</v>
      </c>
      <c r="H68" t="s">
        <v>4687</v>
      </c>
      <c r="I68">
        <v>26615</v>
      </c>
      <c r="J68">
        <v>54352</v>
      </c>
      <c r="K68" t="s">
        <v>4624</v>
      </c>
      <c r="L68" t="str">
        <f>SUBSTITUTE(K68,"'","")</f>
        <v>320250200427753786</v>
      </c>
      <c r="M68">
        <v>54820</v>
      </c>
    </row>
    <row r="69" spans="1:13" x14ac:dyDescent="0.4">
      <c r="A69" s="1">
        <v>45676</v>
      </c>
      <c r="B69" t="s">
        <v>4683</v>
      </c>
      <c r="C69" t="s">
        <v>6108</v>
      </c>
      <c r="D69">
        <v>64100</v>
      </c>
      <c r="E69" t="s">
        <v>2025</v>
      </c>
      <c r="F69">
        <v>29.94</v>
      </c>
      <c r="G69" t="s">
        <v>4686</v>
      </c>
      <c r="H69" t="s">
        <v>4687</v>
      </c>
      <c r="I69">
        <v>25558</v>
      </c>
      <c r="J69">
        <v>52238</v>
      </c>
      <c r="K69" t="s">
        <v>2028</v>
      </c>
      <c r="L69" t="str">
        <f>SUBSTITUTE(K69,"'","")</f>
        <v>320250210446082211</v>
      </c>
      <c r="M69">
        <v>64100</v>
      </c>
    </row>
    <row r="70" spans="1:13" x14ac:dyDescent="0.4">
      <c r="A70" s="1">
        <v>45677</v>
      </c>
      <c r="B70" t="s">
        <v>4683</v>
      </c>
      <c r="C70" t="s">
        <v>6450</v>
      </c>
      <c r="D70">
        <v>67500</v>
      </c>
      <c r="E70" t="s">
        <v>885</v>
      </c>
      <c r="F70">
        <v>46.9</v>
      </c>
      <c r="G70" t="s">
        <v>4686</v>
      </c>
      <c r="H70" t="s">
        <v>4687</v>
      </c>
      <c r="I70">
        <v>26352</v>
      </c>
      <c r="J70">
        <v>53826</v>
      </c>
      <c r="K70" t="s">
        <v>4616</v>
      </c>
      <c r="L70" t="str">
        <f>SUBSTITUTE(K70,"'","")</f>
        <v>320250200417808285</v>
      </c>
      <c r="M70">
        <v>67500</v>
      </c>
    </row>
    <row r="71" spans="1:13" x14ac:dyDescent="0.4">
      <c r="A71" s="1">
        <v>45677</v>
      </c>
      <c r="B71" t="s">
        <v>4683</v>
      </c>
      <c r="C71" t="s">
        <v>4733</v>
      </c>
      <c r="D71">
        <v>54820</v>
      </c>
      <c r="E71" t="s">
        <v>3894</v>
      </c>
      <c r="F71">
        <v>8.5500000000000007</v>
      </c>
      <c r="G71" t="s">
        <v>4686</v>
      </c>
      <c r="H71" t="s">
        <v>4687</v>
      </c>
      <c r="I71">
        <v>26521</v>
      </c>
      <c r="J71">
        <v>54164</v>
      </c>
      <c r="K71" t="s">
        <v>4614</v>
      </c>
      <c r="L71" t="str">
        <f>SUBSTITUTE(K71,"'","")</f>
        <v>320250200420302666</v>
      </c>
      <c r="M71">
        <v>54820</v>
      </c>
    </row>
    <row r="72" spans="1:13" x14ac:dyDescent="0.4">
      <c r="A72" s="1">
        <v>45677</v>
      </c>
      <c r="B72" t="s">
        <v>4683</v>
      </c>
      <c r="C72" t="s">
        <v>5632</v>
      </c>
      <c r="D72">
        <v>61130</v>
      </c>
      <c r="E72" t="s">
        <v>478</v>
      </c>
      <c r="F72">
        <v>41.72</v>
      </c>
      <c r="G72" t="s">
        <v>4686</v>
      </c>
      <c r="H72" t="s">
        <v>4687</v>
      </c>
      <c r="I72">
        <v>25369</v>
      </c>
      <c r="J72">
        <v>51860</v>
      </c>
      <c r="K72" t="s">
        <v>2024</v>
      </c>
      <c r="L72" t="str">
        <f>SUBSTITUTE(K72,"'","")</f>
        <v>320250200421677863</v>
      </c>
      <c r="M72">
        <v>61130</v>
      </c>
    </row>
    <row r="73" spans="1:13" x14ac:dyDescent="0.4">
      <c r="A73" s="1">
        <v>45677</v>
      </c>
      <c r="B73" t="s">
        <v>4683</v>
      </c>
      <c r="C73" t="s">
        <v>5631</v>
      </c>
      <c r="D73">
        <v>61130</v>
      </c>
      <c r="E73" t="s">
        <v>478</v>
      </c>
      <c r="F73">
        <v>35.67</v>
      </c>
      <c r="G73" t="s">
        <v>4686</v>
      </c>
      <c r="H73" t="s">
        <v>4687</v>
      </c>
      <c r="I73">
        <v>25368</v>
      </c>
      <c r="J73">
        <v>51858</v>
      </c>
      <c r="K73" t="s">
        <v>2022</v>
      </c>
      <c r="L73" t="str">
        <f>SUBSTITUTE(K73,"'","")</f>
        <v>320250200421938841</v>
      </c>
      <c r="M73">
        <v>61130</v>
      </c>
    </row>
    <row r="74" spans="1:13" x14ac:dyDescent="0.4">
      <c r="A74" s="1">
        <v>45677</v>
      </c>
      <c r="B74" t="s">
        <v>4683</v>
      </c>
      <c r="C74" t="s">
        <v>5866</v>
      </c>
      <c r="D74">
        <v>61131</v>
      </c>
      <c r="E74" t="s">
        <v>4572</v>
      </c>
      <c r="F74">
        <v>30</v>
      </c>
      <c r="G74" t="s">
        <v>4686</v>
      </c>
      <c r="H74" t="s">
        <v>4687</v>
      </c>
      <c r="I74">
        <v>26696</v>
      </c>
      <c r="J74">
        <v>54514</v>
      </c>
      <c r="K74" t="s">
        <v>4612</v>
      </c>
      <c r="L74" t="str">
        <f>SUBSTITUTE(K74,"'","")</f>
        <v>320250200422515828</v>
      </c>
      <c r="M74">
        <v>61131</v>
      </c>
    </row>
    <row r="75" spans="1:13" x14ac:dyDescent="0.4">
      <c r="A75" s="1">
        <v>45677</v>
      </c>
      <c r="B75" t="s">
        <v>4730</v>
      </c>
      <c r="C75" t="s">
        <v>4732</v>
      </c>
      <c r="D75">
        <v>54820</v>
      </c>
      <c r="E75" t="s">
        <v>4302</v>
      </c>
      <c r="F75">
        <v>-29.99</v>
      </c>
      <c r="G75" t="s">
        <v>4686</v>
      </c>
      <c r="H75" t="s">
        <v>4687</v>
      </c>
      <c r="I75">
        <v>26161</v>
      </c>
      <c r="J75">
        <v>53444</v>
      </c>
      <c r="K75" t="s">
        <v>4620</v>
      </c>
      <c r="L75" t="str">
        <f>SUBSTITUTE(K75,"'","")</f>
        <v>320250210445601194</v>
      </c>
      <c r="M75">
        <v>54820</v>
      </c>
    </row>
    <row r="76" spans="1:13" x14ac:dyDescent="0.4">
      <c r="A76" s="1">
        <v>45677</v>
      </c>
      <c r="B76" t="s">
        <v>4730</v>
      </c>
      <c r="C76" t="s">
        <v>4731</v>
      </c>
      <c r="D76">
        <v>54820</v>
      </c>
      <c r="E76" t="s">
        <v>4302</v>
      </c>
      <c r="F76">
        <v>-65.36</v>
      </c>
      <c r="G76" t="s">
        <v>4686</v>
      </c>
      <c r="H76" t="s">
        <v>4687</v>
      </c>
      <c r="I76">
        <v>26160</v>
      </c>
      <c r="J76">
        <v>53442</v>
      </c>
      <c r="K76" t="s">
        <v>4618</v>
      </c>
      <c r="L76" t="str">
        <f>SUBSTITUTE(K76,"'","")</f>
        <v>320250210445619784</v>
      </c>
      <c r="M76">
        <v>54820</v>
      </c>
    </row>
    <row r="77" spans="1:13" x14ac:dyDescent="0.4">
      <c r="A77" s="1">
        <v>45677</v>
      </c>
      <c r="B77" t="s">
        <v>4683</v>
      </c>
      <c r="C77" t="s">
        <v>4734</v>
      </c>
      <c r="D77">
        <v>54820</v>
      </c>
      <c r="E77" t="s">
        <v>4606</v>
      </c>
      <c r="F77">
        <v>37.83</v>
      </c>
      <c r="G77" t="s">
        <v>4686</v>
      </c>
      <c r="H77" t="s">
        <v>4687</v>
      </c>
      <c r="I77">
        <v>26617</v>
      </c>
      <c r="J77">
        <v>54356</v>
      </c>
      <c r="K77" t="s">
        <v>4610</v>
      </c>
      <c r="L77" t="str">
        <f>SUBSTITUTE(K77,"'","")</f>
        <v>320250210451773828</v>
      </c>
      <c r="M77">
        <v>54820</v>
      </c>
    </row>
    <row r="78" spans="1:13" x14ac:dyDescent="0.4">
      <c r="A78" s="1">
        <v>45677</v>
      </c>
      <c r="B78" t="s">
        <v>4683</v>
      </c>
      <c r="C78" t="s">
        <v>6048</v>
      </c>
      <c r="D78">
        <v>63100</v>
      </c>
      <c r="E78" t="s">
        <v>2018</v>
      </c>
      <c r="F78">
        <v>38.94</v>
      </c>
      <c r="G78" t="s">
        <v>4686</v>
      </c>
      <c r="H78" t="s">
        <v>4687</v>
      </c>
      <c r="I78">
        <v>25555</v>
      </c>
      <c r="J78">
        <v>52232</v>
      </c>
      <c r="K78" t="s">
        <v>2020</v>
      </c>
      <c r="L78" t="str">
        <f>SUBSTITUTE(K78,"'","")</f>
        <v>320250210453229075</v>
      </c>
      <c r="M78">
        <v>63100</v>
      </c>
    </row>
    <row r="79" spans="1:13" x14ac:dyDescent="0.4">
      <c r="A79" s="1">
        <v>45678</v>
      </c>
      <c r="B79" t="s">
        <v>4683</v>
      </c>
      <c r="C79" t="s">
        <v>4735</v>
      </c>
      <c r="D79">
        <v>54820</v>
      </c>
      <c r="E79" t="s">
        <v>4302</v>
      </c>
      <c r="F79">
        <v>65.36</v>
      </c>
      <c r="G79" t="s">
        <v>4686</v>
      </c>
      <c r="H79" t="s">
        <v>4687</v>
      </c>
      <c r="I79">
        <v>26162</v>
      </c>
      <c r="J79">
        <v>53446</v>
      </c>
      <c r="K79" t="s">
        <v>4603</v>
      </c>
      <c r="L79" t="str">
        <f>SUBSTITUTE(K79,"'","")</f>
        <v>320250210444525546</v>
      </c>
      <c r="M79">
        <v>54820</v>
      </c>
    </row>
    <row r="80" spans="1:13" x14ac:dyDescent="0.4">
      <c r="A80" s="1">
        <v>45679</v>
      </c>
      <c r="B80" t="s">
        <v>4683</v>
      </c>
      <c r="C80" t="s">
        <v>6388</v>
      </c>
      <c r="D80">
        <v>65505</v>
      </c>
      <c r="E80" t="s">
        <v>2012</v>
      </c>
      <c r="F80" s="5">
        <v>2500</v>
      </c>
      <c r="G80" t="s">
        <v>4686</v>
      </c>
      <c r="H80" t="s">
        <v>4687</v>
      </c>
      <c r="I80">
        <v>25622</v>
      </c>
      <c r="J80">
        <v>52366</v>
      </c>
      <c r="K80" t="s">
        <v>2015</v>
      </c>
      <c r="L80" t="str">
        <f>SUBSTITUTE(K80,"'","")</f>
        <v>320250220480065707</v>
      </c>
      <c r="M80">
        <v>65505</v>
      </c>
    </row>
    <row r="81" spans="1:13" x14ac:dyDescent="0.4">
      <c r="A81" s="1">
        <v>45679</v>
      </c>
      <c r="B81" t="s">
        <v>4683</v>
      </c>
      <c r="C81" t="s">
        <v>6109</v>
      </c>
      <c r="D81">
        <v>64100</v>
      </c>
      <c r="E81" t="s">
        <v>32</v>
      </c>
      <c r="F81">
        <v>21.4</v>
      </c>
      <c r="G81" t="s">
        <v>4686</v>
      </c>
      <c r="H81" t="s">
        <v>4687</v>
      </c>
      <c r="I81">
        <v>25559</v>
      </c>
      <c r="J81">
        <v>52240</v>
      </c>
      <c r="K81" t="s">
        <v>2011</v>
      </c>
      <c r="L81" t="str">
        <f>SUBSTITUTE(K81,"'","")</f>
        <v>320250220480226117</v>
      </c>
      <c r="M81">
        <v>64100</v>
      </c>
    </row>
    <row r="82" spans="1:13" x14ac:dyDescent="0.4">
      <c r="A82" s="1">
        <v>45679</v>
      </c>
      <c r="B82" t="s">
        <v>4683</v>
      </c>
      <c r="C82" t="s">
        <v>5633</v>
      </c>
      <c r="D82">
        <v>61130</v>
      </c>
      <c r="E82" t="s">
        <v>478</v>
      </c>
      <c r="F82">
        <v>29.62</v>
      </c>
      <c r="G82" t="s">
        <v>4686</v>
      </c>
      <c r="H82" t="s">
        <v>4687</v>
      </c>
      <c r="I82">
        <v>25370</v>
      </c>
      <c r="J82">
        <v>51862</v>
      </c>
      <c r="K82" t="s">
        <v>2017</v>
      </c>
      <c r="L82" t="str">
        <f>SUBSTITUTE(K82,"'","")</f>
        <v>320250220480875757</v>
      </c>
      <c r="M82">
        <v>61130</v>
      </c>
    </row>
    <row r="83" spans="1:13" x14ac:dyDescent="0.4">
      <c r="A83" s="1">
        <v>45680</v>
      </c>
      <c r="B83" t="s">
        <v>4683</v>
      </c>
      <c r="C83" t="s">
        <v>5965</v>
      </c>
      <c r="D83">
        <v>61215</v>
      </c>
      <c r="E83" t="s">
        <v>2005</v>
      </c>
      <c r="F83">
        <v>320</v>
      </c>
      <c r="G83" t="s">
        <v>4686</v>
      </c>
      <c r="H83" t="s">
        <v>4687</v>
      </c>
      <c r="I83">
        <v>25930</v>
      </c>
      <c r="J83">
        <v>52982</v>
      </c>
      <c r="K83" t="s">
        <v>2009</v>
      </c>
      <c r="L83" t="str">
        <f>SUBSTITUTE(K83,"'","")</f>
        <v>320250230494615493</v>
      </c>
      <c r="M83">
        <v>61215</v>
      </c>
    </row>
    <row r="84" spans="1:13" x14ac:dyDescent="0.4">
      <c r="A84" s="1">
        <v>45680</v>
      </c>
      <c r="B84" t="s">
        <v>4683</v>
      </c>
      <c r="C84" t="s">
        <v>4736</v>
      </c>
      <c r="D84">
        <v>54820</v>
      </c>
      <c r="E84" t="s">
        <v>3558</v>
      </c>
      <c r="F84">
        <v>29.64</v>
      </c>
      <c r="G84" t="s">
        <v>4686</v>
      </c>
      <c r="H84" t="s">
        <v>4687</v>
      </c>
      <c r="I84">
        <v>26578</v>
      </c>
      <c r="J84">
        <v>54278</v>
      </c>
      <c r="K84" t="s">
        <v>4601</v>
      </c>
      <c r="L84" t="str">
        <f>SUBSTITUTE(K84,"'","")</f>
        <v>320250240521906081</v>
      </c>
      <c r="M84">
        <v>54820</v>
      </c>
    </row>
    <row r="85" spans="1:13" x14ac:dyDescent="0.4">
      <c r="A85" s="1">
        <v>45681</v>
      </c>
      <c r="B85" t="s">
        <v>4683</v>
      </c>
      <c r="C85" t="s">
        <v>5966</v>
      </c>
      <c r="D85">
        <v>61215</v>
      </c>
      <c r="E85" t="s">
        <v>1998</v>
      </c>
      <c r="F85">
        <v>816.56</v>
      </c>
      <c r="G85" t="s">
        <v>4686</v>
      </c>
      <c r="H85" t="s">
        <v>4687</v>
      </c>
      <c r="I85">
        <v>25931</v>
      </c>
      <c r="J85">
        <v>52984</v>
      </c>
      <c r="K85" t="s">
        <v>2001</v>
      </c>
      <c r="L85" t="str">
        <f>SUBSTITUTE(K85,"'","")</f>
        <v>320250240532351565</v>
      </c>
      <c r="M85">
        <v>61215</v>
      </c>
    </row>
    <row r="86" spans="1:13" x14ac:dyDescent="0.4">
      <c r="A86" s="1">
        <v>45681</v>
      </c>
      <c r="B86" t="s">
        <v>4683</v>
      </c>
      <c r="C86" t="s">
        <v>4739</v>
      </c>
      <c r="D86">
        <v>54820</v>
      </c>
      <c r="E86" t="s">
        <v>2142</v>
      </c>
      <c r="F86">
        <v>99.96</v>
      </c>
      <c r="G86" t="s">
        <v>4686</v>
      </c>
      <c r="H86" t="s">
        <v>4687</v>
      </c>
      <c r="I86">
        <v>26579</v>
      </c>
      <c r="J86">
        <v>54280</v>
      </c>
      <c r="K86" t="s">
        <v>4595</v>
      </c>
      <c r="L86" t="str">
        <f>SUBSTITUTE(K86,"'","")</f>
        <v>320250250546960411</v>
      </c>
      <c r="M86">
        <v>54820</v>
      </c>
    </row>
    <row r="87" spans="1:13" x14ac:dyDescent="0.4">
      <c r="A87" s="1">
        <v>45681</v>
      </c>
      <c r="B87" t="s">
        <v>4683</v>
      </c>
      <c r="C87" t="s">
        <v>6049</v>
      </c>
      <c r="D87">
        <v>63100</v>
      </c>
      <c r="E87" t="s">
        <v>2002</v>
      </c>
      <c r="F87">
        <v>43.68</v>
      </c>
      <c r="G87" t="s">
        <v>4686</v>
      </c>
      <c r="H87" t="s">
        <v>4687</v>
      </c>
      <c r="I87">
        <v>25689</v>
      </c>
      <c r="J87">
        <v>52500</v>
      </c>
      <c r="K87" t="s">
        <v>2004</v>
      </c>
      <c r="L87" t="str">
        <f>SUBSTITUTE(K87,"'","")</f>
        <v>320250250550225576</v>
      </c>
      <c r="M87">
        <v>63100</v>
      </c>
    </row>
    <row r="88" spans="1:13" x14ac:dyDescent="0.4">
      <c r="A88" s="1">
        <v>45681</v>
      </c>
      <c r="B88" t="s">
        <v>4683</v>
      </c>
      <c r="C88" t="s">
        <v>4737</v>
      </c>
      <c r="D88">
        <v>54820</v>
      </c>
      <c r="E88" t="s">
        <v>4470</v>
      </c>
      <c r="F88" s="5">
        <v>1045</v>
      </c>
      <c r="G88" t="s">
        <v>4686</v>
      </c>
      <c r="H88" t="s">
        <v>4687</v>
      </c>
      <c r="I88">
        <v>26171</v>
      </c>
      <c r="J88">
        <v>53464</v>
      </c>
      <c r="K88" t="s">
        <v>4599</v>
      </c>
      <c r="L88" t="str">
        <f>SUBSTITUTE(K88,"'","")</f>
        <v>320250250551476778</v>
      </c>
      <c r="M88">
        <v>54820</v>
      </c>
    </row>
    <row r="89" spans="1:13" x14ac:dyDescent="0.4">
      <c r="A89" s="1">
        <v>45681</v>
      </c>
      <c r="B89" t="s">
        <v>4683</v>
      </c>
      <c r="C89" t="s">
        <v>4738</v>
      </c>
      <c r="D89">
        <v>54820</v>
      </c>
      <c r="E89" t="s">
        <v>2158</v>
      </c>
      <c r="F89">
        <v>200</v>
      </c>
      <c r="G89" t="s">
        <v>4686</v>
      </c>
      <c r="H89" t="s">
        <v>4687</v>
      </c>
      <c r="I89">
        <v>26174</v>
      </c>
      <c r="J89">
        <v>53470</v>
      </c>
      <c r="K89" t="s">
        <v>4597</v>
      </c>
      <c r="L89" t="str">
        <f>SUBSTITUTE(K89,"'","")</f>
        <v>320250250557996171</v>
      </c>
      <c r="M89">
        <v>54820</v>
      </c>
    </row>
    <row r="90" spans="1:13" x14ac:dyDescent="0.4">
      <c r="A90" s="1">
        <v>45682</v>
      </c>
      <c r="B90" t="s">
        <v>4683</v>
      </c>
      <c r="C90" t="s">
        <v>4740</v>
      </c>
      <c r="D90">
        <v>54820</v>
      </c>
      <c r="E90" t="s">
        <v>2240</v>
      </c>
      <c r="F90">
        <v>152.76</v>
      </c>
      <c r="G90" t="s">
        <v>4686</v>
      </c>
      <c r="H90" t="s">
        <v>4687</v>
      </c>
      <c r="I90">
        <v>26120</v>
      </c>
      <c r="J90">
        <v>53362</v>
      </c>
      <c r="K90" t="s">
        <v>4593</v>
      </c>
      <c r="L90" t="str">
        <f>SUBSTITUTE(K90,"'","")</f>
        <v>320250260574267348</v>
      </c>
      <c r="M90">
        <v>54820</v>
      </c>
    </row>
    <row r="91" spans="1:13" x14ac:dyDescent="0.4">
      <c r="A91" s="1">
        <v>45682</v>
      </c>
      <c r="B91" t="s">
        <v>4683</v>
      </c>
      <c r="C91" t="s">
        <v>6050</v>
      </c>
      <c r="D91">
        <v>63100</v>
      </c>
      <c r="E91" t="s">
        <v>57</v>
      </c>
      <c r="F91">
        <v>35.619999999999997</v>
      </c>
      <c r="G91" t="s">
        <v>4686</v>
      </c>
      <c r="H91" t="s">
        <v>4687</v>
      </c>
      <c r="I91">
        <v>25661</v>
      </c>
      <c r="J91">
        <v>52444</v>
      </c>
      <c r="K91" t="s">
        <v>1997</v>
      </c>
      <c r="L91" t="str">
        <f>SUBSTITUTE(K91,"'","")</f>
        <v>320250260574579021</v>
      </c>
      <c r="M91">
        <v>63100</v>
      </c>
    </row>
    <row r="92" spans="1:13" x14ac:dyDescent="0.4">
      <c r="A92" s="1">
        <v>45683</v>
      </c>
      <c r="B92" t="s">
        <v>4683</v>
      </c>
      <c r="C92" t="s">
        <v>4741</v>
      </c>
      <c r="D92">
        <v>54820</v>
      </c>
      <c r="E92" t="s">
        <v>1989</v>
      </c>
      <c r="F92">
        <v>9.99</v>
      </c>
      <c r="G92" t="s">
        <v>4686</v>
      </c>
      <c r="H92" t="s">
        <v>4687</v>
      </c>
      <c r="I92">
        <v>25696</v>
      </c>
      <c r="J92">
        <v>52514</v>
      </c>
      <c r="K92" t="s">
        <v>1991</v>
      </c>
      <c r="L92" t="str">
        <f>SUBSTITUTE(K92,"'","")</f>
        <v>320250260566406754</v>
      </c>
      <c r="M92">
        <v>54820</v>
      </c>
    </row>
    <row r="93" spans="1:13" x14ac:dyDescent="0.4">
      <c r="A93" s="1">
        <v>45683</v>
      </c>
      <c r="B93" t="s">
        <v>4683</v>
      </c>
      <c r="C93" t="s">
        <v>5867</v>
      </c>
      <c r="D93">
        <v>61131</v>
      </c>
      <c r="E93" t="s">
        <v>1992</v>
      </c>
      <c r="F93">
        <v>338.76</v>
      </c>
      <c r="G93" t="s">
        <v>4686</v>
      </c>
      <c r="H93" t="s">
        <v>4687</v>
      </c>
      <c r="I93">
        <v>25623</v>
      </c>
      <c r="J93">
        <v>52368</v>
      </c>
      <c r="K93" t="s">
        <v>1995</v>
      </c>
      <c r="L93" t="str">
        <f>SUBSTITUTE(K93,"'","")</f>
        <v>320250270602570267</v>
      </c>
      <c r="M93">
        <v>61131</v>
      </c>
    </row>
    <row r="94" spans="1:13" x14ac:dyDescent="0.4">
      <c r="A94" s="1">
        <v>45683</v>
      </c>
      <c r="B94" t="s">
        <v>4683</v>
      </c>
      <c r="C94" t="s">
        <v>6110</v>
      </c>
      <c r="D94">
        <v>64100</v>
      </c>
      <c r="E94" t="s">
        <v>1792</v>
      </c>
      <c r="F94">
        <v>16.05</v>
      </c>
      <c r="G94" t="s">
        <v>4686</v>
      </c>
      <c r="H94" t="s">
        <v>4687</v>
      </c>
      <c r="I94">
        <v>26406</v>
      </c>
      <c r="J94">
        <v>53934</v>
      </c>
      <c r="K94" t="s">
        <v>4590</v>
      </c>
      <c r="L94" t="str">
        <f>SUBSTITUTE(K94,"'","")</f>
        <v>320250270603776701</v>
      </c>
      <c r="M94">
        <v>64100</v>
      </c>
    </row>
    <row r="95" spans="1:13" x14ac:dyDescent="0.4">
      <c r="A95" s="1">
        <v>45685</v>
      </c>
      <c r="B95" t="s">
        <v>4683</v>
      </c>
      <c r="C95" t="s">
        <v>4742</v>
      </c>
      <c r="D95">
        <v>54820</v>
      </c>
      <c r="E95" t="s">
        <v>4586</v>
      </c>
      <c r="F95">
        <v>65.36</v>
      </c>
      <c r="G95" t="s">
        <v>4686</v>
      </c>
      <c r="H95" t="s">
        <v>4687</v>
      </c>
      <c r="I95">
        <v>26163</v>
      </c>
      <c r="J95">
        <v>53448</v>
      </c>
      <c r="K95" t="s">
        <v>4588</v>
      </c>
      <c r="L95" t="str">
        <f>SUBSTITUTE(K95,"'","")</f>
        <v>320250280617583780</v>
      </c>
      <c r="M95">
        <v>54820</v>
      </c>
    </row>
    <row r="96" spans="1:13" x14ac:dyDescent="0.4">
      <c r="A96" s="1">
        <v>45685</v>
      </c>
      <c r="B96" t="s">
        <v>4683</v>
      </c>
      <c r="C96" t="s">
        <v>5868</v>
      </c>
      <c r="D96">
        <v>61131</v>
      </c>
      <c r="E96" t="s">
        <v>1666</v>
      </c>
      <c r="F96">
        <v>24.95</v>
      </c>
      <c r="G96" t="s">
        <v>4686</v>
      </c>
      <c r="H96" t="s">
        <v>4687</v>
      </c>
      <c r="I96">
        <v>25639</v>
      </c>
      <c r="J96">
        <v>52400</v>
      </c>
      <c r="K96" t="s">
        <v>1984</v>
      </c>
      <c r="L96" t="str">
        <f>SUBSTITUTE(K96,"'","")</f>
        <v>320250280631442372</v>
      </c>
      <c r="M96">
        <v>61131</v>
      </c>
    </row>
    <row r="97" spans="1:13" x14ac:dyDescent="0.4">
      <c r="A97" s="1">
        <v>45685</v>
      </c>
      <c r="B97" t="s">
        <v>4683</v>
      </c>
      <c r="C97" t="s">
        <v>4743</v>
      </c>
      <c r="D97">
        <v>54820</v>
      </c>
      <c r="E97" t="s">
        <v>3558</v>
      </c>
      <c r="F97">
        <v>56.82</v>
      </c>
      <c r="G97" t="s">
        <v>4686</v>
      </c>
      <c r="H97" t="s">
        <v>4687</v>
      </c>
      <c r="I97">
        <v>26580</v>
      </c>
      <c r="J97">
        <v>54282</v>
      </c>
      <c r="K97" t="s">
        <v>4585</v>
      </c>
      <c r="L97" t="str">
        <f>SUBSTITUTE(K97,"'","")</f>
        <v>320250290648209204</v>
      </c>
      <c r="M97">
        <v>54820</v>
      </c>
    </row>
    <row r="98" spans="1:13" x14ac:dyDescent="0.4">
      <c r="A98" s="1">
        <v>45685</v>
      </c>
      <c r="B98" t="s">
        <v>4683</v>
      </c>
      <c r="C98" t="s">
        <v>5967</v>
      </c>
      <c r="D98">
        <v>61215</v>
      </c>
      <c r="E98" t="s">
        <v>1985</v>
      </c>
      <c r="F98">
        <v>22.3</v>
      </c>
      <c r="G98" t="s">
        <v>4686</v>
      </c>
      <c r="H98" t="s">
        <v>4687</v>
      </c>
      <c r="I98">
        <v>25932</v>
      </c>
      <c r="J98">
        <v>52986</v>
      </c>
      <c r="K98" t="s">
        <v>1988</v>
      </c>
      <c r="L98" t="str">
        <f>SUBSTITUTE(K98,"'","")</f>
        <v>320250290654632618</v>
      </c>
      <c r="M98">
        <v>61215</v>
      </c>
    </row>
    <row r="99" spans="1:13" x14ac:dyDescent="0.4">
      <c r="A99" s="1">
        <v>45686</v>
      </c>
      <c r="B99" t="s">
        <v>4683</v>
      </c>
      <c r="C99" t="s">
        <v>5634</v>
      </c>
      <c r="D99">
        <v>61130</v>
      </c>
      <c r="E99" t="s">
        <v>478</v>
      </c>
      <c r="F99">
        <v>31.2</v>
      </c>
      <c r="G99" t="s">
        <v>4686</v>
      </c>
      <c r="H99" t="s">
        <v>4687</v>
      </c>
      <c r="I99">
        <v>25371</v>
      </c>
      <c r="J99">
        <v>51864</v>
      </c>
      <c r="K99" t="s">
        <v>1982</v>
      </c>
      <c r="L99" t="str">
        <f>SUBSTITUTE(K99,"'","")</f>
        <v>320250290642540993</v>
      </c>
      <c r="M99">
        <v>61130</v>
      </c>
    </row>
    <row r="100" spans="1:13" x14ac:dyDescent="0.4">
      <c r="A100" s="1">
        <v>45686</v>
      </c>
      <c r="B100" t="s">
        <v>4683</v>
      </c>
      <c r="C100" t="s">
        <v>4744</v>
      </c>
      <c r="D100">
        <v>54820</v>
      </c>
      <c r="E100" t="s">
        <v>2158</v>
      </c>
      <c r="F100">
        <v>200</v>
      </c>
      <c r="G100" t="s">
        <v>4686</v>
      </c>
      <c r="H100" t="s">
        <v>4687</v>
      </c>
      <c r="I100">
        <v>26175</v>
      </c>
      <c r="J100">
        <v>53472</v>
      </c>
      <c r="K100" t="s">
        <v>4583</v>
      </c>
      <c r="L100" t="str">
        <f>SUBSTITUTE(K100,"'","")</f>
        <v>320250300680573298</v>
      </c>
      <c r="M100">
        <v>54820</v>
      </c>
    </row>
    <row r="101" spans="1:13" x14ac:dyDescent="0.4">
      <c r="A101" s="1">
        <v>45687</v>
      </c>
      <c r="B101" t="s">
        <v>4683</v>
      </c>
      <c r="C101" t="s">
        <v>6370</v>
      </c>
      <c r="D101">
        <v>64200</v>
      </c>
      <c r="E101" t="s">
        <v>1975</v>
      </c>
      <c r="F101">
        <v>29.99</v>
      </c>
      <c r="G101" t="s">
        <v>4686</v>
      </c>
      <c r="H101" t="s">
        <v>4687</v>
      </c>
      <c r="I101">
        <v>25671</v>
      </c>
      <c r="J101">
        <v>52464</v>
      </c>
      <c r="K101" t="s">
        <v>1978</v>
      </c>
      <c r="L101" t="str">
        <f>SUBSTITUTE(K101,"'","")</f>
        <v>320250300664569912</v>
      </c>
      <c r="M101">
        <v>64200</v>
      </c>
    </row>
    <row r="102" spans="1:13" x14ac:dyDescent="0.4">
      <c r="A102" s="1">
        <v>45687</v>
      </c>
      <c r="B102" t="s">
        <v>4683</v>
      </c>
      <c r="C102" t="s">
        <v>6451</v>
      </c>
      <c r="D102">
        <v>67500</v>
      </c>
      <c r="E102" t="s">
        <v>885</v>
      </c>
      <c r="F102">
        <v>42.88</v>
      </c>
      <c r="G102" t="s">
        <v>4686</v>
      </c>
      <c r="H102" t="s">
        <v>4687</v>
      </c>
      <c r="I102">
        <v>26353</v>
      </c>
      <c r="J102">
        <v>53828</v>
      </c>
      <c r="K102" t="s">
        <v>4581</v>
      </c>
      <c r="L102" t="str">
        <f>SUBSTITUTE(K102,"'","")</f>
        <v>320250300666501005</v>
      </c>
      <c r="M102">
        <v>67500</v>
      </c>
    </row>
    <row r="103" spans="1:13" x14ac:dyDescent="0.4">
      <c r="A103" s="1">
        <v>45687</v>
      </c>
      <c r="B103" t="s">
        <v>4683</v>
      </c>
      <c r="C103" t="s">
        <v>5869</v>
      </c>
      <c r="D103">
        <v>61131</v>
      </c>
      <c r="E103" t="s">
        <v>4572</v>
      </c>
      <c r="F103">
        <v>30</v>
      </c>
      <c r="G103" t="s">
        <v>4686</v>
      </c>
      <c r="H103" t="s">
        <v>4687</v>
      </c>
      <c r="I103">
        <v>26697</v>
      </c>
      <c r="J103">
        <v>54516</v>
      </c>
      <c r="K103" t="s">
        <v>4577</v>
      </c>
      <c r="L103" t="str">
        <f>SUBSTITUTE(K103,"'","")</f>
        <v>320250300667809353</v>
      </c>
      <c r="M103">
        <v>61131</v>
      </c>
    </row>
    <row r="104" spans="1:13" x14ac:dyDescent="0.4">
      <c r="A104" s="1">
        <v>45687</v>
      </c>
      <c r="B104" t="s">
        <v>4683</v>
      </c>
      <c r="C104" t="s">
        <v>5635</v>
      </c>
      <c r="D104">
        <v>61130</v>
      </c>
      <c r="E104" t="s">
        <v>478</v>
      </c>
      <c r="F104">
        <v>51.51</v>
      </c>
      <c r="G104" t="s">
        <v>4686</v>
      </c>
      <c r="H104" t="s">
        <v>4687</v>
      </c>
      <c r="I104">
        <v>25372</v>
      </c>
      <c r="J104">
        <v>51866</v>
      </c>
      <c r="K104" t="s">
        <v>1980</v>
      </c>
      <c r="L104" t="str">
        <f>SUBSTITUTE(K104,"'","")</f>
        <v>320250300668533536</v>
      </c>
      <c r="M104">
        <v>61130</v>
      </c>
    </row>
    <row r="105" spans="1:13" x14ac:dyDescent="0.4">
      <c r="A105" s="1">
        <v>45687</v>
      </c>
      <c r="B105" t="s">
        <v>4683</v>
      </c>
      <c r="C105" t="s">
        <v>4745</v>
      </c>
      <c r="D105">
        <v>54820</v>
      </c>
      <c r="E105" t="s">
        <v>3151</v>
      </c>
      <c r="F105">
        <v>112.98</v>
      </c>
      <c r="G105" t="s">
        <v>4686</v>
      </c>
      <c r="H105" t="s">
        <v>4687</v>
      </c>
      <c r="I105">
        <v>26187</v>
      </c>
      <c r="J105">
        <v>53496</v>
      </c>
      <c r="K105" t="s">
        <v>4579</v>
      </c>
      <c r="L105" t="str">
        <f>SUBSTITUTE(K105,"'","")</f>
        <v>320250310697436680</v>
      </c>
      <c r="M105">
        <v>54820</v>
      </c>
    </row>
    <row r="106" spans="1:13" x14ac:dyDescent="0.4">
      <c r="A106" s="1">
        <v>45688</v>
      </c>
      <c r="B106" t="s">
        <v>4683</v>
      </c>
      <c r="C106" t="s">
        <v>5968</v>
      </c>
      <c r="D106">
        <v>61215</v>
      </c>
      <c r="E106" t="s">
        <v>1431</v>
      </c>
      <c r="F106">
        <v>541</v>
      </c>
      <c r="G106" t="s">
        <v>4686</v>
      </c>
      <c r="H106" t="s">
        <v>4687</v>
      </c>
      <c r="I106">
        <v>25933</v>
      </c>
      <c r="J106">
        <v>52988</v>
      </c>
      <c r="K106" t="s">
        <v>1974</v>
      </c>
      <c r="L106" t="str">
        <f>SUBSTITUTE(K106,"'","")</f>
        <v>320250320729532597</v>
      </c>
      <c r="M106">
        <v>61215</v>
      </c>
    </row>
    <row r="107" spans="1:13" x14ac:dyDescent="0.4">
      <c r="A107" s="1">
        <v>45689</v>
      </c>
      <c r="B107" t="s">
        <v>4683</v>
      </c>
      <c r="C107" t="s">
        <v>5636</v>
      </c>
      <c r="D107">
        <v>61130</v>
      </c>
      <c r="E107" t="s">
        <v>478</v>
      </c>
      <c r="F107">
        <v>28.96</v>
      </c>
      <c r="G107" t="s">
        <v>4686</v>
      </c>
      <c r="H107" t="s">
        <v>4687</v>
      </c>
      <c r="I107">
        <v>25373</v>
      </c>
      <c r="J107">
        <v>51868</v>
      </c>
      <c r="K107" t="s">
        <v>1970</v>
      </c>
      <c r="L107" t="str">
        <f>SUBSTITUTE(K107,"'","")</f>
        <v>320250320718728174</v>
      </c>
      <c r="M107">
        <v>61130</v>
      </c>
    </row>
    <row r="108" spans="1:13" x14ac:dyDescent="0.4">
      <c r="A108" s="1">
        <v>45689</v>
      </c>
      <c r="B108" t="s">
        <v>4683</v>
      </c>
      <c r="C108" t="s">
        <v>6410</v>
      </c>
      <c r="D108">
        <v>65700</v>
      </c>
      <c r="E108" t="s">
        <v>234</v>
      </c>
      <c r="F108">
        <v>223.34</v>
      </c>
      <c r="G108" t="s">
        <v>4686</v>
      </c>
      <c r="H108" t="s">
        <v>4687</v>
      </c>
      <c r="I108">
        <v>25811</v>
      </c>
      <c r="J108">
        <v>52744</v>
      </c>
      <c r="K108" t="s">
        <v>1972</v>
      </c>
      <c r="L108" t="str">
        <f>SUBSTITUTE(K108,"'","")</f>
        <v>320250320725416327</v>
      </c>
      <c r="M108">
        <v>65700</v>
      </c>
    </row>
    <row r="109" spans="1:13" x14ac:dyDescent="0.4">
      <c r="A109" s="1">
        <v>45689</v>
      </c>
      <c r="B109" t="s">
        <v>4683</v>
      </c>
      <c r="C109" t="s">
        <v>6359</v>
      </c>
      <c r="D109">
        <v>64101</v>
      </c>
      <c r="E109" t="s">
        <v>2429</v>
      </c>
      <c r="F109" s="5">
        <v>2067.61</v>
      </c>
      <c r="G109" t="s">
        <v>4686</v>
      </c>
      <c r="H109" t="s">
        <v>4687</v>
      </c>
      <c r="I109">
        <v>26384</v>
      </c>
      <c r="J109">
        <v>53890</v>
      </c>
      <c r="K109" t="s">
        <v>4571</v>
      </c>
      <c r="L109" t="str">
        <f>SUBSTITUTE(K109,"'","")</f>
        <v>320250330756886674</v>
      </c>
      <c r="M109">
        <v>64101</v>
      </c>
    </row>
    <row r="110" spans="1:13" x14ac:dyDescent="0.4">
      <c r="A110" s="1">
        <v>45690</v>
      </c>
      <c r="B110" t="s">
        <v>4683</v>
      </c>
      <c r="C110" t="s">
        <v>5638</v>
      </c>
      <c r="D110">
        <v>61130</v>
      </c>
      <c r="E110" t="s">
        <v>478</v>
      </c>
      <c r="F110">
        <v>83.98</v>
      </c>
      <c r="G110" t="s">
        <v>4686</v>
      </c>
      <c r="H110" t="s">
        <v>4687</v>
      </c>
      <c r="I110">
        <v>25375</v>
      </c>
      <c r="J110">
        <v>51872</v>
      </c>
      <c r="K110" t="s">
        <v>1968</v>
      </c>
      <c r="L110" t="str">
        <f>SUBSTITUTE(K110,"'","")</f>
        <v>320250330744556782</v>
      </c>
      <c r="M110">
        <v>61130</v>
      </c>
    </row>
    <row r="111" spans="1:13" x14ac:dyDescent="0.4">
      <c r="A111" s="1">
        <v>45690</v>
      </c>
      <c r="B111" t="s">
        <v>4683</v>
      </c>
      <c r="C111" t="s">
        <v>5637</v>
      </c>
      <c r="D111">
        <v>61130</v>
      </c>
      <c r="E111" t="s">
        <v>478</v>
      </c>
      <c r="F111">
        <v>62.63</v>
      </c>
      <c r="G111" t="s">
        <v>4686</v>
      </c>
      <c r="H111" t="s">
        <v>4687</v>
      </c>
      <c r="I111">
        <v>25374</v>
      </c>
      <c r="J111">
        <v>51870</v>
      </c>
      <c r="K111" t="s">
        <v>1966</v>
      </c>
      <c r="L111" t="str">
        <f>SUBSTITUTE(K111,"'","")</f>
        <v>320250330745180767</v>
      </c>
      <c r="M111">
        <v>61130</v>
      </c>
    </row>
    <row r="112" spans="1:13" x14ac:dyDescent="0.4">
      <c r="A112" s="1">
        <v>45690</v>
      </c>
      <c r="B112" t="s">
        <v>4683</v>
      </c>
      <c r="C112" t="s">
        <v>5870</v>
      </c>
      <c r="D112">
        <v>61131</v>
      </c>
      <c r="E112" t="s">
        <v>1837</v>
      </c>
      <c r="F112">
        <v>23.75</v>
      </c>
      <c r="G112" t="s">
        <v>4686</v>
      </c>
      <c r="H112" t="s">
        <v>4687</v>
      </c>
      <c r="I112">
        <v>25717</v>
      </c>
      <c r="J112">
        <v>52556</v>
      </c>
      <c r="K112" t="s">
        <v>1964</v>
      </c>
      <c r="L112" t="str">
        <f>SUBSTITUTE(K112,"'","")</f>
        <v>320250340774825564</v>
      </c>
      <c r="M112">
        <v>61131</v>
      </c>
    </row>
    <row r="113" spans="1:13" x14ac:dyDescent="0.4">
      <c r="A113" s="1">
        <v>45690</v>
      </c>
      <c r="B113" t="s">
        <v>4683</v>
      </c>
      <c r="C113" t="s">
        <v>4746</v>
      </c>
      <c r="D113">
        <v>54820</v>
      </c>
      <c r="E113" t="s">
        <v>3428</v>
      </c>
      <c r="F113">
        <v>42.79</v>
      </c>
      <c r="G113" t="s">
        <v>4686</v>
      </c>
      <c r="H113" t="s">
        <v>4687</v>
      </c>
      <c r="I113">
        <v>26425</v>
      </c>
      <c r="J113">
        <v>53972</v>
      </c>
      <c r="K113" t="s">
        <v>4569</v>
      </c>
      <c r="L113" t="str">
        <f>SUBSTITUTE(K113,"'","")</f>
        <v>320250340784943406</v>
      </c>
      <c r="M113">
        <v>54820</v>
      </c>
    </row>
    <row r="114" spans="1:13" x14ac:dyDescent="0.4">
      <c r="A114" s="1">
        <v>45691</v>
      </c>
      <c r="B114" t="s">
        <v>4683</v>
      </c>
      <c r="C114" t="s">
        <v>5639</v>
      </c>
      <c r="D114">
        <v>61130</v>
      </c>
      <c r="E114" t="s">
        <v>478</v>
      </c>
      <c r="F114">
        <v>27.68</v>
      </c>
      <c r="G114" t="s">
        <v>4686</v>
      </c>
      <c r="H114" t="s">
        <v>4687</v>
      </c>
      <c r="I114">
        <v>25376</v>
      </c>
      <c r="J114">
        <v>51874</v>
      </c>
      <c r="K114" t="s">
        <v>1962</v>
      </c>
      <c r="L114" t="str">
        <f>SUBSTITUTE(K114,"'","")</f>
        <v>320250340770771156</v>
      </c>
      <c r="M114">
        <v>61130</v>
      </c>
    </row>
    <row r="115" spans="1:13" x14ac:dyDescent="0.4">
      <c r="A115" s="1">
        <v>45691</v>
      </c>
      <c r="B115" t="s">
        <v>4683</v>
      </c>
      <c r="C115" t="s">
        <v>6452</v>
      </c>
      <c r="D115">
        <v>67500</v>
      </c>
      <c r="E115" t="s">
        <v>2400</v>
      </c>
      <c r="F115">
        <v>21.39</v>
      </c>
      <c r="G115" t="s">
        <v>4686</v>
      </c>
      <c r="H115" t="s">
        <v>4687</v>
      </c>
      <c r="I115">
        <v>26277</v>
      </c>
      <c r="J115">
        <v>53676</v>
      </c>
      <c r="K115" t="s">
        <v>4563</v>
      </c>
      <c r="L115" t="str">
        <f>SUBSTITUTE(K115,"'","")</f>
        <v>320250350800131136</v>
      </c>
      <c r="M115">
        <v>67500</v>
      </c>
    </row>
    <row r="116" spans="1:13" x14ac:dyDescent="0.4">
      <c r="A116" s="1">
        <v>45691</v>
      </c>
      <c r="B116" t="s">
        <v>4683</v>
      </c>
      <c r="C116" t="s">
        <v>4747</v>
      </c>
      <c r="D116">
        <v>54820</v>
      </c>
      <c r="E116" t="s">
        <v>2240</v>
      </c>
      <c r="F116">
        <v>143.78</v>
      </c>
      <c r="G116" t="s">
        <v>4686</v>
      </c>
      <c r="H116" t="s">
        <v>4687</v>
      </c>
      <c r="I116">
        <v>26121</v>
      </c>
      <c r="J116">
        <v>53364</v>
      </c>
      <c r="K116" t="s">
        <v>4567</v>
      </c>
      <c r="L116" t="str">
        <f>SUBSTITUTE(K116,"'","")</f>
        <v>320250350801975154</v>
      </c>
      <c r="M116">
        <v>54820</v>
      </c>
    </row>
    <row r="117" spans="1:13" x14ac:dyDescent="0.4">
      <c r="A117" s="1">
        <v>45691</v>
      </c>
      <c r="B117" t="s">
        <v>4683</v>
      </c>
      <c r="C117" t="s">
        <v>6411</v>
      </c>
      <c r="D117">
        <v>65700</v>
      </c>
      <c r="E117" t="s">
        <v>2340</v>
      </c>
      <c r="F117">
        <v>9.3800000000000008</v>
      </c>
      <c r="G117" t="s">
        <v>4686</v>
      </c>
      <c r="H117" t="s">
        <v>4687</v>
      </c>
      <c r="I117">
        <v>26416</v>
      </c>
      <c r="J117">
        <v>53954</v>
      </c>
      <c r="K117" t="s">
        <v>4565</v>
      </c>
      <c r="L117" t="str">
        <f>SUBSTITUTE(K117,"'","")</f>
        <v>320250350808786142</v>
      </c>
      <c r="M117">
        <v>65700</v>
      </c>
    </row>
    <row r="118" spans="1:13" x14ac:dyDescent="0.4">
      <c r="A118" s="1">
        <v>45691</v>
      </c>
      <c r="B118" t="s">
        <v>4683</v>
      </c>
      <c r="C118" t="s">
        <v>6371</v>
      </c>
      <c r="D118">
        <v>64200</v>
      </c>
      <c r="E118" t="s">
        <v>222</v>
      </c>
      <c r="F118">
        <v>79</v>
      </c>
      <c r="G118" t="s">
        <v>4686</v>
      </c>
      <c r="H118" t="s">
        <v>4687</v>
      </c>
      <c r="I118">
        <v>25857</v>
      </c>
      <c r="J118">
        <v>52836</v>
      </c>
      <c r="K118" t="s">
        <v>1960</v>
      </c>
      <c r="L118" t="str">
        <f>SUBSTITUTE(K118,"'","")</f>
        <v>320250350811109214</v>
      </c>
      <c r="M118">
        <v>64200</v>
      </c>
    </row>
    <row r="119" spans="1:13" x14ac:dyDescent="0.4">
      <c r="A119" s="1">
        <v>45692</v>
      </c>
      <c r="B119" t="s">
        <v>4683</v>
      </c>
      <c r="C119" t="s">
        <v>5640</v>
      </c>
      <c r="D119">
        <v>61130</v>
      </c>
      <c r="E119" t="s">
        <v>478</v>
      </c>
      <c r="F119">
        <v>56.35</v>
      </c>
      <c r="G119" t="s">
        <v>4686</v>
      </c>
      <c r="H119" t="s">
        <v>4687</v>
      </c>
      <c r="I119">
        <v>25377</v>
      </c>
      <c r="J119">
        <v>51876</v>
      </c>
      <c r="K119" t="s">
        <v>1958</v>
      </c>
      <c r="L119" t="str">
        <f>SUBSTITUTE(K119,"'","")</f>
        <v>320250350794490919</v>
      </c>
      <c r="M119">
        <v>61130</v>
      </c>
    </row>
    <row r="120" spans="1:13" x14ac:dyDescent="0.4">
      <c r="A120" s="1">
        <v>45692</v>
      </c>
      <c r="B120" t="s">
        <v>4683</v>
      </c>
      <c r="C120" t="s">
        <v>4748</v>
      </c>
      <c r="D120">
        <v>54820</v>
      </c>
      <c r="E120" t="s">
        <v>196</v>
      </c>
      <c r="F120">
        <v>7.99</v>
      </c>
      <c r="G120" t="s">
        <v>4686</v>
      </c>
      <c r="H120" t="s">
        <v>4687</v>
      </c>
      <c r="I120">
        <v>25878</v>
      </c>
      <c r="J120">
        <v>52878</v>
      </c>
      <c r="K120" t="s">
        <v>1956</v>
      </c>
      <c r="L120" t="str">
        <f>SUBSTITUTE(K120,"'","")</f>
        <v>320250350796145377</v>
      </c>
      <c r="M120">
        <v>54820</v>
      </c>
    </row>
    <row r="121" spans="1:13" x14ac:dyDescent="0.4">
      <c r="A121" s="1">
        <v>45692</v>
      </c>
      <c r="B121" t="s">
        <v>4683</v>
      </c>
      <c r="C121" t="s">
        <v>4749</v>
      </c>
      <c r="D121">
        <v>54820</v>
      </c>
      <c r="E121" t="s">
        <v>4302</v>
      </c>
      <c r="F121">
        <v>65.36</v>
      </c>
      <c r="G121" t="s">
        <v>4686</v>
      </c>
      <c r="H121" t="s">
        <v>4687</v>
      </c>
      <c r="I121">
        <v>26164</v>
      </c>
      <c r="J121">
        <v>53450</v>
      </c>
      <c r="K121" t="s">
        <v>4562</v>
      </c>
      <c r="L121" t="str">
        <f>SUBSTITUTE(K121,"'","")</f>
        <v>320250350798082210</v>
      </c>
      <c r="M121">
        <v>54820</v>
      </c>
    </row>
    <row r="122" spans="1:13" x14ac:dyDescent="0.4">
      <c r="A122" s="1">
        <v>45692</v>
      </c>
      <c r="B122" t="s">
        <v>4683</v>
      </c>
      <c r="C122" t="s">
        <v>6113</v>
      </c>
      <c r="D122">
        <v>64100</v>
      </c>
      <c r="E122" t="s">
        <v>165</v>
      </c>
      <c r="F122">
        <v>26.76</v>
      </c>
      <c r="G122" t="s">
        <v>4686</v>
      </c>
      <c r="H122" t="s">
        <v>4687</v>
      </c>
      <c r="I122">
        <v>26200</v>
      </c>
      <c r="J122">
        <v>53522</v>
      </c>
      <c r="K122" t="s">
        <v>4550</v>
      </c>
      <c r="L122" t="str">
        <f>SUBSTITUTE(K122,"'","")</f>
        <v>320250350811157683</v>
      </c>
      <c r="M122">
        <v>64100</v>
      </c>
    </row>
    <row r="123" spans="1:13" x14ac:dyDescent="0.4">
      <c r="A123" s="1">
        <v>45692</v>
      </c>
      <c r="B123" t="s">
        <v>4683</v>
      </c>
      <c r="C123" t="s">
        <v>6112</v>
      </c>
      <c r="D123">
        <v>64100</v>
      </c>
      <c r="E123" t="s">
        <v>165</v>
      </c>
      <c r="F123">
        <v>21.4</v>
      </c>
      <c r="G123" t="s">
        <v>4686</v>
      </c>
      <c r="H123" t="s">
        <v>4687</v>
      </c>
      <c r="I123">
        <v>26199</v>
      </c>
      <c r="J123">
        <v>53520</v>
      </c>
      <c r="K123" t="s">
        <v>4548</v>
      </c>
      <c r="L123" t="str">
        <f>SUBSTITUTE(K123,"'","")</f>
        <v>320250350811161119</v>
      </c>
      <c r="M123">
        <v>64100</v>
      </c>
    </row>
    <row r="124" spans="1:13" x14ac:dyDescent="0.4">
      <c r="A124" s="1">
        <v>45692</v>
      </c>
      <c r="B124" t="s">
        <v>4683</v>
      </c>
      <c r="C124" t="s">
        <v>6114</v>
      </c>
      <c r="D124">
        <v>64100</v>
      </c>
      <c r="E124" t="s">
        <v>165</v>
      </c>
      <c r="F124">
        <v>32.07</v>
      </c>
      <c r="G124" t="s">
        <v>4686</v>
      </c>
      <c r="H124" t="s">
        <v>4687</v>
      </c>
      <c r="I124">
        <v>26201</v>
      </c>
      <c r="J124">
        <v>53524</v>
      </c>
      <c r="K124" t="s">
        <v>4552</v>
      </c>
      <c r="L124" t="str">
        <f>SUBSTITUTE(K124,"'","")</f>
        <v>320250350811161218</v>
      </c>
      <c r="M124">
        <v>64100</v>
      </c>
    </row>
    <row r="125" spans="1:13" x14ac:dyDescent="0.4">
      <c r="A125" s="1">
        <v>45692</v>
      </c>
      <c r="B125" t="s">
        <v>4683</v>
      </c>
      <c r="C125" t="s">
        <v>6115</v>
      </c>
      <c r="D125">
        <v>64100</v>
      </c>
      <c r="E125" t="s">
        <v>165</v>
      </c>
      <c r="F125">
        <v>59.92</v>
      </c>
      <c r="G125" t="s">
        <v>4686</v>
      </c>
      <c r="H125" t="s">
        <v>4687</v>
      </c>
      <c r="I125">
        <v>26202</v>
      </c>
      <c r="J125">
        <v>53526</v>
      </c>
      <c r="K125" t="s">
        <v>4554</v>
      </c>
      <c r="L125" t="str">
        <f>SUBSTITUTE(K125,"'","")</f>
        <v>320250350811162623</v>
      </c>
      <c r="M125">
        <v>64100</v>
      </c>
    </row>
    <row r="126" spans="1:13" x14ac:dyDescent="0.4">
      <c r="A126" s="1">
        <v>45692</v>
      </c>
      <c r="B126" t="s">
        <v>4683</v>
      </c>
      <c r="C126" t="s">
        <v>6117</v>
      </c>
      <c r="D126">
        <v>64100</v>
      </c>
      <c r="E126" t="s">
        <v>2390</v>
      </c>
      <c r="F126">
        <v>21.4</v>
      </c>
      <c r="G126" t="s">
        <v>4686</v>
      </c>
      <c r="H126" t="s">
        <v>4687</v>
      </c>
      <c r="I126">
        <v>26698</v>
      </c>
      <c r="J126">
        <v>54518</v>
      </c>
      <c r="K126" t="s">
        <v>4558</v>
      </c>
      <c r="L126" t="str">
        <f>SUBSTITUTE(K126,"'","")</f>
        <v>320250350811184473</v>
      </c>
      <c r="M126">
        <v>64100</v>
      </c>
    </row>
    <row r="127" spans="1:13" x14ac:dyDescent="0.4">
      <c r="A127" s="1">
        <v>45692</v>
      </c>
      <c r="B127" t="s">
        <v>4683</v>
      </c>
      <c r="C127" t="s">
        <v>6116</v>
      </c>
      <c r="D127">
        <v>64100</v>
      </c>
      <c r="E127" t="s">
        <v>165</v>
      </c>
      <c r="F127">
        <v>289.06</v>
      </c>
      <c r="G127" t="s">
        <v>4686</v>
      </c>
      <c r="H127" t="s">
        <v>4687</v>
      </c>
      <c r="I127">
        <v>26203</v>
      </c>
      <c r="J127">
        <v>53528</v>
      </c>
      <c r="K127" t="s">
        <v>4556</v>
      </c>
      <c r="L127" t="str">
        <f>SUBSTITUTE(K127,"'","")</f>
        <v>320250350811197174</v>
      </c>
      <c r="M127">
        <v>64100</v>
      </c>
    </row>
    <row r="128" spans="1:13" x14ac:dyDescent="0.4">
      <c r="A128" s="1">
        <v>45692</v>
      </c>
      <c r="B128" t="s">
        <v>4683</v>
      </c>
      <c r="C128" t="s">
        <v>6111</v>
      </c>
      <c r="D128">
        <v>64100</v>
      </c>
      <c r="E128" t="s">
        <v>165</v>
      </c>
      <c r="F128">
        <v>24.62</v>
      </c>
      <c r="G128" t="s">
        <v>4686</v>
      </c>
      <c r="H128" t="s">
        <v>4687</v>
      </c>
      <c r="I128">
        <v>25579</v>
      </c>
      <c r="J128">
        <v>52280</v>
      </c>
      <c r="K128" t="s">
        <v>1953</v>
      </c>
      <c r="L128" t="str">
        <f>SUBSTITUTE(K128,"'","")</f>
        <v>320250350811232773</v>
      </c>
      <c r="M128">
        <v>64100</v>
      </c>
    </row>
    <row r="129" spans="1:13" x14ac:dyDescent="0.4">
      <c r="A129" s="1">
        <v>45692</v>
      </c>
      <c r="B129" t="s">
        <v>4683</v>
      </c>
      <c r="C129" t="s">
        <v>4750</v>
      </c>
      <c r="D129">
        <v>54820</v>
      </c>
      <c r="E129" t="s">
        <v>2582</v>
      </c>
      <c r="F129">
        <v>56.67</v>
      </c>
      <c r="G129" t="s">
        <v>4686</v>
      </c>
      <c r="H129" t="s">
        <v>4687</v>
      </c>
      <c r="I129">
        <v>26618</v>
      </c>
      <c r="J129">
        <v>54358</v>
      </c>
      <c r="K129" t="s">
        <v>4560</v>
      </c>
      <c r="L129" t="str">
        <f>SUBSTITUTE(K129,"'","")</f>
        <v>320250360823163643</v>
      </c>
      <c r="M129">
        <v>54820</v>
      </c>
    </row>
    <row r="130" spans="1:13" x14ac:dyDescent="0.4">
      <c r="A130" s="1">
        <v>45692</v>
      </c>
      <c r="B130" t="s">
        <v>4683</v>
      </c>
      <c r="C130" t="s">
        <v>5969</v>
      </c>
      <c r="D130">
        <v>61215</v>
      </c>
      <c r="E130" t="s">
        <v>1412</v>
      </c>
      <c r="F130">
        <v>680</v>
      </c>
      <c r="G130" t="s">
        <v>4686</v>
      </c>
      <c r="H130" t="s">
        <v>4687</v>
      </c>
      <c r="I130">
        <v>25934</v>
      </c>
      <c r="J130">
        <v>52990</v>
      </c>
      <c r="K130" t="s">
        <v>1955</v>
      </c>
      <c r="L130" t="str">
        <f>SUBSTITUTE(K130,"'","")</f>
        <v>320250360837993371</v>
      </c>
      <c r="M130">
        <v>61215</v>
      </c>
    </row>
    <row r="131" spans="1:13" x14ac:dyDescent="0.4">
      <c r="A131" s="1">
        <v>45693</v>
      </c>
      <c r="B131" t="s">
        <v>4683</v>
      </c>
      <c r="C131" t="s">
        <v>6521</v>
      </c>
      <c r="D131">
        <v>80100</v>
      </c>
      <c r="E131" t="s">
        <v>2303</v>
      </c>
      <c r="F131">
        <v>309.89999999999998</v>
      </c>
      <c r="G131" t="s">
        <v>4686</v>
      </c>
      <c r="H131" t="s">
        <v>4687</v>
      </c>
      <c r="I131">
        <v>26344</v>
      </c>
      <c r="J131">
        <v>53810</v>
      </c>
      <c r="K131" t="s">
        <v>4546</v>
      </c>
      <c r="L131" t="str">
        <f>SUBSTITUTE(K131,"'","")</f>
        <v>150206050000513407</v>
      </c>
      <c r="M131">
        <v>80100</v>
      </c>
    </row>
    <row r="132" spans="1:13" x14ac:dyDescent="0.4">
      <c r="A132" s="1">
        <v>45693</v>
      </c>
      <c r="B132" t="s">
        <v>4683</v>
      </c>
      <c r="C132" t="s">
        <v>6118</v>
      </c>
      <c r="D132">
        <v>64100</v>
      </c>
      <c r="E132" t="s">
        <v>165</v>
      </c>
      <c r="F132">
        <v>24.62</v>
      </c>
      <c r="G132" t="s">
        <v>4686</v>
      </c>
      <c r="H132" t="s">
        <v>4687</v>
      </c>
      <c r="I132">
        <v>25580</v>
      </c>
      <c r="J132">
        <v>52282</v>
      </c>
      <c r="K132" t="s">
        <v>1943</v>
      </c>
      <c r="L132" t="str">
        <f>SUBSTITUTE(K132,"'","")</f>
        <v>320250350813179900</v>
      </c>
      <c r="M132">
        <v>64100</v>
      </c>
    </row>
    <row r="133" spans="1:13" x14ac:dyDescent="0.4">
      <c r="A133" s="1">
        <v>45693</v>
      </c>
      <c r="B133" t="s">
        <v>4683</v>
      </c>
      <c r="C133" t="s">
        <v>6119</v>
      </c>
      <c r="D133">
        <v>64100</v>
      </c>
      <c r="E133" t="s">
        <v>517</v>
      </c>
      <c r="F133">
        <v>4</v>
      </c>
      <c r="G133" t="s">
        <v>4686</v>
      </c>
      <c r="H133" t="s">
        <v>4687</v>
      </c>
      <c r="I133">
        <v>25654</v>
      </c>
      <c r="J133">
        <v>52430</v>
      </c>
      <c r="K133" t="s">
        <v>1945</v>
      </c>
      <c r="L133" t="str">
        <f>SUBSTITUTE(K133,"'","")</f>
        <v>320250360821201714</v>
      </c>
      <c r="M133">
        <v>64100</v>
      </c>
    </row>
    <row r="134" spans="1:13" x14ac:dyDescent="0.4">
      <c r="A134" s="1">
        <v>45693</v>
      </c>
      <c r="B134" t="s">
        <v>4683</v>
      </c>
      <c r="C134" t="s">
        <v>5641</v>
      </c>
      <c r="D134">
        <v>61130</v>
      </c>
      <c r="E134" t="s">
        <v>478</v>
      </c>
      <c r="F134">
        <v>39.520000000000003</v>
      </c>
      <c r="G134" t="s">
        <v>4686</v>
      </c>
      <c r="H134" t="s">
        <v>4687</v>
      </c>
      <c r="I134">
        <v>25378</v>
      </c>
      <c r="J134">
        <v>51878</v>
      </c>
      <c r="K134" t="s">
        <v>1949</v>
      </c>
      <c r="L134" t="str">
        <f>SUBSTITUTE(K134,"'","")</f>
        <v>320250360823654905</v>
      </c>
      <c r="M134">
        <v>61130</v>
      </c>
    </row>
    <row r="135" spans="1:13" x14ac:dyDescent="0.4">
      <c r="A135" s="1">
        <v>45693</v>
      </c>
      <c r="B135" t="s">
        <v>4683</v>
      </c>
      <c r="C135" t="s">
        <v>5642</v>
      </c>
      <c r="D135">
        <v>61130</v>
      </c>
      <c r="E135" t="s">
        <v>478</v>
      </c>
      <c r="F135">
        <v>64.8</v>
      </c>
      <c r="G135" t="s">
        <v>4686</v>
      </c>
      <c r="H135" t="s">
        <v>4687</v>
      </c>
      <c r="I135">
        <v>25379</v>
      </c>
      <c r="J135">
        <v>51880</v>
      </c>
      <c r="K135" t="s">
        <v>1951</v>
      </c>
      <c r="L135" t="str">
        <f>SUBSTITUTE(K135,"'","")</f>
        <v>320250360824873967</v>
      </c>
      <c r="M135">
        <v>61130</v>
      </c>
    </row>
    <row r="136" spans="1:13" x14ac:dyDescent="0.4">
      <c r="A136" s="1">
        <v>45693</v>
      </c>
      <c r="B136" t="s">
        <v>4683</v>
      </c>
      <c r="C136" t="s">
        <v>4751</v>
      </c>
      <c r="D136">
        <v>54820</v>
      </c>
      <c r="E136" t="s">
        <v>1714</v>
      </c>
      <c r="F136">
        <v>29.43</v>
      </c>
      <c r="G136" t="s">
        <v>4686</v>
      </c>
      <c r="H136" t="s">
        <v>4687</v>
      </c>
      <c r="I136">
        <v>26027</v>
      </c>
      <c r="J136">
        <v>53176</v>
      </c>
      <c r="K136" t="s">
        <v>1947</v>
      </c>
      <c r="L136" t="str">
        <f>SUBSTITUTE(K136,"'","")</f>
        <v>320250370856254678</v>
      </c>
      <c r="M136">
        <v>54820</v>
      </c>
    </row>
    <row r="137" spans="1:13" x14ac:dyDescent="0.4">
      <c r="A137" s="1">
        <v>45694</v>
      </c>
      <c r="B137" t="s">
        <v>4683</v>
      </c>
      <c r="C137" t="s">
        <v>5970</v>
      </c>
      <c r="D137">
        <v>61215</v>
      </c>
      <c r="E137" t="s">
        <v>1934</v>
      </c>
      <c r="F137">
        <v>459.68</v>
      </c>
      <c r="G137" t="s">
        <v>4686</v>
      </c>
      <c r="H137" t="s">
        <v>4687</v>
      </c>
      <c r="I137">
        <v>25995</v>
      </c>
      <c r="J137">
        <v>53112</v>
      </c>
      <c r="K137" t="s">
        <v>1937</v>
      </c>
      <c r="L137" t="str">
        <f>SUBSTITUTE(K137,"'","")</f>
        <v>320250360817890403</v>
      </c>
      <c r="M137">
        <v>61215</v>
      </c>
    </row>
    <row r="138" spans="1:13" x14ac:dyDescent="0.4">
      <c r="A138" s="1">
        <v>45694</v>
      </c>
      <c r="B138" t="s">
        <v>4683</v>
      </c>
      <c r="C138" t="s">
        <v>4753</v>
      </c>
      <c r="D138">
        <v>54820</v>
      </c>
      <c r="E138" t="s">
        <v>2217</v>
      </c>
      <c r="F138">
        <v>11.33</v>
      </c>
      <c r="G138" t="s">
        <v>4686</v>
      </c>
      <c r="H138" t="s">
        <v>4687</v>
      </c>
      <c r="I138">
        <v>26259</v>
      </c>
      <c r="J138">
        <v>53640</v>
      </c>
      <c r="K138" t="s">
        <v>4543</v>
      </c>
      <c r="L138" t="str">
        <f>SUBSTITUTE(K138,"'","")</f>
        <v>320250370841166705</v>
      </c>
      <c r="M138">
        <v>54820</v>
      </c>
    </row>
    <row r="139" spans="1:13" x14ac:dyDescent="0.4">
      <c r="A139" s="1">
        <v>45694</v>
      </c>
      <c r="B139" t="s">
        <v>4683</v>
      </c>
      <c r="C139" t="s">
        <v>5643</v>
      </c>
      <c r="D139">
        <v>61130</v>
      </c>
      <c r="E139" t="s">
        <v>478</v>
      </c>
      <c r="F139">
        <v>49.04</v>
      </c>
      <c r="G139" t="s">
        <v>4686</v>
      </c>
      <c r="H139" t="s">
        <v>4687</v>
      </c>
      <c r="I139">
        <v>25380</v>
      </c>
      <c r="J139">
        <v>51882</v>
      </c>
      <c r="K139" t="s">
        <v>1939</v>
      </c>
      <c r="L139" t="str">
        <f>SUBSTITUTE(K139,"'","")</f>
        <v>320250370848056798</v>
      </c>
      <c r="M139">
        <v>61130</v>
      </c>
    </row>
    <row r="140" spans="1:13" x14ac:dyDescent="0.4">
      <c r="A140" s="1">
        <v>45694</v>
      </c>
      <c r="B140" t="s">
        <v>4683</v>
      </c>
      <c r="C140" t="s">
        <v>6412</v>
      </c>
      <c r="D140">
        <v>65700</v>
      </c>
      <c r="E140" t="s">
        <v>2354</v>
      </c>
      <c r="F140">
        <v>109.99</v>
      </c>
      <c r="G140" t="s">
        <v>4686</v>
      </c>
      <c r="H140" t="s">
        <v>4687</v>
      </c>
      <c r="I140">
        <v>26286</v>
      </c>
      <c r="J140">
        <v>53694</v>
      </c>
      <c r="K140" t="s">
        <v>4545</v>
      </c>
      <c r="L140" t="str">
        <f>SUBSTITUTE(K140,"'","")</f>
        <v>320250370849131276</v>
      </c>
      <c r="M140">
        <v>65700</v>
      </c>
    </row>
    <row r="141" spans="1:13" x14ac:dyDescent="0.4">
      <c r="A141" s="1">
        <v>45694</v>
      </c>
      <c r="B141" t="s">
        <v>4683</v>
      </c>
      <c r="C141" t="s">
        <v>5644</v>
      </c>
      <c r="D141">
        <v>61130</v>
      </c>
      <c r="E141" t="s">
        <v>478</v>
      </c>
      <c r="F141">
        <v>57.64</v>
      </c>
      <c r="G141" t="s">
        <v>4686</v>
      </c>
      <c r="H141" t="s">
        <v>4687</v>
      </c>
      <c r="I141">
        <v>25381</v>
      </c>
      <c r="J141">
        <v>51884</v>
      </c>
      <c r="K141" t="s">
        <v>1941</v>
      </c>
      <c r="L141" t="str">
        <f>SUBSTITUTE(K141,"'","")</f>
        <v>320250370849411469</v>
      </c>
      <c r="M141">
        <v>61130</v>
      </c>
    </row>
    <row r="142" spans="1:13" x14ac:dyDescent="0.4">
      <c r="A142" s="1">
        <v>45694</v>
      </c>
      <c r="B142" t="s">
        <v>4683</v>
      </c>
      <c r="C142" t="s">
        <v>4754</v>
      </c>
      <c r="D142">
        <v>54820</v>
      </c>
      <c r="E142" t="s">
        <v>2670</v>
      </c>
      <c r="F142">
        <v>355.3</v>
      </c>
      <c r="G142" t="s">
        <v>4686</v>
      </c>
      <c r="H142" t="s">
        <v>4687</v>
      </c>
      <c r="I142">
        <v>26930</v>
      </c>
      <c r="J142">
        <v>54982</v>
      </c>
      <c r="K142" t="s">
        <v>4539</v>
      </c>
      <c r="L142" t="str">
        <f>SUBSTITUTE(K142,"'","")</f>
        <v>320250380880326630</v>
      </c>
      <c r="M142">
        <v>54820</v>
      </c>
    </row>
    <row r="143" spans="1:13" x14ac:dyDescent="0.4">
      <c r="A143" s="1">
        <v>45694</v>
      </c>
      <c r="B143" t="s">
        <v>4683</v>
      </c>
      <c r="C143" t="s">
        <v>4752</v>
      </c>
      <c r="D143">
        <v>54820</v>
      </c>
      <c r="E143" t="s">
        <v>2158</v>
      </c>
      <c r="F143">
        <v>200</v>
      </c>
      <c r="G143" t="s">
        <v>4686</v>
      </c>
      <c r="H143" t="s">
        <v>4687</v>
      </c>
      <c r="I143">
        <v>26176</v>
      </c>
      <c r="J143">
        <v>53474</v>
      </c>
      <c r="K143" t="s">
        <v>4541</v>
      </c>
      <c r="L143" t="str">
        <f>SUBSTITUTE(K143,"'","")</f>
        <v>320250380889616754</v>
      </c>
      <c r="M143">
        <v>54820</v>
      </c>
    </row>
    <row r="144" spans="1:13" x14ac:dyDescent="0.4">
      <c r="A144" s="1">
        <v>45695</v>
      </c>
      <c r="B144" t="s">
        <v>4683</v>
      </c>
      <c r="C144" t="s">
        <v>6453</v>
      </c>
      <c r="D144">
        <v>67500</v>
      </c>
      <c r="E144" t="s">
        <v>885</v>
      </c>
      <c r="F144">
        <v>35.700000000000003</v>
      </c>
      <c r="G144" t="s">
        <v>4686</v>
      </c>
      <c r="H144" t="s">
        <v>4687</v>
      </c>
      <c r="I144">
        <v>26354</v>
      </c>
      <c r="J144">
        <v>53830</v>
      </c>
      <c r="K144" t="s">
        <v>4535</v>
      </c>
      <c r="L144" t="str">
        <f>SUBSTITUTE(K144,"'","")</f>
        <v>320250380870135104</v>
      </c>
      <c r="M144">
        <v>67500</v>
      </c>
    </row>
    <row r="145" spans="1:13" x14ac:dyDescent="0.4">
      <c r="A145" s="1">
        <v>45695</v>
      </c>
      <c r="B145" t="s">
        <v>4683</v>
      </c>
      <c r="C145" t="s">
        <v>5646</v>
      </c>
      <c r="D145">
        <v>61130</v>
      </c>
      <c r="E145" t="s">
        <v>478</v>
      </c>
      <c r="F145">
        <v>47.71</v>
      </c>
      <c r="G145" t="s">
        <v>4686</v>
      </c>
      <c r="H145" t="s">
        <v>4687</v>
      </c>
      <c r="I145">
        <v>25383</v>
      </c>
      <c r="J145">
        <v>51888</v>
      </c>
      <c r="K145" t="s">
        <v>1933</v>
      </c>
      <c r="L145" t="str">
        <f>SUBSTITUTE(K145,"'","")</f>
        <v>320250380874117466</v>
      </c>
      <c r="M145">
        <v>61130</v>
      </c>
    </row>
    <row r="146" spans="1:13" x14ac:dyDescent="0.4">
      <c r="A146" s="1">
        <v>45695</v>
      </c>
      <c r="B146" t="s">
        <v>4683</v>
      </c>
      <c r="C146" t="s">
        <v>5645</v>
      </c>
      <c r="D146">
        <v>61130</v>
      </c>
      <c r="E146" t="s">
        <v>478</v>
      </c>
      <c r="F146">
        <v>40.869999999999997</v>
      </c>
      <c r="G146" t="s">
        <v>4686</v>
      </c>
      <c r="H146" t="s">
        <v>4687</v>
      </c>
      <c r="I146">
        <v>25382</v>
      </c>
      <c r="J146">
        <v>51886</v>
      </c>
      <c r="K146" t="s">
        <v>1931</v>
      </c>
      <c r="L146" t="str">
        <f>SUBSTITUTE(K146,"'","")</f>
        <v>320250380875131365</v>
      </c>
      <c r="M146">
        <v>61130</v>
      </c>
    </row>
    <row r="147" spans="1:13" x14ac:dyDescent="0.4">
      <c r="A147" s="1">
        <v>45695</v>
      </c>
      <c r="B147" t="s">
        <v>4683</v>
      </c>
      <c r="C147" t="s">
        <v>6120</v>
      </c>
      <c r="D147">
        <v>64100</v>
      </c>
      <c r="E147" t="s">
        <v>165</v>
      </c>
      <c r="F147">
        <v>21.38</v>
      </c>
      <c r="G147" t="s">
        <v>4686</v>
      </c>
      <c r="H147" t="s">
        <v>4687</v>
      </c>
      <c r="I147">
        <v>25581</v>
      </c>
      <c r="J147">
        <v>52284</v>
      </c>
      <c r="K147" t="s">
        <v>1923</v>
      </c>
      <c r="L147" t="str">
        <f>SUBSTITUTE(K147,"'","")</f>
        <v>320250380886750817</v>
      </c>
      <c r="M147">
        <v>64100</v>
      </c>
    </row>
    <row r="148" spans="1:13" x14ac:dyDescent="0.4">
      <c r="A148" s="1">
        <v>45695</v>
      </c>
      <c r="B148" t="s">
        <v>4683</v>
      </c>
      <c r="C148" t="s">
        <v>4757</v>
      </c>
      <c r="D148">
        <v>54820</v>
      </c>
      <c r="E148" t="s">
        <v>3428</v>
      </c>
      <c r="F148">
        <v>42.79</v>
      </c>
      <c r="G148" t="s">
        <v>4686</v>
      </c>
      <c r="H148" t="s">
        <v>4687</v>
      </c>
      <c r="I148">
        <v>26426</v>
      </c>
      <c r="J148">
        <v>53974</v>
      </c>
      <c r="K148" t="s">
        <v>4531</v>
      </c>
      <c r="L148" t="str">
        <f>SUBSTITUTE(K148,"'","")</f>
        <v>320250380888165351</v>
      </c>
      <c r="M148">
        <v>54820</v>
      </c>
    </row>
    <row r="149" spans="1:13" x14ac:dyDescent="0.4">
      <c r="A149" s="1">
        <v>45695</v>
      </c>
      <c r="B149" t="s">
        <v>4683</v>
      </c>
      <c r="C149" t="s">
        <v>6051</v>
      </c>
      <c r="D149">
        <v>63100</v>
      </c>
      <c r="E149" t="s">
        <v>260</v>
      </c>
      <c r="F149">
        <v>20.350000000000001</v>
      </c>
      <c r="G149" t="s">
        <v>4686</v>
      </c>
      <c r="H149" t="s">
        <v>4687</v>
      </c>
      <c r="I149">
        <v>25690</v>
      </c>
      <c r="J149">
        <v>52502</v>
      </c>
      <c r="K149" t="s">
        <v>1929</v>
      </c>
      <c r="L149" t="str">
        <f>SUBSTITUTE(K149,"'","")</f>
        <v>320250390902145896</v>
      </c>
      <c r="M149">
        <v>63100</v>
      </c>
    </row>
    <row r="150" spans="1:13" x14ac:dyDescent="0.4">
      <c r="A150" s="1">
        <v>45695</v>
      </c>
      <c r="B150" t="s">
        <v>4683</v>
      </c>
      <c r="C150" t="s">
        <v>4756</v>
      </c>
      <c r="D150">
        <v>54820</v>
      </c>
      <c r="E150" t="s">
        <v>2240</v>
      </c>
      <c r="F150">
        <v>64.3</v>
      </c>
      <c r="G150" t="s">
        <v>4686</v>
      </c>
      <c r="H150" t="s">
        <v>4687</v>
      </c>
      <c r="I150">
        <v>26122</v>
      </c>
      <c r="J150">
        <v>53366</v>
      </c>
      <c r="K150" t="s">
        <v>4537</v>
      </c>
      <c r="L150" t="str">
        <f>SUBSTITUTE(K150,"'","")</f>
        <v>320250390910497114</v>
      </c>
      <c r="M150">
        <v>54820</v>
      </c>
    </row>
    <row r="151" spans="1:13" x14ac:dyDescent="0.4">
      <c r="A151" s="1">
        <v>45695</v>
      </c>
      <c r="B151" t="s">
        <v>4683</v>
      </c>
      <c r="C151" t="s">
        <v>4755</v>
      </c>
      <c r="D151">
        <v>54820</v>
      </c>
      <c r="E151" t="s">
        <v>1714</v>
      </c>
      <c r="F151">
        <v>38.97</v>
      </c>
      <c r="G151" t="s">
        <v>4686</v>
      </c>
      <c r="H151" t="s">
        <v>4687</v>
      </c>
      <c r="I151">
        <v>26028</v>
      </c>
      <c r="J151">
        <v>53178</v>
      </c>
      <c r="K151" t="s">
        <v>1927</v>
      </c>
      <c r="L151" t="str">
        <f>SUBSTITUTE(K151,"'","")</f>
        <v>320250390910773447</v>
      </c>
      <c r="M151">
        <v>54820</v>
      </c>
    </row>
    <row r="152" spans="1:13" x14ac:dyDescent="0.4">
      <c r="A152" s="1">
        <v>45695</v>
      </c>
      <c r="B152" t="s">
        <v>4683</v>
      </c>
      <c r="C152" t="s">
        <v>6122</v>
      </c>
      <c r="D152">
        <v>64100</v>
      </c>
      <c r="E152" t="s">
        <v>2311</v>
      </c>
      <c r="F152">
        <v>34.21</v>
      </c>
      <c r="G152" t="s">
        <v>4686</v>
      </c>
      <c r="H152" t="s">
        <v>4687</v>
      </c>
      <c r="I152">
        <v>26439</v>
      </c>
      <c r="J152">
        <v>54000</v>
      </c>
      <c r="K152" t="s">
        <v>4533</v>
      </c>
      <c r="L152" t="str">
        <f>SUBSTITUTE(K152,"'","")</f>
        <v>320250390913205626</v>
      </c>
      <c r="M152">
        <v>64100</v>
      </c>
    </row>
    <row r="153" spans="1:13" x14ac:dyDescent="0.4">
      <c r="A153" s="1">
        <v>45695</v>
      </c>
      <c r="B153" t="s">
        <v>4683</v>
      </c>
      <c r="C153" t="s">
        <v>6454</v>
      </c>
      <c r="D153">
        <v>67500</v>
      </c>
      <c r="E153" t="s">
        <v>2146</v>
      </c>
      <c r="F153">
        <v>41.72</v>
      </c>
      <c r="G153" t="s">
        <v>4686</v>
      </c>
      <c r="H153" t="s">
        <v>4687</v>
      </c>
      <c r="I153">
        <v>26429</v>
      </c>
      <c r="J153">
        <v>53980</v>
      </c>
      <c r="K153" t="s">
        <v>4529</v>
      </c>
      <c r="L153" t="str">
        <f>SUBSTITUTE(K153,"'","")</f>
        <v>320250390913976819</v>
      </c>
      <c r="M153">
        <v>67500</v>
      </c>
    </row>
    <row r="154" spans="1:13" x14ac:dyDescent="0.4">
      <c r="A154" s="1">
        <v>45695</v>
      </c>
      <c r="B154" t="s">
        <v>4683</v>
      </c>
      <c r="C154" t="s">
        <v>6121</v>
      </c>
      <c r="D154">
        <v>64100</v>
      </c>
      <c r="E154" t="s">
        <v>169</v>
      </c>
      <c r="F154">
        <v>21.39</v>
      </c>
      <c r="G154" t="s">
        <v>4686</v>
      </c>
      <c r="H154" t="s">
        <v>4687</v>
      </c>
      <c r="I154">
        <v>25801</v>
      </c>
      <c r="J154">
        <v>52724</v>
      </c>
      <c r="K154" t="s">
        <v>1925</v>
      </c>
      <c r="L154" t="str">
        <f>SUBSTITUTE(K154,"'","")</f>
        <v>320250400923969776</v>
      </c>
      <c r="M154">
        <v>64100</v>
      </c>
    </row>
    <row r="155" spans="1:13" x14ac:dyDescent="0.4">
      <c r="A155" s="1">
        <v>45696</v>
      </c>
      <c r="B155" t="s">
        <v>4683</v>
      </c>
      <c r="C155" t="s">
        <v>5647</v>
      </c>
      <c r="D155">
        <v>61130</v>
      </c>
      <c r="E155" t="s">
        <v>478</v>
      </c>
      <c r="F155">
        <v>40.93</v>
      </c>
      <c r="G155" t="s">
        <v>4686</v>
      </c>
      <c r="H155" t="s">
        <v>4687</v>
      </c>
      <c r="I155">
        <v>25384</v>
      </c>
      <c r="J155">
        <v>51890</v>
      </c>
      <c r="K155" t="s">
        <v>1919</v>
      </c>
      <c r="L155" t="str">
        <f>SUBSTITUTE(K155,"'","")</f>
        <v>320250390903817673</v>
      </c>
      <c r="M155">
        <v>61130</v>
      </c>
    </row>
    <row r="156" spans="1:13" x14ac:dyDescent="0.4">
      <c r="A156" s="1">
        <v>45696</v>
      </c>
      <c r="B156" t="s">
        <v>4683</v>
      </c>
      <c r="C156" t="s">
        <v>5648</v>
      </c>
      <c r="D156">
        <v>61130</v>
      </c>
      <c r="E156" t="s">
        <v>478</v>
      </c>
      <c r="F156">
        <v>41.13</v>
      </c>
      <c r="G156" t="s">
        <v>4686</v>
      </c>
      <c r="H156" t="s">
        <v>4687</v>
      </c>
      <c r="I156">
        <v>25385</v>
      </c>
      <c r="J156">
        <v>51892</v>
      </c>
      <c r="K156" t="s">
        <v>1921</v>
      </c>
      <c r="L156" t="str">
        <f>SUBSTITUTE(K156,"'","")</f>
        <v>320250390904615043</v>
      </c>
      <c r="M156">
        <v>61130</v>
      </c>
    </row>
    <row r="157" spans="1:13" x14ac:dyDescent="0.4">
      <c r="A157" s="1">
        <v>45696</v>
      </c>
      <c r="B157" t="s">
        <v>4683</v>
      </c>
      <c r="C157" t="s">
        <v>4758</v>
      </c>
      <c r="D157">
        <v>54820</v>
      </c>
      <c r="E157" t="s">
        <v>4524</v>
      </c>
      <c r="F157">
        <v>21</v>
      </c>
      <c r="G157" t="s">
        <v>4686</v>
      </c>
      <c r="H157" t="s">
        <v>4687</v>
      </c>
      <c r="I157">
        <v>26581</v>
      </c>
      <c r="J157">
        <v>54284</v>
      </c>
      <c r="K157" t="s">
        <v>4527</v>
      </c>
      <c r="L157" t="str">
        <f>SUBSTITUTE(K157,"'","")</f>
        <v>320250400934651369</v>
      </c>
      <c r="M157">
        <v>54820</v>
      </c>
    </row>
    <row r="158" spans="1:13" x14ac:dyDescent="0.4">
      <c r="A158" s="1">
        <v>45697</v>
      </c>
      <c r="B158" t="s">
        <v>4683</v>
      </c>
      <c r="C158" t="s">
        <v>6123</v>
      </c>
      <c r="D158">
        <v>64100</v>
      </c>
      <c r="E158" t="s">
        <v>153</v>
      </c>
      <c r="F158">
        <v>223.33</v>
      </c>
      <c r="G158" t="s">
        <v>4686</v>
      </c>
      <c r="H158" t="s">
        <v>4687</v>
      </c>
      <c r="I158">
        <v>25582</v>
      </c>
      <c r="J158">
        <v>52286</v>
      </c>
      <c r="K158" t="s">
        <v>1917</v>
      </c>
      <c r="L158" t="str">
        <f>SUBSTITUTE(K158,"'","")</f>
        <v>320250400929552448</v>
      </c>
      <c r="M158">
        <v>64100</v>
      </c>
    </row>
    <row r="159" spans="1:13" x14ac:dyDescent="0.4">
      <c r="A159" s="1">
        <v>45697</v>
      </c>
      <c r="B159" t="s">
        <v>4683</v>
      </c>
      <c r="C159" t="s">
        <v>6124</v>
      </c>
      <c r="D159">
        <v>64100</v>
      </c>
      <c r="E159" t="s">
        <v>153</v>
      </c>
      <c r="F159">
        <v>165.48</v>
      </c>
      <c r="G159" t="s">
        <v>4686</v>
      </c>
      <c r="H159" t="s">
        <v>4687</v>
      </c>
      <c r="I159">
        <v>26204</v>
      </c>
      <c r="J159">
        <v>53530</v>
      </c>
      <c r="K159" t="s">
        <v>4521</v>
      </c>
      <c r="L159" t="str">
        <f>SUBSTITUTE(K159,"'","")</f>
        <v>320250400929589748</v>
      </c>
      <c r="M159">
        <v>64100</v>
      </c>
    </row>
    <row r="160" spans="1:13" x14ac:dyDescent="0.4">
      <c r="A160" s="1">
        <v>45697</v>
      </c>
      <c r="B160" t="s">
        <v>4683</v>
      </c>
      <c r="C160" t="s">
        <v>5871</v>
      </c>
      <c r="D160">
        <v>61131</v>
      </c>
      <c r="E160" t="s">
        <v>1837</v>
      </c>
      <c r="F160">
        <v>9.15</v>
      </c>
      <c r="G160" t="s">
        <v>4686</v>
      </c>
      <c r="H160" t="s">
        <v>4687</v>
      </c>
      <c r="I160">
        <v>25718</v>
      </c>
      <c r="J160">
        <v>52558</v>
      </c>
      <c r="K160" t="s">
        <v>1915</v>
      </c>
      <c r="L160" t="str">
        <f>SUBSTITUTE(K160,"'","")</f>
        <v>320250410957526079</v>
      </c>
      <c r="M160">
        <v>61131</v>
      </c>
    </row>
    <row r="161" spans="1:13" x14ac:dyDescent="0.4">
      <c r="A161" s="1">
        <v>45697</v>
      </c>
      <c r="B161" t="s">
        <v>4683</v>
      </c>
      <c r="C161" t="s">
        <v>4759</v>
      </c>
      <c r="D161">
        <v>54820</v>
      </c>
      <c r="E161" t="s">
        <v>2240</v>
      </c>
      <c r="F161">
        <v>16.97</v>
      </c>
      <c r="G161" t="s">
        <v>4686</v>
      </c>
      <c r="H161" t="s">
        <v>4687</v>
      </c>
      <c r="I161">
        <v>26123</v>
      </c>
      <c r="J161">
        <v>53368</v>
      </c>
      <c r="K161" t="s">
        <v>4523</v>
      </c>
      <c r="L161" t="str">
        <f>SUBSTITUTE(K161,"'","")</f>
        <v>320250410959801255</v>
      </c>
      <c r="M161">
        <v>54820</v>
      </c>
    </row>
    <row r="162" spans="1:13" x14ac:dyDescent="0.4">
      <c r="A162" s="1">
        <v>45698</v>
      </c>
      <c r="B162" t="s">
        <v>4683</v>
      </c>
      <c r="C162" t="s">
        <v>5872</v>
      </c>
      <c r="D162">
        <v>61131</v>
      </c>
      <c r="E162" t="s">
        <v>38</v>
      </c>
      <c r="F162">
        <v>561.6</v>
      </c>
      <c r="G162" t="s">
        <v>4686</v>
      </c>
      <c r="H162" t="s">
        <v>4687</v>
      </c>
      <c r="I162">
        <v>25624</v>
      </c>
      <c r="J162">
        <v>52370</v>
      </c>
      <c r="K162" t="s">
        <v>1913</v>
      </c>
      <c r="L162" t="str">
        <f>SUBSTITUTE(K162,"'","")</f>
        <v>320250420985858182</v>
      </c>
      <c r="M162">
        <v>61131</v>
      </c>
    </row>
    <row r="163" spans="1:13" x14ac:dyDescent="0.4">
      <c r="A163" s="1">
        <v>45699</v>
      </c>
      <c r="B163" t="s">
        <v>4683</v>
      </c>
      <c r="C163" t="s">
        <v>4760</v>
      </c>
      <c r="D163">
        <v>54820</v>
      </c>
      <c r="E163" t="s">
        <v>4302</v>
      </c>
      <c r="F163">
        <v>65.36</v>
      </c>
      <c r="G163" t="s">
        <v>4686</v>
      </c>
      <c r="H163" t="s">
        <v>4687</v>
      </c>
      <c r="I163">
        <v>26165</v>
      </c>
      <c r="J163">
        <v>53452</v>
      </c>
      <c r="K163" t="s">
        <v>4519</v>
      </c>
      <c r="L163" t="str">
        <f>SUBSTITUTE(K163,"'","")</f>
        <v>320250420977296660</v>
      </c>
      <c r="M163">
        <v>54820</v>
      </c>
    </row>
    <row r="164" spans="1:13" x14ac:dyDescent="0.4">
      <c r="A164" s="1">
        <v>45699</v>
      </c>
      <c r="B164" t="s">
        <v>4683</v>
      </c>
      <c r="C164" t="s">
        <v>6126</v>
      </c>
      <c r="D164">
        <v>64100</v>
      </c>
      <c r="E164" t="s">
        <v>2259</v>
      </c>
      <c r="F164">
        <v>21.64</v>
      </c>
      <c r="G164" t="s">
        <v>4686</v>
      </c>
      <c r="H164" t="s">
        <v>4687</v>
      </c>
      <c r="I164">
        <v>26328</v>
      </c>
      <c r="J164">
        <v>53778</v>
      </c>
      <c r="K164" t="s">
        <v>4517</v>
      </c>
      <c r="L164" t="str">
        <f>SUBSTITUTE(K164,"'","")</f>
        <v>320250430004470585</v>
      </c>
      <c r="M164">
        <v>64100</v>
      </c>
    </row>
    <row r="165" spans="1:13" x14ac:dyDescent="0.4">
      <c r="A165" s="1">
        <v>45699</v>
      </c>
      <c r="B165" t="s">
        <v>4683</v>
      </c>
      <c r="C165" t="s">
        <v>6125</v>
      </c>
      <c r="D165">
        <v>64100</v>
      </c>
      <c r="E165" t="s">
        <v>458</v>
      </c>
      <c r="F165">
        <v>16.04</v>
      </c>
      <c r="G165" t="s">
        <v>4686</v>
      </c>
      <c r="H165" t="s">
        <v>4687</v>
      </c>
      <c r="I165">
        <v>25535</v>
      </c>
      <c r="J165">
        <v>52192</v>
      </c>
      <c r="K165" t="s">
        <v>1910</v>
      </c>
      <c r="L165" t="str">
        <f>SUBSTITUTE(K165,"'","")</f>
        <v>320250430008384040</v>
      </c>
      <c r="M165">
        <v>64100</v>
      </c>
    </row>
    <row r="166" spans="1:13" x14ac:dyDescent="0.4">
      <c r="A166" s="1">
        <v>45700</v>
      </c>
      <c r="B166" t="s">
        <v>4683</v>
      </c>
      <c r="C166" t="s">
        <v>5649</v>
      </c>
      <c r="D166">
        <v>61130</v>
      </c>
      <c r="E166" t="s">
        <v>478</v>
      </c>
      <c r="F166">
        <v>24.29</v>
      </c>
      <c r="G166" t="s">
        <v>4686</v>
      </c>
      <c r="H166" t="s">
        <v>4687</v>
      </c>
      <c r="I166">
        <v>25386</v>
      </c>
      <c r="J166">
        <v>51894</v>
      </c>
      <c r="K166" t="s">
        <v>1908</v>
      </c>
      <c r="L166" t="str">
        <f>SUBSTITUTE(K166,"'","")</f>
        <v>320250430002472821</v>
      </c>
      <c r="M166">
        <v>61130</v>
      </c>
    </row>
    <row r="167" spans="1:13" x14ac:dyDescent="0.4">
      <c r="A167" s="1">
        <v>45700</v>
      </c>
      <c r="B167" t="s">
        <v>4683</v>
      </c>
      <c r="C167" t="s">
        <v>5873</v>
      </c>
      <c r="D167">
        <v>61131</v>
      </c>
      <c r="E167" t="s">
        <v>1666</v>
      </c>
      <c r="F167">
        <v>24.95</v>
      </c>
      <c r="G167" t="s">
        <v>4686</v>
      </c>
      <c r="H167" t="s">
        <v>4687</v>
      </c>
      <c r="I167">
        <v>25640</v>
      </c>
      <c r="J167">
        <v>52402</v>
      </c>
      <c r="K167" t="s">
        <v>1906</v>
      </c>
      <c r="L167" t="str">
        <f>SUBSTITUTE(K167,"'","")</f>
        <v>320250430014210160</v>
      </c>
      <c r="M167">
        <v>61131</v>
      </c>
    </row>
    <row r="168" spans="1:13" x14ac:dyDescent="0.4">
      <c r="A168" s="1">
        <v>45700</v>
      </c>
      <c r="B168" t="s">
        <v>4683</v>
      </c>
      <c r="C168" t="s">
        <v>4762</v>
      </c>
      <c r="D168">
        <v>54820</v>
      </c>
      <c r="E168" t="s">
        <v>2240</v>
      </c>
      <c r="F168">
        <v>20.7</v>
      </c>
      <c r="G168" t="s">
        <v>4686</v>
      </c>
      <c r="H168" t="s">
        <v>4687</v>
      </c>
      <c r="I168">
        <v>26124</v>
      </c>
      <c r="J168">
        <v>53370</v>
      </c>
      <c r="K168" t="s">
        <v>4515</v>
      </c>
      <c r="L168" t="str">
        <f>SUBSTITUTE(K168,"'","")</f>
        <v>320250440032055213</v>
      </c>
      <c r="M168">
        <v>54820</v>
      </c>
    </row>
    <row r="169" spans="1:13" x14ac:dyDescent="0.4">
      <c r="A169" s="1">
        <v>45700</v>
      </c>
      <c r="B169" t="s">
        <v>4683</v>
      </c>
      <c r="C169" t="s">
        <v>4764</v>
      </c>
      <c r="D169">
        <v>54820</v>
      </c>
      <c r="E169" t="s">
        <v>4509</v>
      </c>
      <c r="F169">
        <v>120</v>
      </c>
      <c r="G169" t="s">
        <v>4686</v>
      </c>
      <c r="H169" t="s">
        <v>4687</v>
      </c>
      <c r="I169">
        <v>26619</v>
      </c>
      <c r="J169">
        <v>54360</v>
      </c>
      <c r="K169" t="s">
        <v>4513</v>
      </c>
      <c r="L169" t="str">
        <f>SUBSTITUTE(K169,"'","")</f>
        <v>320250440035987466</v>
      </c>
      <c r="M169">
        <v>54820</v>
      </c>
    </row>
    <row r="170" spans="1:13" x14ac:dyDescent="0.4">
      <c r="A170" s="1">
        <v>45700</v>
      </c>
      <c r="B170" t="s">
        <v>4683</v>
      </c>
      <c r="C170" t="s">
        <v>4761</v>
      </c>
      <c r="D170">
        <v>54820</v>
      </c>
      <c r="E170" t="s">
        <v>1900</v>
      </c>
      <c r="F170">
        <v>148.72999999999999</v>
      </c>
      <c r="G170" t="s">
        <v>4686</v>
      </c>
      <c r="H170" t="s">
        <v>4687</v>
      </c>
      <c r="I170">
        <v>25697</v>
      </c>
      <c r="J170">
        <v>52516</v>
      </c>
      <c r="K170" t="s">
        <v>1903</v>
      </c>
      <c r="L170" t="str">
        <f>SUBSTITUTE(K170,"'","")</f>
        <v>320250440038698266</v>
      </c>
      <c r="M170">
        <v>54820</v>
      </c>
    </row>
    <row r="171" spans="1:13" x14ac:dyDescent="0.4">
      <c r="A171" s="1">
        <v>45700</v>
      </c>
      <c r="B171" t="s">
        <v>4683</v>
      </c>
      <c r="C171" t="s">
        <v>4763</v>
      </c>
      <c r="D171">
        <v>54820</v>
      </c>
      <c r="E171" t="s">
        <v>2246</v>
      </c>
      <c r="F171">
        <v>11.99</v>
      </c>
      <c r="G171" t="s">
        <v>4686</v>
      </c>
      <c r="H171" t="s">
        <v>4687</v>
      </c>
      <c r="I171">
        <v>26296</v>
      </c>
      <c r="J171">
        <v>53714</v>
      </c>
      <c r="K171" t="s">
        <v>4508</v>
      </c>
      <c r="L171" t="str">
        <f>SUBSTITUTE(K171,"'","")</f>
        <v>320250440041945161</v>
      </c>
      <c r="M171">
        <v>54820</v>
      </c>
    </row>
    <row r="172" spans="1:13" x14ac:dyDescent="0.4">
      <c r="A172" s="1">
        <v>45701</v>
      </c>
      <c r="B172" t="s">
        <v>4683</v>
      </c>
      <c r="C172" t="s">
        <v>5516</v>
      </c>
      <c r="D172">
        <v>61100</v>
      </c>
      <c r="E172" t="s">
        <v>4500</v>
      </c>
      <c r="F172">
        <v>106.99</v>
      </c>
      <c r="G172" t="s">
        <v>4686</v>
      </c>
      <c r="H172" t="s">
        <v>4687</v>
      </c>
      <c r="I172">
        <v>26249</v>
      </c>
      <c r="J172">
        <v>53620</v>
      </c>
      <c r="K172" t="s">
        <v>4502</v>
      </c>
      <c r="L172" t="str">
        <f>SUBSTITUTE(K172,"'","")</f>
        <v>320250440024587251</v>
      </c>
      <c r="M172">
        <v>61100</v>
      </c>
    </row>
    <row r="173" spans="1:13" x14ac:dyDescent="0.4">
      <c r="A173" s="1">
        <v>45701</v>
      </c>
      <c r="B173" t="s">
        <v>4683</v>
      </c>
      <c r="C173" t="s">
        <v>4765</v>
      </c>
      <c r="D173">
        <v>54820</v>
      </c>
      <c r="E173" t="s">
        <v>1316</v>
      </c>
      <c r="F173">
        <v>192.47</v>
      </c>
      <c r="G173" t="s">
        <v>4686</v>
      </c>
      <c r="H173" t="s">
        <v>4687</v>
      </c>
      <c r="I173">
        <v>25363</v>
      </c>
      <c r="J173">
        <v>51848</v>
      </c>
      <c r="K173" t="s">
        <v>1899</v>
      </c>
      <c r="L173" t="str">
        <f>SUBSTITUTE(K173,"'","")</f>
        <v>320250440028231133</v>
      </c>
      <c r="M173">
        <v>54820</v>
      </c>
    </row>
    <row r="174" spans="1:13" x14ac:dyDescent="0.4">
      <c r="A174" s="1">
        <v>45701</v>
      </c>
      <c r="B174" t="s">
        <v>4683</v>
      </c>
      <c r="C174" t="s">
        <v>4768</v>
      </c>
      <c r="D174">
        <v>54820</v>
      </c>
      <c r="E174" t="s">
        <v>3682</v>
      </c>
      <c r="F174">
        <v>91.46</v>
      </c>
      <c r="G174" t="s">
        <v>4686</v>
      </c>
      <c r="H174" t="s">
        <v>4687</v>
      </c>
      <c r="I174">
        <v>26620</v>
      </c>
      <c r="J174">
        <v>54362</v>
      </c>
      <c r="K174" t="s">
        <v>4504</v>
      </c>
      <c r="L174" t="str">
        <f>SUBSTITUTE(K174,"'","")</f>
        <v>320250450056658774</v>
      </c>
      <c r="M174">
        <v>54820</v>
      </c>
    </row>
    <row r="175" spans="1:13" x14ac:dyDescent="0.4">
      <c r="A175" s="1">
        <v>45701</v>
      </c>
      <c r="B175" t="s">
        <v>4683</v>
      </c>
      <c r="C175" t="s">
        <v>4767</v>
      </c>
      <c r="D175">
        <v>54820</v>
      </c>
      <c r="E175" t="s">
        <v>3151</v>
      </c>
      <c r="F175">
        <v>62.06</v>
      </c>
      <c r="G175" t="s">
        <v>4686</v>
      </c>
      <c r="H175" t="s">
        <v>4687</v>
      </c>
      <c r="I175">
        <v>26188</v>
      </c>
      <c r="J175">
        <v>53498</v>
      </c>
      <c r="K175" t="s">
        <v>4506</v>
      </c>
      <c r="L175" t="str">
        <f>SUBSTITUTE(K175,"'","")</f>
        <v>320250450059709946</v>
      </c>
      <c r="M175">
        <v>54820</v>
      </c>
    </row>
    <row r="176" spans="1:13" x14ac:dyDescent="0.4">
      <c r="A176" s="1">
        <v>45701</v>
      </c>
      <c r="B176" t="s">
        <v>4683</v>
      </c>
      <c r="C176" t="s">
        <v>4766</v>
      </c>
      <c r="D176">
        <v>54820</v>
      </c>
      <c r="E176" t="s">
        <v>1714</v>
      </c>
      <c r="F176">
        <v>21.56</v>
      </c>
      <c r="G176" t="s">
        <v>4686</v>
      </c>
      <c r="H176" t="s">
        <v>4687</v>
      </c>
      <c r="I176">
        <v>26029</v>
      </c>
      <c r="J176">
        <v>53180</v>
      </c>
      <c r="K176" t="s">
        <v>1897</v>
      </c>
      <c r="L176" t="str">
        <f>SUBSTITUTE(K176,"'","")</f>
        <v>320250450063571445</v>
      </c>
      <c r="M176">
        <v>54820</v>
      </c>
    </row>
    <row r="177" spans="1:13" x14ac:dyDescent="0.4">
      <c r="A177" s="1">
        <v>45702</v>
      </c>
      <c r="B177" t="s">
        <v>4683</v>
      </c>
      <c r="C177" t="s">
        <v>4769</v>
      </c>
      <c r="D177">
        <v>54820</v>
      </c>
      <c r="E177" t="s">
        <v>2344</v>
      </c>
      <c r="F177">
        <v>50.67</v>
      </c>
      <c r="G177" t="s">
        <v>4686</v>
      </c>
      <c r="H177" t="s">
        <v>4687</v>
      </c>
      <c r="I177">
        <v>26260</v>
      </c>
      <c r="J177">
        <v>53642</v>
      </c>
      <c r="K177" t="s">
        <v>4497</v>
      </c>
      <c r="L177" t="str">
        <f>SUBSTITUTE(K177,"'","")</f>
        <v>320250450048320896</v>
      </c>
      <c r="M177">
        <v>54820</v>
      </c>
    </row>
    <row r="178" spans="1:13" x14ac:dyDescent="0.4">
      <c r="A178" s="1">
        <v>45702</v>
      </c>
      <c r="B178" t="s">
        <v>4683</v>
      </c>
      <c r="C178" t="s">
        <v>4770</v>
      </c>
      <c r="D178">
        <v>54820</v>
      </c>
      <c r="E178" t="s">
        <v>2222</v>
      </c>
      <c r="F178">
        <v>20.18</v>
      </c>
      <c r="G178" t="s">
        <v>4686</v>
      </c>
      <c r="H178" t="s">
        <v>4687</v>
      </c>
      <c r="I178">
        <v>26449</v>
      </c>
      <c r="J178">
        <v>54020</v>
      </c>
      <c r="K178" t="s">
        <v>4499</v>
      </c>
      <c r="L178" t="str">
        <f>SUBSTITUTE(K178,"'","")</f>
        <v>320250450050665703</v>
      </c>
      <c r="M178">
        <v>54820</v>
      </c>
    </row>
    <row r="179" spans="1:13" x14ac:dyDescent="0.4">
      <c r="A179" s="1">
        <v>45702</v>
      </c>
      <c r="B179" t="s">
        <v>4683</v>
      </c>
      <c r="C179" t="s">
        <v>5650</v>
      </c>
      <c r="D179">
        <v>61130</v>
      </c>
      <c r="E179" t="s">
        <v>478</v>
      </c>
      <c r="F179">
        <v>51.8</v>
      </c>
      <c r="G179" t="s">
        <v>4686</v>
      </c>
      <c r="H179" t="s">
        <v>4687</v>
      </c>
      <c r="I179">
        <v>25387</v>
      </c>
      <c r="J179">
        <v>51896</v>
      </c>
      <c r="K179" t="s">
        <v>1895</v>
      </c>
      <c r="L179" t="str">
        <f>SUBSTITUTE(K179,"'","")</f>
        <v>320250450052409460</v>
      </c>
      <c r="M179">
        <v>61130</v>
      </c>
    </row>
    <row r="180" spans="1:13" x14ac:dyDescent="0.4">
      <c r="A180" s="1">
        <v>45702</v>
      </c>
      <c r="B180" t="s">
        <v>4683</v>
      </c>
      <c r="C180" t="s">
        <v>5874</v>
      </c>
      <c r="D180">
        <v>61131</v>
      </c>
      <c r="E180" t="s">
        <v>1837</v>
      </c>
      <c r="F180">
        <v>4.24</v>
      </c>
      <c r="G180" t="s">
        <v>4686</v>
      </c>
      <c r="H180" t="s">
        <v>4687</v>
      </c>
      <c r="I180">
        <v>25719</v>
      </c>
      <c r="J180">
        <v>52560</v>
      </c>
      <c r="K180" t="s">
        <v>1889</v>
      </c>
      <c r="L180" t="str">
        <f>SUBSTITUTE(K180,"'","")</f>
        <v>320250460088918761</v>
      </c>
      <c r="M180">
        <v>61131</v>
      </c>
    </row>
    <row r="181" spans="1:13" x14ac:dyDescent="0.4">
      <c r="A181" s="1">
        <v>45702</v>
      </c>
      <c r="B181" t="s">
        <v>4683</v>
      </c>
      <c r="C181" t="s">
        <v>5971</v>
      </c>
      <c r="D181">
        <v>61215</v>
      </c>
      <c r="E181" t="s">
        <v>1890</v>
      </c>
      <c r="F181" s="5">
        <v>1400</v>
      </c>
      <c r="G181" t="s">
        <v>4686</v>
      </c>
      <c r="H181" t="s">
        <v>4687</v>
      </c>
      <c r="I181">
        <v>25935</v>
      </c>
      <c r="J181">
        <v>52992</v>
      </c>
      <c r="K181" t="s">
        <v>1893</v>
      </c>
      <c r="L181" t="str">
        <f>SUBSTITUTE(K181,"'","")</f>
        <v>320250460090236160</v>
      </c>
      <c r="M181">
        <v>61215</v>
      </c>
    </row>
    <row r="182" spans="1:13" x14ac:dyDescent="0.4">
      <c r="A182" s="1">
        <v>45702</v>
      </c>
      <c r="B182" t="s">
        <v>4683</v>
      </c>
      <c r="C182" t="s">
        <v>6413</v>
      </c>
      <c r="D182">
        <v>65700</v>
      </c>
      <c r="E182" t="s">
        <v>83</v>
      </c>
      <c r="F182">
        <v>104.4</v>
      </c>
      <c r="G182" t="s">
        <v>4686</v>
      </c>
      <c r="H182" t="s">
        <v>4687</v>
      </c>
      <c r="I182">
        <v>25545</v>
      </c>
      <c r="J182">
        <v>52212</v>
      </c>
      <c r="K182" t="s">
        <v>1887</v>
      </c>
      <c r="L182" t="str">
        <f>SUBSTITUTE(K182,"'","")</f>
        <v>320250460092484907</v>
      </c>
      <c r="M182">
        <v>65700</v>
      </c>
    </row>
    <row r="183" spans="1:13" x14ac:dyDescent="0.4">
      <c r="A183" s="1">
        <v>45703</v>
      </c>
      <c r="B183" t="s">
        <v>4683</v>
      </c>
      <c r="C183" t="s">
        <v>5651</v>
      </c>
      <c r="D183">
        <v>61130</v>
      </c>
      <c r="E183" t="s">
        <v>478</v>
      </c>
      <c r="F183">
        <v>79.67</v>
      </c>
      <c r="G183" t="s">
        <v>4686</v>
      </c>
      <c r="H183" t="s">
        <v>4687</v>
      </c>
      <c r="I183">
        <v>25388</v>
      </c>
      <c r="J183">
        <v>51898</v>
      </c>
      <c r="K183" t="s">
        <v>1885</v>
      </c>
      <c r="L183" t="str">
        <f>SUBSTITUTE(K183,"'","")</f>
        <v>320250460080683147</v>
      </c>
      <c r="M183">
        <v>61130</v>
      </c>
    </row>
    <row r="184" spans="1:13" x14ac:dyDescent="0.4">
      <c r="A184" s="1">
        <v>45703</v>
      </c>
      <c r="B184" t="s">
        <v>4683</v>
      </c>
      <c r="C184" t="s">
        <v>6127</v>
      </c>
      <c r="D184">
        <v>64100</v>
      </c>
      <c r="E184" t="s">
        <v>437</v>
      </c>
      <c r="F184">
        <v>10</v>
      </c>
      <c r="G184" t="s">
        <v>4686</v>
      </c>
      <c r="H184" t="s">
        <v>4687</v>
      </c>
      <c r="I184">
        <v>25570</v>
      </c>
      <c r="J184">
        <v>52262</v>
      </c>
      <c r="K184" t="s">
        <v>1883</v>
      </c>
      <c r="L184" t="str">
        <f>SUBSTITUTE(K184,"'","")</f>
        <v>320250470116342187</v>
      </c>
      <c r="M184">
        <v>64100</v>
      </c>
    </row>
    <row r="185" spans="1:13" x14ac:dyDescent="0.4">
      <c r="A185" s="1">
        <v>45704</v>
      </c>
      <c r="B185" t="s">
        <v>4683</v>
      </c>
      <c r="C185" t="s">
        <v>4771</v>
      </c>
      <c r="D185">
        <v>54820</v>
      </c>
      <c r="E185" t="s">
        <v>3894</v>
      </c>
      <c r="F185">
        <v>27.99</v>
      </c>
      <c r="G185" t="s">
        <v>4686</v>
      </c>
      <c r="H185" t="s">
        <v>4687</v>
      </c>
      <c r="I185">
        <v>26522</v>
      </c>
      <c r="J185">
        <v>54166</v>
      </c>
      <c r="K185" t="s">
        <v>4495</v>
      </c>
      <c r="L185" t="str">
        <f>SUBSTITUTE(K185,"'","")</f>
        <v>320250470102845599</v>
      </c>
      <c r="M185">
        <v>54820</v>
      </c>
    </row>
    <row r="186" spans="1:13" x14ac:dyDescent="0.4">
      <c r="A186" s="1">
        <v>45704</v>
      </c>
      <c r="B186" t="s">
        <v>4683</v>
      </c>
      <c r="C186" t="s">
        <v>5652</v>
      </c>
      <c r="D186">
        <v>61130</v>
      </c>
      <c r="E186" t="s">
        <v>478</v>
      </c>
      <c r="F186">
        <v>30.89</v>
      </c>
      <c r="G186" t="s">
        <v>4686</v>
      </c>
      <c r="H186" t="s">
        <v>4687</v>
      </c>
      <c r="I186">
        <v>25389</v>
      </c>
      <c r="J186">
        <v>51900</v>
      </c>
      <c r="K186" t="s">
        <v>1877</v>
      </c>
      <c r="L186" t="str">
        <f>SUBSTITUTE(K186,"'","")</f>
        <v>320250470103895975</v>
      </c>
      <c r="M186">
        <v>61130</v>
      </c>
    </row>
    <row r="187" spans="1:13" x14ac:dyDescent="0.4">
      <c r="A187" s="1">
        <v>45704</v>
      </c>
      <c r="B187" t="s">
        <v>4683</v>
      </c>
      <c r="C187" t="s">
        <v>5653</v>
      </c>
      <c r="D187">
        <v>61130</v>
      </c>
      <c r="E187" t="s">
        <v>478</v>
      </c>
      <c r="F187">
        <v>62.17</v>
      </c>
      <c r="G187" t="s">
        <v>4686</v>
      </c>
      <c r="H187" t="s">
        <v>4687</v>
      </c>
      <c r="I187">
        <v>25390</v>
      </c>
      <c r="J187">
        <v>51902</v>
      </c>
      <c r="K187" t="s">
        <v>1879</v>
      </c>
      <c r="L187" t="str">
        <f>SUBSTITUTE(K187,"'","")</f>
        <v>320250470103908127</v>
      </c>
      <c r="M187">
        <v>61130</v>
      </c>
    </row>
    <row r="188" spans="1:13" x14ac:dyDescent="0.4">
      <c r="A188" s="1">
        <v>45704</v>
      </c>
      <c r="B188" t="s">
        <v>4683</v>
      </c>
      <c r="C188" t="s">
        <v>5654</v>
      </c>
      <c r="D188">
        <v>61130</v>
      </c>
      <c r="E188" t="s">
        <v>478</v>
      </c>
      <c r="F188">
        <v>63.85</v>
      </c>
      <c r="G188" t="s">
        <v>4686</v>
      </c>
      <c r="H188" t="s">
        <v>4687</v>
      </c>
      <c r="I188">
        <v>25391</v>
      </c>
      <c r="J188">
        <v>51904</v>
      </c>
      <c r="K188" t="s">
        <v>1881</v>
      </c>
      <c r="L188" t="str">
        <f>SUBSTITUTE(K188,"'","")</f>
        <v>320250470104541274</v>
      </c>
      <c r="M188">
        <v>61130</v>
      </c>
    </row>
    <row r="189" spans="1:13" x14ac:dyDescent="0.4">
      <c r="A189" s="1">
        <v>45704</v>
      </c>
      <c r="B189" t="s">
        <v>4683</v>
      </c>
      <c r="C189" t="s">
        <v>4772</v>
      </c>
      <c r="D189">
        <v>54820</v>
      </c>
      <c r="E189" t="s">
        <v>4490</v>
      </c>
      <c r="F189">
        <v>19</v>
      </c>
      <c r="G189" t="s">
        <v>4686</v>
      </c>
      <c r="H189" t="s">
        <v>4687</v>
      </c>
      <c r="I189">
        <v>26582</v>
      </c>
      <c r="J189">
        <v>54286</v>
      </c>
      <c r="K189" t="s">
        <v>4493</v>
      </c>
      <c r="L189" t="str">
        <f>SUBSTITUTE(K189,"'","")</f>
        <v>320250480136051302</v>
      </c>
      <c r="M189">
        <v>54820</v>
      </c>
    </row>
    <row r="190" spans="1:13" x14ac:dyDescent="0.4">
      <c r="A190" s="1">
        <v>45704</v>
      </c>
      <c r="B190" t="s">
        <v>4683</v>
      </c>
      <c r="C190" t="s">
        <v>5972</v>
      </c>
      <c r="D190">
        <v>61215</v>
      </c>
      <c r="E190" t="s">
        <v>1872</v>
      </c>
      <c r="F190">
        <v>600</v>
      </c>
      <c r="G190" t="s">
        <v>4686</v>
      </c>
      <c r="H190" t="s">
        <v>4687</v>
      </c>
      <c r="I190">
        <v>25936</v>
      </c>
      <c r="J190">
        <v>52994</v>
      </c>
      <c r="K190" t="s">
        <v>1875</v>
      </c>
      <c r="L190" t="str">
        <f>SUBSTITUTE(K190,"'","")</f>
        <v>320250480138935984</v>
      </c>
      <c r="M190">
        <v>61215</v>
      </c>
    </row>
    <row r="191" spans="1:13" x14ac:dyDescent="0.4">
      <c r="A191" s="1">
        <v>45705</v>
      </c>
      <c r="B191" t="s">
        <v>4683</v>
      </c>
      <c r="C191" t="s">
        <v>5875</v>
      </c>
      <c r="D191">
        <v>61131</v>
      </c>
      <c r="E191" t="s">
        <v>1756</v>
      </c>
      <c r="F191">
        <v>33.54</v>
      </c>
      <c r="G191" t="s">
        <v>4686</v>
      </c>
      <c r="H191" t="s">
        <v>4687</v>
      </c>
      <c r="I191">
        <v>25720</v>
      </c>
      <c r="J191">
        <v>52562</v>
      </c>
      <c r="K191" t="s">
        <v>1871</v>
      </c>
      <c r="L191" t="str">
        <f>SUBSTITUTE(K191,"'","")</f>
        <v>320250490165416577</v>
      </c>
      <c r="M191">
        <v>61131</v>
      </c>
    </row>
    <row r="192" spans="1:13" x14ac:dyDescent="0.4">
      <c r="A192" s="1">
        <v>45705</v>
      </c>
      <c r="B192" t="s">
        <v>4683</v>
      </c>
      <c r="C192" t="s">
        <v>4773</v>
      </c>
      <c r="D192">
        <v>54820</v>
      </c>
      <c r="E192" t="s">
        <v>2158</v>
      </c>
      <c r="F192">
        <v>200</v>
      </c>
      <c r="G192" t="s">
        <v>4686</v>
      </c>
      <c r="H192" t="s">
        <v>4687</v>
      </c>
      <c r="I192">
        <v>26177</v>
      </c>
      <c r="J192">
        <v>53476</v>
      </c>
      <c r="K192" t="s">
        <v>4489</v>
      </c>
      <c r="L192" t="str">
        <f>SUBSTITUTE(K192,"'","")</f>
        <v>320250500194626037</v>
      </c>
      <c r="M192">
        <v>54820</v>
      </c>
    </row>
    <row r="193" spans="1:13" x14ac:dyDescent="0.4">
      <c r="A193" s="1">
        <v>45706</v>
      </c>
      <c r="B193" t="s">
        <v>4683</v>
      </c>
      <c r="C193" t="s">
        <v>4774</v>
      </c>
      <c r="D193">
        <v>54820</v>
      </c>
      <c r="E193" t="s">
        <v>4302</v>
      </c>
      <c r="F193">
        <v>78.95</v>
      </c>
      <c r="G193" t="s">
        <v>4686</v>
      </c>
      <c r="H193" t="s">
        <v>4687</v>
      </c>
      <c r="I193">
        <v>26166</v>
      </c>
      <c r="J193">
        <v>53454</v>
      </c>
      <c r="K193" t="s">
        <v>4487</v>
      </c>
      <c r="L193" t="str">
        <f>SUBSTITUTE(K193,"'","")</f>
        <v>320250490158986548</v>
      </c>
      <c r="M193">
        <v>54820</v>
      </c>
    </row>
    <row r="194" spans="1:13" x14ac:dyDescent="0.4">
      <c r="A194" s="1">
        <v>45707</v>
      </c>
      <c r="B194" t="s">
        <v>4683</v>
      </c>
      <c r="C194" t="s">
        <v>4775</v>
      </c>
      <c r="D194">
        <v>54820</v>
      </c>
      <c r="E194" t="s">
        <v>4478</v>
      </c>
      <c r="F194">
        <v>19.260000000000002</v>
      </c>
      <c r="G194" t="s">
        <v>4686</v>
      </c>
      <c r="H194" t="s">
        <v>4687</v>
      </c>
      <c r="I194">
        <v>26621</v>
      </c>
      <c r="J194">
        <v>54364</v>
      </c>
      <c r="K194" t="s">
        <v>4481</v>
      </c>
      <c r="L194" t="str">
        <f>SUBSTITUTE(K194,"'","")</f>
        <v>320250500184345257</v>
      </c>
      <c r="M194">
        <v>54820</v>
      </c>
    </row>
    <row r="195" spans="1:13" x14ac:dyDescent="0.4">
      <c r="A195" s="1">
        <v>45707</v>
      </c>
      <c r="B195" t="s">
        <v>4683</v>
      </c>
      <c r="C195" t="s">
        <v>4776</v>
      </c>
      <c r="D195">
        <v>54820</v>
      </c>
      <c r="E195" t="s">
        <v>4482</v>
      </c>
      <c r="F195">
        <v>88.98</v>
      </c>
      <c r="G195" t="s">
        <v>4686</v>
      </c>
      <c r="H195" t="s">
        <v>4687</v>
      </c>
      <c r="I195">
        <v>26622</v>
      </c>
      <c r="J195">
        <v>54366</v>
      </c>
      <c r="K195" t="s">
        <v>4485</v>
      </c>
      <c r="L195" t="str">
        <f>SUBSTITUTE(K195,"'","")</f>
        <v>320250510220853629</v>
      </c>
      <c r="M195">
        <v>54820</v>
      </c>
    </row>
    <row r="196" spans="1:13" x14ac:dyDescent="0.4">
      <c r="A196" s="1">
        <v>45708</v>
      </c>
      <c r="B196" t="s">
        <v>4683</v>
      </c>
      <c r="C196" t="s">
        <v>4777</v>
      </c>
      <c r="D196">
        <v>54820</v>
      </c>
      <c r="E196" t="s">
        <v>3894</v>
      </c>
      <c r="F196">
        <v>13.9</v>
      </c>
      <c r="G196" t="s">
        <v>4686</v>
      </c>
      <c r="H196" t="s">
        <v>4687</v>
      </c>
      <c r="I196">
        <v>26523</v>
      </c>
      <c r="J196">
        <v>54168</v>
      </c>
      <c r="K196" t="s">
        <v>4477</v>
      </c>
      <c r="L196" t="str">
        <f>SUBSTITUTE(K196,"'","")</f>
        <v>320250510209436177</v>
      </c>
      <c r="M196">
        <v>54820</v>
      </c>
    </row>
    <row r="197" spans="1:13" x14ac:dyDescent="0.4">
      <c r="A197" s="1">
        <v>45708</v>
      </c>
      <c r="B197" t="s">
        <v>4683</v>
      </c>
      <c r="C197" t="s">
        <v>5973</v>
      </c>
      <c r="D197">
        <v>61215</v>
      </c>
      <c r="E197" t="s">
        <v>175</v>
      </c>
      <c r="F197">
        <v>500</v>
      </c>
      <c r="G197" t="s">
        <v>4686</v>
      </c>
      <c r="H197" t="s">
        <v>4687</v>
      </c>
      <c r="I197">
        <v>25937</v>
      </c>
      <c r="J197">
        <v>52996</v>
      </c>
      <c r="K197" t="s">
        <v>1869</v>
      </c>
      <c r="L197" t="str">
        <f>SUBSTITUTE(K197,"'","")</f>
        <v>320250520241191679</v>
      </c>
      <c r="M197">
        <v>61215</v>
      </c>
    </row>
    <row r="198" spans="1:13" x14ac:dyDescent="0.4">
      <c r="A198" s="1">
        <v>45708</v>
      </c>
      <c r="B198" t="s">
        <v>4683</v>
      </c>
      <c r="C198" t="s">
        <v>4778</v>
      </c>
      <c r="D198">
        <v>54820</v>
      </c>
      <c r="E198" t="s">
        <v>4473</v>
      </c>
      <c r="F198">
        <v>192.48</v>
      </c>
      <c r="G198" t="s">
        <v>4686</v>
      </c>
      <c r="H198" t="s">
        <v>4687</v>
      </c>
      <c r="I198">
        <v>26623</v>
      </c>
      <c r="J198">
        <v>54368</v>
      </c>
      <c r="K198" t="s">
        <v>4475</v>
      </c>
      <c r="L198" t="str">
        <f>SUBSTITUTE(K198,"'","")</f>
        <v>320250520247080810</v>
      </c>
      <c r="M198">
        <v>54820</v>
      </c>
    </row>
    <row r="199" spans="1:13" x14ac:dyDescent="0.4">
      <c r="A199" s="1">
        <v>45709</v>
      </c>
      <c r="B199" t="s">
        <v>4683</v>
      </c>
      <c r="C199" t="s">
        <v>5656</v>
      </c>
      <c r="D199">
        <v>61130</v>
      </c>
      <c r="E199" t="s">
        <v>478</v>
      </c>
      <c r="F199">
        <v>48.41</v>
      </c>
      <c r="G199" t="s">
        <v>4686</v>
      </c>
      <c r="H199" t="s">
        <v>4687</v>
      </c>
      <c r="I199">
        <v>25393</v>
      </c>
      <c r="J199">
        <v>51908</v>
      </c>
      <c r="K199" t="s">
        <v>1868</v>
      </c>
      <c r="L199" t="str">
        <f>SUBSTITUTE(K199,"'","")</f>
        <v>320250520233003747</v>
      </c>
      <c r="M199">
        <v>61130</v>
      </c>
    </row>
    <row r="200" spans="1:13" x14ac:dyDescent="0.4">
      <c r="A200" s="1">
        <v>45709</v>
      </c>
      <c r="B200" t="s">
        <v>4683</v>
      </c>
      <c r="C200" t="s">
        <v>5655</v>
      </c>
      <c r="D200">
        <v>61130</v>
      </c>
      <c r="E200" t="s">
        <v>478</v>
      </c>
      <c r="F200">
        <v>45.59</v>
      </c>
      <c r="G200" t="s">
        <v>4686</v>
      </c>
      <c r="H200" t="s">
        <v>4687</v>
      </c>
      <c r="I200">
        <v>25392</v>
      </c>
      <c r="J200">
        <v>51906</v>
      </c>
      <c r="K200" t="s">
        <v>1866</v>
      </c>
      <c r="L200" t="str">
        <f>SUBSTITUTE(K200,"'","")</f>
        <v>320250520233617186</v>
      </c>
      <c r="M200">
        <v>61130</v>
      </c>
    </row>
    <row r="201" spans="1:13" x14ac:dyDescent="0.4">
      <c r="A201" s="1">
        <v>45709</v>
      </c>
      <c r="B201" t="s">
        <v>4683</v>
      </c>
      <c r="C201" t="s">
        <v>4779</v>
      </c>
      <c r="D201">
        <v>54820</v>
      </c>
      <c r="E201" t="s">
        <v>4470</v>
      </c>
      <c r="F201" s="5">
        <v>1045</v>
      </c>
      <c r="G201" t="s">
        <v>4686</v>
      </c>
      <c r="H201" t="s">
        <v>4687</v>
      </c>
      <c r="I201">
        <v>26172</v>
      </c>
      <c r="J201">
        <v>53466</v>
      </c>
      <c r="K201" t="s">
        <v>4472</v>
      </c>
      <c r="L201" t="str">
        <f>SUBSTITUTE(K201,"'","")</f>
        <v>320250530266725164</v>
      </c>
      <c r="M201">
        <v>54820</v>
      </c>
    </row>
    <row r="202" spans="1:13" x14ac:dyDescent="0.4">
      <c r="A202" s="1">
        <v>45710</v>
      </c>
      <c r="B202" t="s">
        <v>4683</v>
      </c>
      <c r="C202" t="s">
        <v>6128</v>
      </c>
      <c r="D202">
        <v>64100</v>
      </c>
      <c r="E202" t="s">
        <v>32</v>
      </c>
      <c r="F202">
        <v>21.4</v>
      </c>
      <c r="G202" t="s">
        <v>4686</v>
      </c>
      <c r="H202" t="s">
        <v>4687</v>
      </c>
      <c r="I202">
        <v>25560</v>
      </c>
      <c r="J202">
        <v>52242</v>
      </c>
      <c r="K202" t="s">
        <v>1864</v>
      </c>
      <c r="L202" t="str">
        <f>SUBSTITUTE(K202,"'","")</f>
        <v>320250530258236369</v>
      </c>
      <c r="M202">
        <v>64100</v>
      </c>
    </row>
    <row r="203" spans="1:13" x14ac:dyDescent="0.4">
      <c r="A203" s="1">
        <v>45710</v>
      </c>
      <c r="B203" t="s">
        <v>4683</v>
      </c>
      <c r="C203" t="s">
        <v>5975</v>
      </c>
      <c r="D203">
        <v>61215</v>
      </c>
      <c r="E203" t="s">
        <v>948</v>
      </c>
      <c r="F203" s="5">
        <v>1100</v>
      </c>
      <c r="G203" t="s">
        <v>4686</v>
      </c>
      <c r="H203" t="s">
        <v>4687</v>
      </c>
      <c r="I203">
        <v>25939</v>
      </c>
      <c r="J203">
        <v>53000</v>
      </c>
      <c r="K203" t="s">
        <v>1862</v>
      </c>
      <c r="L203" t="str">
        <f>SUBSTITUTE(K203,"'","")</f>
        <v>320250540291481004</v>
      </c>
      <c r="M203">
        <v>61215</v>
      </c>
    </row>
    <row r="204" spans="1:13" x14ac:dyDescent="0.4">
      <c r="A204" s="1">
        <v>45710</v>
      </c>
      <c r="B204" t="s">
        <v>4683</v>
      </c>
      <c r="C204" t="s">
        <v>5974</v>
      </c>
      <c r="D204">
        <v>61215</v>
      </c>
      <c r="E204" t="s">
        <v>948</v>
      </c>
      <c r="F204">
        <v>99.48</v>
      </c>
      <c r="G204" t="s">
        <v>4686</v>
      </c>
      <c r="H204" t="s">
        <v>4687</v>
      </c>
      <c r="I204">
        <v>25938</v>
      </c>
      <c r="J204">
        <v>52998</v>
      </c>
      <c r="K204" t="s">
        <v>1860</v>
      </c>
      <c r="L204" t="str">
        <f>SUBSTITUTE(K204,"'","")</f>
        <v>320250540291537604</v>
      </c>
      <c r="M204">
        <v>61215</v>
      </c>
    </row>
    <row r="205" spans="1:13" x14ac:dyDescent="0.4">
      <c r="A205" s="1">
        <v>45710</v>
      </c>
      <c r="B205" t="s">
        <v>4683</v>
      </c>
      <c r="C205" t="s">
        <v>4780</v>
      </c>
      <c r="D205">
        <v>54820</v>
      </c>
      <c r="E205" t="s">
        <v>4466</v>
      </c>
      <c r="F205">
        <v>7.49</v>
      </c>
      <c r="G205" t="s">
        <v>4686</v>
      </c>
      <c r="H205" t="s">
        <v>4687</v>
      </c>
      <c r="I205">
        <v>26624</v>
      </c>
      <c r="J205">
        <v>54370</v>
      </c>
      <c r="K205" t="s">
        <v>4469</v>
      </c>
      <c r="L205" t="str">
        <f>SUBSTITUTE(K205,"'","")</f>
        <v>320250540294365208</v>
      </c>
      <c r="M205">
        <v>54820</v>
      </c>
    </row>
    <row r="206" spans="1:13" x14ac:dyDescent="0.4">
      <c r="A206" s="1">
        <v>45711</v>
      </c>
      <c r="B206" t="s">
        <v>4683</v>
      </c>
      <c r="C206" t="s">
        <v>4781</v>
      </c>
      <c r="D206">
        <v>54820</v>
      </c>
      <c r="E206" t="s">
        <v>977</v>
      </c>
      <c r="F206">
        <v>10</v>
      </c>
      <c r="G206" t="s">
        <v>4686</v>
      </c>
      <c r="H206" t="s">
        <v>4687</v>
      </c>
      <c r="I206">
        <v>26458</v>
      </c>
      <c r="J206">
        <v>54038</v>
      </c>
      <c r="K206" t="s">
        <v>4463</v>
      </c>
      <c r="L206" t="str">
        <f>SUBSTITUTE(K206,"'","")</f>
        <v>320250540279615228</v>
      </c>
      <c r="M206">
        <v>54820</v>
      </c>
    </row>
    <row r="207" spans="1:13" x14ac:dyDescent="0.4">
      <c r="A207" s="1">
        <v>45711</v>
      </c>
      <c r="B207" t="s">
        <v>4683</v>
      </c>
      <c r="C207" t="s">
        <v>5657</v>
      </c>
      <c r="D207">
        <v>61130</v>
      </c>
      <c r="E207" t="s">
        <v>478</v>
      </c>
      <c r="F207">
        <v>34.380000000000003</v>
      </c>
      <c r="G207" t="s">
        <v>4686</v>
      </c>
      <c r="H207" t="s">
        <v>4687</v>
      </c>
      <c r="I207">
        <v>25394</v>
      </c>
      <c r="J207">
        <v>51910</v>
      </c>
      <c r="K207" t="s">
        <v>1858</v>
      </c>
      <c r="L207" t="str">
        <f>SUBSTITUTE(K207,"'","")</f>
        <v>320250540284170918</v>
      </c>
      <c r="M207">
        <v>61130</v>
      </c>
    </row>
    <row r="208" spans="1:13" x14ac:dyDescent="0.4">
      <c r="A208" s="1">
        <v>45711</v>
      </c>
      <c r="B208" t="s">
        <v>4683</v>
      </c>
      <c r="C208" t="s">
        <v>6389</v>
      </c>
      <c r="D208">
        <v>65505</v>
      </c>
      <c r="E208" t="s">
        <v>1646</v>
      </c>
      <c r="F208">
        <v>500</v>
      </c>
      <c r="G208" t="s">
        <v>4686</v>
      </c>
      <c r="H208" t="s">
        <v>4687</v>
      </c>
      <c r="I208">
        <v>26031</v>
      </c>
      <c r="J208">
        <v>53184</v>
      </c>
      <c r="K208" t="s">
        <v>1856</v>
      </c>
      <c r="L208" t="str">
        <f>SUBSTITUTE(K208,"'","")</f>
        <v>320250550306884431</v>
      </c>
      <c r="M208">
        <v>65505</v>
      </c>
    </row>
    <row r="209" spans="1:13" x14ac:dyDescent="0.4">
      <c r="A209" s="1">
        <v>45711</v>
      </c>
      <c r="B209" t="s">
        <v>4683</v>
      </c>
      <c r="C209" t="s">
        <v>4782</v>
      </c>
      <c r="D209">
        <v>54820</v>
      </c>
      <c r="E209" t="s">
        <v>1300</v>
      </c>
      <c r="F209">
        <v>41.06</v>
      </c>
      <c r="G209" t="s">
        <v>4686</v>
      </c>
      <c r="H209" t="s">
        <v>4687</v>
      </c>
      <c r="I209">
        <v>26625</v>
      </c>
      <c r="J209">
        <v>54372</v>
      </c>
      <c r="K209" t="s">
        <v>4465</v>
      </c>
      <c r="L209" t="str">
        <f>SUBSTITUTE(K209,"'","")</f>
        <v>320250550317478332</v>
      </c>
      <c r="M209">
        <v>54820</v>
      </c>
    </row>
    <row r="210" spans="1:13" x14ac:dyDescent="0.4">
      <c r="A210" s="1">
        <v>45711</v>
      </c>
      <c r="B210" t="s">
        <v>4683</v>
      </c>
      <c r="C210" t="s">
        <v>6129</v>
      </c>
      <c r="D210">
        <v>64100</v>
      </c>
      <c r="E210" t="s">
        <v>1849</v>
      </c>
      <c r="F210">
        <v>2.17</v>
      </c>
      <c r="G210" t="s">
        <v>4686</v>
      </c>
      <c r="H210" t="s">
        <v>4687</v>
      </c>
      <c r="I210">
        <v>25672</v>
      </c>
      <c r="J210">
        <v>52466</v>
      </c>
      <c r="K210" t="s">
        <v>1851</v>
      </c>
      <c r="L210" t="str">
        <f>SUBSTITUTE(K210,"'","")</f>
        <v>320250550319101748</v>
      </c>
      <c r="M210">
        <v>64100</v>
      </c>
    </row>
    <row r="211" spans="1:13" x14ac:dyDescent="0.4">
      <c r="A211" s="1">
        <v>45711</v>
      </c>
      <c r="B211" t="s">
        <v>4683</v>
      </c>
      <c r="C211" t="s">
        <v>6130</v>
      </c>
      <c r="D211">
        <v>64100</v>
      </c>
      <c r="E211" t="s">
        <v>1852</v>
      </c>
      <c r="F211">
        <v>94.32</v>
      </c>
      <c r="G211" t="s">
        <v>4686</v>
      </c>
      <c r="H211" t="s">
        <v>4687</v>
      </c>
      <c r="I211">
        <v>25673</v>
      </c>
      <c r="J211">
        <v>52468</v>
      </c>
      <c r="K211" t="s">
        <v>1854</v>
      </c>
      <c r="L211" t="str">
        <f>SUBSTITUTE(K211,"'","")</f>
        <v>320250550323519103</v>
      </c>
      <c r="M211">
        <v>64100</v>
      </c>
    </row>
    <row r="212" spans="1:13" x14ac:dyDescent="0.4">
      <c r="A212" s="1">
        <v>45712</v>
      </c>
      <c r="B212" t="s">
        <v>4683</v>
      </c>
      <c r="C212" t="s">
        <v>6455</v>
      </c>
      <c r="D212">
        <v>67500</v>
      </c>
      <c r="E212" t="s">
        <v>4457</v>
      </c>
      <c r="F212">
        <v>33.979999999999997</v>
      </c>
      <c r="G212" t="s">
        <v>4686</v>
      </c>
      <c r="H212" t="s">
        <v>4687</v>
      </c>
      <c r="I212">
        <v>26716</v>
      </c>
      <c r="J212">
        <v>54554</v>
      </c>
      <c r="K212" t="s">
        <v>4460</v>
      </c>
      <c r="L212" t="str">
        <f>SUBSTITUTE(K212,"'","")</f>
        <v>320250560350715238</v>
      </c>
      <c r="M212">
        <v>67500</v>
      </c>
    </row>
    <row r="213" spans="1:13" x14ac:dyDescent="0.4">
      <c r="A213" s="1">
        <v>45713</v>
      </c>
      <c r="B213" t="s">
        <v>4683</v>
      </c>
      <c r="C213" t="s">
        <v>4784</v>
      </c>
      <c r="D213">
        <v>54820</v>
      </c>
      <c r="E213" t="s">
        <v>4302</v>
      </c>
      <c r="F213">
        <v>78.95</v>
      </c>
      <c r="G213" t="s">
        <v>4686</v>
      </c>
      <c r="H213" t="s">
        <v>4687</v>
      </c>
      <c r="I213">
        <v>26167</v>
      </c>
      <c r="J213">
        <v>53456</v>
      </c>
      <c r="K213" t="s">
        <v>4454</v>
      </c>
      <c r="L213" t="str">
        <f>SUBSTITUTE(K213,"'","")</f>
        <v>320250560336546773</v>
      </c>
      <c r="M213">
        <v>54820</v>
      </c>
    </row>
    <row r="214" spans="1:13" x14ac:dyDescent="0.4">
      <c r="A214" s="1">
        <v>45713</v>
      </c>
      <c r="B214" t="s">
        <v>4683</v>
      </c>
      <c r="C214" t="s">
        <v>4783</v>
      </c>
      <c r="D214">
        <v>54820</v>
      </c>
      <c r="E214" t="s">
        <v>2240</v>
      </c>
      <c r="F214">
        <v>44.5</v>
      </c>
      <c r="G214" t="s">
        <v>4686</v>
      </c>
      <c r="H214" t="s">
        <v>4687</v>
      </c>
      <c r="I214">
        <v>26125</v>
      </c>
      <c r="J214">
        <v>53372</v>
      </c>
      <c r="K214" t="s">
        <v>4456</v>
      </c>
      <c r="L214" t="str">
        <f>SUBSTITUTE(K214,"'","")</f>
        <v>320250570365419943</v>
      </c>
      <c r="M214">
        <v>54820</v>
      </c>
    </row>
    <row r="215" spans="1:13" x14ac:dyDescent="0.4">
      <c r="A215" s="1">
        <v>45714</v>
      </c>
      <c r="B215" t="s">
        <v>4683</v>
      </c>
      <c r="C215" t="s">
        <v>4785</v>
      </c>
      <c r="D215">
        <v>54820</v>
      </c>
      <c r="E215" t="s">
        <v>1842</v>
      </c>
      <c r="F215">
        <v>9.99</v>
      </c>
      <c r="G215" t="s">
        <v>4686</v>
      </c>
      <c r="H215" t="s">
        <v>4687</v>
      </c>
      <c r="I215">
        <v>25698</v>
      </c>
      <c r="J215">
        <v>52518</v>
      </c>
      <c r="K215" t="s">
        <v>1844</v>
      </c>
      <c r="L215" t="str">
        <f>SUBSTITUTE(K215,"'","")</f>
        <v>320250570356307359</v>
      </c>
      <c r="M215">
        <v>54820</v>
      </c>
    </row>
    <row r="216" spans="1:13" x14ac:dyDescent="0.4">
      <c r="A216" s="1">
        <v>45714</v>
      </c>
      <c r="B216" t="s">
        <v>4683</v>
      </c>
      <c r="C216" t="s">
        <v>5658</v>
      </c>
      <c r="D216">
        <v>61130</v>
      </c>
      <c r="E216" t="s">
        <v>478</v>
      </c>
      <c r="F216">
        <v>51.51</v>
      </c>
      <c r="G216" t="s">
        <v>4686</v>
      </c>
      <c r="H216" t="s">
        <v>4687</v>
      </c>
      <c r="I216">
        <v>25395</v>
      </c>
      <c r="J216">
        <v>51912</v>
      </c>
      <c r="K216" t="s">
        <v>1848</v>
      </c>
      <c r="L216" t="str">
        <f>SUBSTITUTE(K216,"'","")</f>
        <v>320250570358554807</v>
      </c>
      <c r="M216">
        <v>61130</v>
      </c>
    </row>
    <row r="217" spans="1:13" x14ac:dyDescent="0.4">
      <c r="A217" s="1">
        <v>45714</v>
      </c>
      <c r="B217" t="s">
        <v>4683</v>
      </c>
      <c r="C217" t="s">
        <v>4786</v>
      </c>
      <c r="D217">
        <v>54820</v>
      </c>
      <c r="E217" t="s">
        <v>4449</v>
      </c>
      <c r="F217">
        <v>4.05</v>
      </c>
      <c r="G217" t="s">
        <v>4686</v>
      </c>
      <c r="H217" t="s">
        <v>4687</v>
      </c>
      <c r="I217">
        <v>26626</v>
      </c>
      <c r="J217">
        <v>54374</v>
      </c>
      <c r="K217" t="s">
        <v>4452</v>
      </c>
      <c r="L217" t="str">
        <f>SUBSTITUTE(K217,"'","")</f>
        <v>320250580385992352</v>
      </c>
      <c r="M217">
        <v>54820</v>
      </c>
    </row>
    <row r="218" spans="1:13" x14ac:dyDescent="0.4">
      <c r="A218" s="1">
        <v>45714</v>
      </c>
      <c r="B218" t="s">
        <v>4683</v>
      </c>
      <c r="C218" t="s">
        <v>5876</v>
      </c>
      <c r="D218">
        <v>61131</v>
      </c>
      <c r="E218" t="s">
        <v>1756</v>
      </c>
      <c r="F218">
        <v>9.15</v>
      </c>
      <c r="G218" t="s">
        <v>4686</v>
      </c>
      <c r="H218" t="s">
        <v>4687</v>
      </c>
      <c r="I218">
        <v>25721</v>
      </c>
      <c r="J218">
        <v>52564</v>
      </c>
      <c r="K218" t="s">
        <v>1846</v>
      </c>
      <c r="L218" t="str">
        <f>SUBSTITUTE(K218,"'","")</f>
        <v>320250580390368830</v>
      </c>
      <c r="M218">
        <v>61131</v>
      </c>
    </row>
    <row r="219" spans="1:13" x14ac:dyDescent="0.4">
      <c r="A219" s="1">
        <v>45714</v>
      </c>
      <c r="B219" t="s">
        <v>4683</v>
      </c>
      <c r="C219" t="s">
        <v>5946</v>
      </c>
      <c r="D219">
        <v>61133</v>
      </c>
      <c r="E219" t="s">
        <v>2458</v>
      </c>
      <c r="F219">
        <v>2.9</v>
      </c>
      <c r="G219" t="s">
        <v>4686</v>
      </c>
      <c r="H219" t="s">
        <v>4687</v>
      </c>
      <c r="I219">
        <v>26679</v>
      </c>
      <c r="J219">
        <v>54480</v>
      </c>
      <c r="K219" t="s">
        <v>4448</v>
      </c>
      <c r="L219" t="str">
        <f>SUBSTITUTE(K219,"'","")</f>
        <v>320250580394672183</v>
      </c>
      <c r="M219">
        <v>61133</v>
      </c>
    </row>
    <row r="220" spans="1:13" x14ac:dyDescent="0.4">
      <c r="A220" s="1">
        <v>45714</v>
      </c>
      <c r="B220" t="s">
        <v>4683</v>
      </c>
      <c r="C220" t="s">
        <v>6131</v>
      </c>
      <c r="D220">
        <v>64100</v>
      </c>
      <c r="E220" t="s">
        <v>1792</v>
      </c>
      <c r="F220">
        <v>16.05</v>
      </c>
      <c r="G220" t="s">
        <v>4686</v>
      </c>
      <c r="H220" t="s">
        <v>4687</v>
      </c>
      <c r="I220">
        <v>26407</v>
      </c>
      <c r="J220">
        <v>53936</v>
      </c>
      <c r="K220" t="s">
        <v>4446</v>
      </c>
      <c r="L220" t="str">
        <f>SUBSTITUTE(K220,"'","")</f>
        <v>320250580400578237</v>
      </c>
      <c r="M220">
        <v>64100</v>
      </c>
    </row>
    <row r="221" spans="1:13" x14ac:dyDescent="0.4">
      <c r="A221" s="1">
        <v>45715</v>
      </c>
      <c r="B221" t="s">
        <v>4683</v>
      </c>
      <c r="C221" t="s">
        <v>4790</v>
      </c>
      <c r="D221">
        <v>54820</v>
      </c>
      <c r="E221" t="s">
        <v>4435</v>
      </c>
      <c r="F221">
        <v>15</v>
      </c>
      <c r="G221" t="s">
        <v>4686</v>
      </c>
      <c r="H221" t="s">
        <v>4687</v>
      </c>
      <c r="I221">
        <v>26627</v>
      </c>
      <c r="J221">
        <v>54376</v>
      </c>
      <c r="K221" t="s">
        <v>4438</v>
      </c>
      <c r="L221" t="str">
        <f>SUBSTITUTE(K221,"'","")</f>
        <v>320250570356381740</v>
      </c>
      <c r="M221">
        <v>54820</v>
      </c>
    </row>
    <row r="222" spans="1:13" x14ac:dyDescent="0.4">
      <c r="A222" s="1">
        <v>45715</v>
      </c>
      <c r="B222" t="s">
        <v>4683</v>
      </c>
      <c r="C222" t="s">
        <v>4788</v>
      </c>
      <c r="D222">
        <v>54820</v>
      </c>
      <c r="E222" t="s">
        <v>977</v>
      </c>
      <c r="F222">
        <v>10</v>
      </c>
      <c r="G222" t="s">
        <v>4686</v>
      </c>
      <c r="H222" t="s">
        <v>4687</v>
      </c>
      <c r="I222">
        <v>26459</v>
      </c>
      <c r="J222">
        <v>54040</v>
      </c>
      <c r="K222" t="s">
        <v>4440</v>
      </c>
      <c r="L222" t="str">
        <f>SUBSTITUTE(K222,"'","")</f>
        <v>320250580381877071</v>
      </c>
      <c r="M222">
        <v>54820</v>
      </c>
    </row>
    <row r="223" spans="1:13" x14ac:dyDescent="0.4">
      <c r="A223" s="1">
        <v>45715</v>
      </c>
      <c r="B223" t="s">
        <v>4683</v>
      </c>
      <c r="C223" t="s">
        <v>6132</v>
      </c>
      <c r="D223">
        <v>64100</v>
      </c>
      <c r="E223" t="s">
        <v>1422</v>
      </c>
      <c r="F223">
        <v>218.28</v>
      </c>
      <c r="G223" t="s">
        <v>4686</v>
      </c>
      <c r="H223" t="s">
        <v>4687</v>
      </c>
      <c r="I223">
        <v>25715</v>
      </c>
      <c r="J223">
        <v>52552</v>
      </c>
      <c r="K223" t="s">
        <v>1841</v>
      </c>
      <c r="L223" t="str">
        <f>SUBSTITUTE(K223,"'","")</f>
        <v>320250580385543518</v>
      </c>
      <c r="M223">
        <v>64100</v>
      </c>
    </row>
    <row r="224" spans="1:13" x14ac:dyDescent="0.4">
      <c r="A224" s="1">
        <v>45715</v>
      </c>
      <c r="B224" t="s">
        <v>4683</v>
      </c>
      <c r="C224" t="s">
        <v>4787</v>
      </c>
      <c r="D224">
        <v>54820</v>
      </c>
      <c r="E224" t="s">
        <v>3151</v>
      </c>
      <c r="F224">
        <v>109.78</v>
      </c>
      <c r="G224" t="s">
        <v>4686</v>
      </c>
      <c r="H224" t="s">
        <v>4687</v>
      </c>
      <c r="I224">
        <v>26189</v>
      </c>
      <c r="J224">
        <v>53500</v>
      </c>
      <c r="K224" t="s">
        <v>4444</v>
      </c>
      <c r="L224" t="str">
        <f>SUBSTITUTE(K224,"'","")</f>
        <v>320250590421043242</v>
      </c>
      <c r="M224">
        <v>54820</v>
      </c>
    </row>
    <row r="225" spans="1:13" x14ac:dyDescent="0.4">
      <c r="A225" s="1">
        <v>45715</v>
      </c>
      <c r="B225" t="s">
        <v>4683</v>
      </c>
      <c r="C225" t="s">
        <v>5877</v>
      </c>
      <c r="D225">
        <v>61131</v>
      </c>
      <c r="E225" t="s">
        <v>1837</v>
      </c>
      <c r="F225">
        <v>2.25</v>
      </c>
      <c r="G225" t="s">
        <v>4686</v>
      </c>
      <c r="H225" t="s">
        <v>4687</v>
      </c>
      <c r="I225">
        <v>25722</v>
      </c>
      <c r="J225">
        <v>52566</v>
      </c>
      <c r="K225" t="s">
        <v>1839</v>
      </c>
      <c r="L225" t="str">
        <f>SUBSTITUTE(K225,"'","")</f>
        <v>320250590422322582</v>
      </c>
      <c r="M225">
        <v>61131</v>
      </c>
    </row>
    <row r="226" spans="1:13" x14ac:dyDescent="0.4">
      <c r="A226" s="1">
        <v>45715</v>
      </c>
      <c r="B226" t="s">
        <v>4683</v>
      </c>
      <c r="C226" t="s">
        <v>4789</v>
      </c>
      <c r="D226">
        <v>54820</v>
      </c>
      <c r="E226" t="s">
        <v>3558</v>
      </c>
      <c r="F226">
        <v>27</v>
      </c>
      <c r="G226" t="s">
        <v>4686</v>
      </c>
      <c r="H226" t="s">
        <v>4687</v>
      </c>
      <c r="I226">
        <v>26583</v>
      </c>
      <c r="J226">
        <v>54288</v>
      </c>
      <c r="K226" t="s">
        <v>4442</v>
      </c>
      <c r="L226" t="str">
        <f>SUBSTITUTE(K226,"'","")</f>
        <v>320250590422616253</v>
      </c>
      <c r="M226">
        <v>54820</v>
      </c>
    </row>
    <row r="227" spans="1:13" x14ac:dyDescent="0.4">
      <c r="A227" s="1">
        <v>45715</v>
      </c>
      <c r="B227" t="s">
        <v>4683</v>
      </c>
      <c r="C227" t="s">
        <v>5976</v>
      </c>
      <c r="D227">
        <v>61215</v>
      </c>
      <c r="E227" t="s">
        <v>1412</v>
      </c>
      <c r="F227">
        <v>700</v>
      </c>
      <c r="G227" t="s">
        <v>4686</v>
      </c>
      <c r="H227" t="s">
        <v>4687</v>
      </c>
      <c r="I227">
        <v>25940</v>
      </c>
      <c r="J227">
        <v>53002</v>
      </c>
      <c r="K227" t="s">
        <v>1836</v>
      </c>
      <c r="L227" t="str">
        <f>SUBSTITUTE(K227,"'","")</f>
        <v>320250590432004721</v>
      </c>
      <c r="M227">
        <v>61215</v>
      </c>
    </row>
    <row r="228" spans="1:13" x14ac:dyDescent="0.4">
      <c r="A228" s="1">
        <v>45716</v>
      </c>
      <c r="B228" t="s">
        <v>4683</v>
      </c>
      <c r="C228" t="s">
        <v>6456</v>
      </c>
      <c r="D228">
        <v>67500</v>
      </c>
      <c r="E228" t="s">
        <v>885</v>
      </c>
      <c r="F228">
        <v>80.58</v>
      </c>
      <c r="G228" t="s">
        <v>4686</v>
      </c>
      <c r="H228" t="s">
        <v>4687</v>
      </c>
      <c r="I228">
        <v>26355</v>
      </c>
      <c r="J228">
        <v>53832</v>
      </c>
      <c r="K228" t="s">
        <v>4434</v>
      </c>
      <c r="L228" t="str">
        <f>SUBSTITUTE(K228,"'","")</f>
        <v>320250590409683601</v>
      </c>
      <c r="M228">
        <v>67500</v>
      </c>
    </row>
    <row r="229" spans="1:13" x14ac:dyDescent="0.4">
      <c r="A229" s="1">
        <v>45716</v>
      </c>
      <c r="B229" t="s">
        <v>4683</v>
      </c>
      <c r="C229" t="s">
        <v>5659</v>
      </c>
      <c r="D229">
        <v>61130</v>
      </c>
      <c r="E229" t="s">
        <v>478</v>
      </c>
      <c r="F229">
        <v>68.52</v>
      </c>
      <c r="G229" t="s">
        <v>4686</v>
      </c>
      <c r="H229" t="s">
        <v>4687</v>
      </c>
      <c r="I229">
        <v>25396</v>
      </c>
      <c r="J229">
        <v>51914</v>
      </c>
      <c r="K229" t="s">
        <v>1834</v>
      </c>
      <c r="L229" t="str">
        <f>SUBSTITUTE(K229,"'","")</f>
        <v>320250590414947467</v>
      </c>
      <c r="M229">
        <v>61130</v>
      </c>
    </row>
    <row r="230" spans="1:13" x14ac:dyDescent="0.4">
      <c r="A230" s="1">
        <v>45716</v>
      </c>
      <c r="B230" t="s">
        <v>4683</v>
      </c>
      <c r="C230" t="s">
        <v>6384</v>
      </c>
      <c r="D230">
        <v>64210</v>
      </c>
      <c r="E230" t="s">
        <v>1830</v>
      </c>
      <c r="F230">
        <v>198.14</v>
      </c>
      <c r="G230" t="s">
        <v>4686</v>
      </c>
      <c r="H230" t="s">
        <v>4687</v>
      </c>
      <c r="I230">
        <v>26102</v>
      </c>
      <c r="J230">
        <v>53326</v>
      </c>
      <c r="K230" t="s">
        <v>1832</v>
      </c>
      <c r="L230" t="str">
        <f>SUBSTITUTE(K230,"'","")</f>
        <v>320250600453679816</v>
      </c>
      <c r="M230">
        <v>64210</v>
      </c>
    </row>
    <row r="231" spans="1:13" x14ac:dyDescent="0.4">
      <c r="A231" s="1">
        <v>45716</v>
      </c>
      <c r="B231" t="s">
        <v>4683</v>
      </c>
      <c r="C231" t="s">
        <v>4791</v>
      </c>
      <c r="D231">
        <v>54820</v>
      </c>
      <c r="E231" t="s">
        <v>977</v>
      </c>
      <c r="F231">
        <v>20</v>
      </c>
      <c r="G231" t="s">
        <v>4686</v>
      </c>
      <c r="H231" t="s">
        <v>4687</v>
      </c>
      <c r="I231">
        <v>26460</v>
      </c>
      <c r="J231">
        <v>54042</v>
      </c>
      <c r="K231" t="s">
        <v>4432</v>
      </c>
      <c r="L231" t="str">
        <f>SUBSTITUTE(K231,"'","")</f>
        <v>320250600459468406</v>
      </c>
      <c r="M231">
        <v>54820</v>
      </c>
    </row>
    <row r="232" spans="1:13" x14ac:dyDescent="0.4">
      <c r="A232" s="1">
        <v>45717</v>
      </c>
      <c r="B232" t="s">
        <v>4683</v>
      </c>
      <c r="C232" t="s">
        <v>6414</v>
      </c>
      <c r="D232">
        <v>65700</v>
      </c>
      <c r="E232" t="s">
        <v>234</v>
      </c>
      <c r="F232">
        <v>230.78</v>
      </c>
      <c r="G232" t="s">
        <v>4686</v>
      </c>
      <c r="H232" t="s">
        <v>4687</v>
      </c>
      <c r="I232">
        <v>25812</v>
      </c>
      <c r="J232">
        <v>52746</v>
      </c>
      <c r="K232" t="s">
        <v>1829</v>
      </c>
      <c r="L232" t="str">
        <f>SUBSTITUTE(K232,"'","")</f>
        <v>320250600449247377</v>
      </c>
      <c r="M232">
        <v>65700</v>
      </c>
    </row>
    <row r="233" spans="1:13" x14ac:dyDescent="0.4">
      <c r="A233" s="1">
        <v>45717</v>
      </c>
      <c r="B233" t="s">
        <v>4683</v>
      </c>
      <c r="C233" t="s">
        <v>4794</v>
      </c>
      <c r="D233">
        <v>54820</v>
      </c>
      <c r="E233" t="s">
        <v>4427</v>
      </c>
      <c r="F233">
        <v>5.5</v>
      </c>
      <c r="G233" t="s">
        <v>4686</v>
      </c>
      <c r="H233" t="s">
        <v>4687</v>
      </c>
      <c r="I233">
        <v>26629</v>
      </c>
      <c r="J233">
        <v>54380</v>
      </c>
      <c r="K233" t="s">
        <v>4430</v>
      </c>
      <c r="L233" t="str">
        <f>SUBSTITUTE(K233,"'","")</f>
        <v>320250610475982753</v>
      </c>
      <c r="M233">
        <v>54820</v>
      </c>
    </row>
    <row r="234" spans="1:13" x14ac:dyDescent="0.4">
      <c r="A234" s="1">
        <v>45717</v>
      </c>
      <c r="B234" t="s">
        <v>4683</v>
      </c>
      <c r="C234" t="s">
        <v>5947</v>
      </c>
      <c r="D234">
        <v>61133</v>
      </c>
      <c r="E234" t="s">
        <v>2458</v>
      </c>
      <c r="F234">
        <v>2.9</v>
      </c>
      <c r="G234" t="s">
        <v>4686</v>
      </c>
      <c r="H234" t="s">
        <v>4687</v>
      </c>
      <c r="I234">
        <v>26680</v>
      </c>
      <c r="J234">
        <v>54482</v>
      </c>
      <c r="K234" t="s">
        <v>4426</v>
      </c>
      <c r="L234" t="str">
        <f>SUBSTITUTE(K234,"'","")</f>
        <v>320250610478050143</v>
      </c>
      <c r="M234">
        <v>61133</v>
      </c>
    </row>
    <row r="235" spans="1:13" x14ac:dyDescent="0.4">
      <c r="A235" s="1">
        <v>45717</v>
      </c>
      <c r="B235" t="s">
        <v>4683</v>
      </c>
      <c r="C235" t="s">
        <v>4793</v>
      </c>
      <c r="D235">
        <v>54820</v>
      </c>
      <c r="E235" t="s">
        <v>4421</v>
      </c>
      <c r="F235">
        <v>13.07</v>
      </c>
      <c r="G235" t="s">
        <v>4686</v>
      </c>
      <c r="H235" t="s">
        <v>4687</v>
      </c>
      <c r="I235">
        <v>26628</v>
      </c>
      <c r="J235">
        <v>54378</v>
      </c>
      <c r="K235" t="s">
        <v>4424</v>
      </c>
      <c r="L235" t="str">
        <f>SUBSTITUTE(K235,"'","")</f>
        <v>320250610484151013</v>
      </c>
      <c r="M235">
        <v>54820</v>
      </c>
    </row>
    <row r="236" spans="1:13" x14ac:dyDescent="0.4">
      <c r="A236" s="1">
        <v>45717</v>
      </c>
      <c r="B236" t="s">
        <v>4683</v>
      </c>
      <c r="C236" t="s">
        <v>6360</v>
      </c>
      <c r="D236">
        <v>64101</v>
      </c>
      <c r="E236" t="s">
        <v>2429</v>
      </c>
      <c r="F236" s="5">
        <v>1438.18</v>
      </c>
      <c r="G236" t="s">
        <v>4686</v>
      </c>
      <c r="H236" t="s">
        <v>4687</v>
      </c>
      <c r="I236">
        <v>26385</v>
      </c>
      <c r="J236">
        <v>53892</v>
      </c>
      <c r="K236" t="s">
        <v>4418</v>
      </c>
      <c r="L236" t="str">
        <f>SUBSTITUTE(K236,"'","")</f>
        <v>320250610484878454</v>
      </c>
      <c r="M236">
        <v>64101</v>
      </c>
    </row>
    <row r="237" spans="1:13" x14ac:dyDescent="0.4">
      <c r="A237" s="1">
        <v>45717</v>
      </c>
      <c r="B237" t="s">
        <v>4683</v>
      </c>
      <c r="C237" t="s">
        <v>4792</v>
      </c>
      <c r="D237">
        <v>54820</v>
      </c>
      <c r="E237" t="s">
        <v>3073</v>
      </c>
      <c r="F237">
        <v>65.37</v>
      </c>
      <c r="G237" t="s">
        <v>4686</v>
      </c>
      <c r="H237" t="s">
        <v>4687</v>
      </c>
      <c r="I237">
        <v>26512</v>
      </c>
      <c r="J237">
        <v>54146</v>
      </c>
      <c r="K237" t="s">
        <v>4420</v>
      </c>
      <c r="L237" t="str">
        <f>SUBSTITUTE(K237,"'","")</f>
        <v>320250610488680169</v>
      </c>
      <c r="M237">
        <v>54820</v>
      </c>
    </row>
    <row r="238" spans="1:13" x14ac:dyDescent="0.4">
      <c r="A238" s="1">
        <v>45718</v>
      </c>
      <c r="B238" t="s">
        <v>4683</v>
      </c>
      <c r="C238" t="s">
        <v>6052</v>
      </c>
      <c r="D238">
        <v>63100</v>
      </c>
      <c r="E238" t="s">
        <v>57</v>
      </c>
      <c r="F238">
        <v>67.040000000000006</v>
      </c>
      <c r="G238" t="s">
        <v>4686</v>
      </c>
      <c r="H238" t="s">
        <v>4687</v>
      </c>
      <c r="I238">
        <v>25662</v>
      </c>
      <c r="J238">
        <v>52446</v>
      </c>
      <c r="K238" t="s">
        <v>1825</v>
      </c>
      <c r="L238" t="str">
        <f>SUBSTITUTE(K238,"'","")</f>
        <v>320250620506004816</v>
      </c>
      <c r="M238">
        <v>63100</v>
      </c>
    </row>
    <row r="239" spans="1:13" x14ac:dyDescent="0.4">
      <c r="A239" s="1">
        <v>45718</v>
      </c>
      <c r="B239" t="s">
        <v>4683</v>
      </c>
      <c r="C239" t="s">
        <v>6372</v>
      </c>
      <c r="D239">
        <v>64200</v>
      </c>
      <c r="E239" t="s">
        <v>222</v>
      </c>
      <c r="F239">
        <v>79</v>
      </c>
      <c r="G239" t="s">
        <v>4686</v>
      </c>
      <c r="H239" t="s">
        <v>4687</v>
      </c>
      <c r="I239">
        <v>25858</v>
      </c>
      <c r="J239">
        <v>52838</v>
      </c>
      <c r="K239" t="s">
        <v>1827</v>
      </c>
      <c r="L239" t="str">
        <f>SUBSTITUTE(K239,"'","")</f>
        <v>320250620513925731</v>
      </c>
      <c r="M239">
        <v>64200</v>
      </c>
    </row>
    <row r="240" spans="1:13" x14ac:dyDescent="0.4">
      <c r="A240" s="1">
        <v>45719</v>
      </c>
      <c r="B240" t="s">
        <v>4683</v>
      </c>
      <c r="C240" t="s">
        <v>6457</v>
      </c>
      <c r="D240">
        <v>67500</v>
      </c>
      <c r="E240" t="s">
        <v>2400</v>
      </c>
      <c r="F240">
        <v>21.39</v>
      </c>
      <c r="G240" t="s">
        <v>4686</v>
      </c>
      <c r="H240" t="s">
        <v>4687</v>
      </c>
      <c r="I240">
        <v>26278</v>
      </c>
      <c r="J240">
        <v>53678</v>
      </c>
      <c r="K240" t="s">
        <v>4416</v>
      </c>
      <c r="L240" t="str">
        <f>SUBSTITUTE(K240,"'","")</f>
        <v>320250630530890650</v>
      </c>
      <c r="M240">
        <v>67500</v>
      </c>
    </row>
    <row r="241" spans="1:13" x14ac:dyDescent="0.4">
      <c r="A241" s="1">
        <v>45719</v>
      </c>
      <c r="B241" t="s">
        <v>4683</v>
      </c>
      <c r="C241" t="s">
        <v>5878</v>
      </c>
      <c r="D241">
        <v>61131</v>
      </c>
      <c r="E241" t="s">
        <v>1756</v>
      </c>
      <c r="F241">
        <v>2.25</v>
      </c>
      <c r="G241" t="s">
        <v>4686</v>
      </c>
      <c r="H241" t="s">
        <v>4687</v>
      </c>
      <c r="I241">
        <v>25723</v>
      </c>
      <c r="J241">
        <v>52568</v>
      </c>
      <c r="K241" t="s">
        <v>1823</v>
      </c>
      <c r="L241" t="str">
        <f>SUBSTITUTE(K241,"'","")</f>
        <v>320250630534244353</v>
      </c>
      <c r="M241">
        <v>61131</v>
      </c>
    </row>
    <row r="242" spans="1:13" x14ac:dyDescent="0.4">
      <c r="A242" s="1">
        <v>45719</v>
      </c>
      <c r="B242" t="s">
        <v>4683</v>
      </c>
      <c r="C242" t="s">
        <v>5517</v>
      </c>
      <c r="D242">
        <v>61100</v>
      </c>
      <c r="E242" t="s">
        <v>1817</v>
      </c>
      <c r="F242" s="5">
        <v>2145</v>
      </c>
      <c r="G242" t="s">
        <v>4686</v>
      </c>
      <c r="H242" t="s">
        <v>4687</v>
      </c>
      <c r="I242">
        <v>25761</v>
      </c>
      <c r="J242">
        <v>52644</v>
      </c>
      <c r="K242" t="s">
        <v>1821</v>
      </c>
      <c r="L242" t="str">
        <f>SUBSTITUTE(K242,"'","")</f>
        <v>320250630539899960</v>
      </c>
      <c r="M242">
        <v>61100</v>
      </c>
    </row>
    <row r="243" spans="1:13" x14ac:dyDescent="0.4">
      <c r="A243" s="1">
        <v>45720</v>
      </c>
      <c r="B243" t="s">
        <v>4683</v>
      </c>
      <c r="C243" t="s">
        <v>4795</v>
      </c>
      <c r="D243">
        <v>54820</v>
      </c>
      <c r="E243" t="s">
        <v>196</v>
      </c>
      <c r="F243">
        <v>7.99</v>
      </c>
      <c r="G243" t="s">
        <v>4686</v>
      </c>
      <c r="H243" t="s">
        <v>4687</v>
      </c>
      <c r="I243">
        <v>25879</v>
      </c>
      <c r="J243">
        <v>52880</v>
      </c>
      <c r="K243" t="s">
        <v>1812</v>
      </c>
      <c r="L243" t="str">
        <f>SUBSTITUTE(K243,"'","")</f>
        <v>320250630525612280</v>
      </c>
      <c r="M243">
        <v>54820</v>
      </c>
    </row>
    <row r="244" spans="1:13" x14ac:dyDescent="0.4">
      <c r="A244" s="1">
        <v>45720</v>
      </c>
      <c r="B244" t="s">
        <v>4683</v>
      </c>
      <c r="C244" t="s">
        <v>4796</v>
      </c>
      <c r="D244">
        <v>54820</v>
      </c>
      <c r="E244" t="s">
        <v>4302</v>
      </c>
      <c r="F244">
        <v>78.95</v>
      </c>
      <c r="G244" t="s">
        <v>4686</v>
      </c>
      <c r="H244" t="s">
        <v>4687</v>
      </c>
      <c r="I244">
        <v>26168</v>
      </c>
      <c r="J244">
        <v>53458</v>
      </c>
      <c r="K244" t="s">
        <v>4415</v>
      </c>
      <c r="L244" t="str">
        <f>SUBSTITUTE(K244,"'","")</f>
        <v>320250630530081141</v>
      </c>
      <c r="M244">
        <v>54820</v>
      </c>
    </row>
    <row r="245" spans="1:13" x14ac:dyDescent="0.4">
      <c r="A245" s="1">
        <v>45720</v>
      </c>
      <c r="B245" t="s">
        <v>4683</v>
      </c>
      <c r="C245" t="s">
        <v>5556</v>
      </c>
      <c r="D245">
        <v>61120</v>
      </c>
      <c r="E245" t="s">
        <v>1243</v>
      </c>
      <c r="F245">
        <v>11.2</v>
      </c>
      <c r="G245" t="s">
        <v>4686</v>
      </c>
      <c r="H245" t="s">
        <v>4687</v>
      </c>
      <c r="I245">
        <v>25676</v>
      </c>
      <c r="J245">
        <v>52474</v>
      </c>
      <c r="K245" t="s">
        <v>1807</v>
      </c>
      <c r="L245" t="str">
        <f>SUBSTITUTE(K245,"'","")</f>
        <v>320250630536509337</v>
      </c>
      <c r="M245">
        <v>61120</v>
      </c>
    </row>
    <row r="246" spans="1:13" x14ac:dyDescent="0.4">
      <c r="A246" s="1">
        <v>45720</v>
      </c>
      <c r="B246" t="s">
        <v>4683</v>
      </c>
      <c r="C246" t="s">
        <v>5557</v>
      </c>
      <c r="D246">
        <v>61120</v>
      </c>
      <c r="E246" t="s">
        <v>1243</v>
      </c>
      <c r="F246">
        <v>11.2</v>
      </c>
      <c r="G246" t="s">
        <v>4686</v>
      </c>
      <c r="H246" t="s">
        <v>4687</v>
      </c>
      <c r="I246">
        <v>25677</v>
      </c>
      <c r="J246">
        <v>52476</v>
      </c>
      <c r="K246" t="s">
        <v>1809</v>
      </c>
      <c r="L246" t="str">
        <f>SUBSTITUTE(K246,"'","")</f>
        <v>320250630536509763</v>
      </c>
      <c r="M246">
        <v>61120</v>
      </c>
    </row>
    <row r="247" spans="1:13" x14ac:dyDescent="0.4">
      <c r="A247" s="1">
        <v>45720</v>
      </c>
      <c r="B247" t="s">
        <v>4683</v>
      </c>
      <c r="C247" t="s">
        <v>6135</v>
      </c>
      <c r="D247">
        <v>64100</v>
      </c>
      <c r="E247" t="s">
        <v>165</v>
      </c>
      <c r="F247">
        <v>26.76</v>
      </c>
      <c r="G247" t="s">
        <v>4686</v>
      </c>
      <c r="H247" t="s">
        <v>4687</v>
      </c>
      <c r="I247">
        <v>26206</v>
      </c>
      <c r="J247">
        <v>53534</v>
      </c>
      <c r="K247" t="s">
        <v>4405</v>
      </c>
      <c r="L247" t="str">
        <f>SUBSTITUTE(K247,"'","")</f>
        <v>320250630542647866</v>
      </c>
      <c r="M247">
        <v>64100</v>
      </c>
    </row>
    <row r="248" spans="1:13" x14ac:dyDescent="0.4">
      <c r="A248" s="1">
        <v>45720</v>
      </c>
      <c r="B248" t="s">
        <v>4683</v>
      </c>
      <c r="C248" t="s">
        <v>6136</v>
      </c>
      <c r="D248">
        <v>64100</v>
      </c>
      <c r="E248" t="s">
        <v>165</v>
      </c>
      <c r="F248">
        <v>32.07</v>
      </c>
      <c r="G248" t="s">
        <v>4686</v>
      </c>
      <c r="H248" t="s">
        <v>4687</v>
      </c>
      <c r="I248">
        <v>26207</v>
      </c>
      <c r="J248">
        <v>53536</v>
      </c>
      <c r="K248" t="s">
        <v>4407</v>
      </c>
      <c r="L248" t="str">
        <f>SUBSTITUTE(K248,"'","")</f>
        <v>320250630542653034</v>
      </c>
      <c r="M248">
        <v>64100</v>
      </c>
    </row>
    <row r="249" spans="1:13" x14ac:dyDescent="0.4">
      <c r="A249" s="1">
        <v>45720</v>
      </c>
      <c r="B249" t="s">
        <v>4683</v>
      </c>
      <c r="C249" t="s">
        <v>6134</v>
      </c>
      <c r="D249">
        <v>64100</v>
      </c>
      <c r="E249" t="s">
        <v>165</v>
      </c>
      <c r="F249">
        <v>21.4</v>
      </c>
      <c r="G249" t="s">
        <v>4686</v>
      </c>
      <c r="H249" t="s">
        <v>4687</v>
      </c>
      <c r="I249">
        <v>26205</v>
      </c>
      <c r="J249">
        <v>53532</v>
      </c>
      <c r="K249" t="s">
        <v>4403</v>
      </c>
      <c r="L249" t="str">
        <f>SUBSTITUTE(K249,"'","")</f>
        <v>320250630542653519</v>
      </c>
      <c r="M249">
        <v>64100</v>
      </c>
    </row>
    <row r="250" spans="1:13" x14ac:dyDescent="0.4">
      <c r="A250" s="1">
        <v>45720</v>
      </c>
      <c r="B250" t="s">
        <v>4683</v>
      </c>
      <c r="C250" t="s">
        <v>6137</v>
      </c>
      <c r="D250">
        <v>64100</v>
      </c>
      <c r="E250" t="s">
        <v>165</v>
      </c>
      <c r="F250">
        <v>59.92</v>
      </c>
      <c r="G250" t="s">
        <v>4686</v>
      </c>
      <c r="H250" t="s">
        <v>4687</v>
      </c>
      <c r="I250">
        <v>26208</v>
      </c>
      <c r="J250">
        <v>53538</v>
      </c>
      <c r="K250" t="s">
        <v>4409</v>
      </c>
      <c r="L250" t="str">
        <f>SUBSTITUTE(K250,"'","")</f>
        <v>320250630542654789</v>
      </c>
      <c r="M250">
        <v>64100</v>
      </c>
    </row>
    <row r="251" spans="1:13" x14ac:dyDescent="0.4">
      <c r="A251" s="1">
        <v>45720</v>
      </c>
      <c r="B251" t="s">
        <v>4683</v>
      </c>
      <c r="C251" t="s">
        <v>6139</v>
      </c>
      <c r="D251">
        <v>64100</v>
      </c>
      <c r="E251" t="s">
        <v>2390</v>
      </c>
      <c r="F251">
        <v>21.4</v>
      </c>
      <c r="G251" t="s">
        <v>4686</v>
      </c>
      <c r="H251" t="s">
        <v>4687</v>
      </c>
      <c r="I251">
        <v>26699</v>
      </c>
      <c r="J251">
        <v>54520</v>
      </c>
      <c r="K251" t="s">
        <v>4413</v>
      </c>
      <c r="L251" t="str">
        <f>SUBSTITUTE(K251,"'","")</f>
        <v>320250630542677562</v>
      </c>
      <c r="M251">
        <v>64100</v>
      </c>
    </row>
    <row r="252" spans="1:13" x14ac:dyDescent="0.4">
      <c r="A252" s="1">
        <v>45720</v>
      </c>
      <c r="B252" t="s">
        <v>4683</v>
      </c>
      <c r="C252" t="s">
        <v>6138</v>
      </c>
      <c r="D252">
        <v>64100</v>
      </c>
      <c r="E252" t="s">
        <v>165</v>
      </c>
      <c r="F252">
        <v>289.06</v>
      </c>
      <c r="G252" t="s">
        <v>4686</v>
      </c>
      <c r="H252" t="s">
        <v>4687</v>
      </c>
      <c r="I252">
        <v>26209</v>
      </c>
      <c r="J252">
        <v>53540</v>
      </c>
      <c r="K252" t="s">
        <v>4411</v>
      </c>
      <c r="L252" t="str">
        <f>SUBSTITUTE(K252,"'","")</f>
        <v>320250630542684618</v>
      </c>
      <c r="M252">
        <v>64100</v>
      </c>
    </row>
    <row r="253" spans="1:13" x14ac:dyDescent="0.4">
      <c r="A253" s="1">
        <v>45720</v>
      </c>
      <c r="B253" t="s">
        <v>4683</v>
      </c>
      <c r="C253" t="s">
        <v>6133</v>
      </c>
      <c r="D253">
        <v>64100</v>
      </c>
      <c r="E253" t="s">
        <v>165</v>
      </c>
      <c r="F253">
        <v>24.62</v>
      </c>
      <c r="G253" t="s">
        <v>4686</v>
      </c>
      <c r="H253" t="s">
        <v>4687</v>
      </c>
      <c r="I253">
        <v>25583</v>
      </c>
      <c r="J253">
        <v>52288</v>
      </c>
      <c r="K253" t="s">
        <v>1805</v>
      </c>
      <c r="L253" t="str">
        <f>SUBSTITUTE(K253,"'","")</f>
        <v>320250630542724254</v>
      </c>
      <c r="M253">
        <v>64100</v>
      </c>
    </row>
    <row r="254" spans="1:13" x14ac:dyDescent="0.4">
      <c r="A254" s="1">
        <v>45720</v>
      </c>
      <c r="B254" t="s">
        <v>4683</v>
      </c>
      <c r="C254" t="s">
        <v>5534</v>
      </c>
      <c r="D254">
        <v>61110</v>
      </c>
      <c r="E254" t="s">
        <v>1527</v>
      </c>
      <c r="F254">
        <v>313.77999999999997</v>
      </c>
      <c r="G254" t="s">
        <v>4686</v>
      </c>
      <c r="H254" t="s">
        <v>4687</v>
      </c>
      <c r="I254">
        <v>26000</v>
      </c>
      <c r="J254">
        <v>53122</v>
      </c>
      <c r="K254" t="s">
        <v>1816</v>
      </c>
      <c r="L254" t="str">
        <f>SUBSTITUTE(K254,"'","")</f>
        <v>320250630545444341</v>
      </c>
      <c r="M254">
        <v>61110</v>
      </c>
    </row>
    <row r="255" spans="1:13" x14ac:dyDescent="0.4">
      <c r="A255" s="1">
        <v>45720</v>
      </c>
      <c r="B255" t="s">
        <v>4683</v>
      </c>
      <c r="C255" t="s">
        <v>5879</v>
      </c>
      <c r="D255">
        <v>61131</v>
      </c>
      <c r="E255" t="s">
        <v>38</v>
      </c>
      <c r="F255">
        <v>653.32000000000005</v>
      </c>
      <c r="G255" t="s">
        <v>4686</v>
      </c>
      <c r="H255" t="s">
        <v>4687</v>
      </c>
      <c r="I255">
        <v>25625</v>
      </c>
      <c r="J255">
        <v>52372</v>
      </c>
      <c r="K255" t="s">
        <v>1811</v>
      </c>
      <c r="L255" t="str">
        <f>SUBSTITUTE(K255,"'","")</f>
        <v>320250640562212310</v>
      </c>
      <c r="M255">
        <v>61131</v>
      </c>
    </row>
    <row r="256" spans="1:13" x14ac:dyDescent="0.4">
      <c r="A256" s="1">
        <v>45720</v>
      </c>
      <c r="B256" t="s">
        <v>4683</v>
      </c>
      <c r="C256" t="s">
        <v>5977</v>
      </c>
      <c r="D256">
        <v>61215</v>
      </c>
      <c r="E256" t="s">
        <v>1431</v>
      </c>
      <c r="F256">
        <v>600</v>
      </c>
      <c r="G256" t="s">
        <v>4686</v>
      </c>
      <c r="H256" t="s">
        <v>4687</v>
      </c>
      <c r="I256">
        <v>25941</v>
      </c>
      <c r="J256">
        <v>53004</v>
      </c>
      <c r="K256" t="s">
        <v>1814</v>
      </c>
      <c r="L256" t="str">
        <f>SUBSTITUTE(K256,"'","")</f>
        <v>320250640563831317</v>
      </c>
      <c r="M256">
        <v>61215</v>
      </c>
    </row>
    <row r="257" spans="1:13" x14ac:dyDescent="0.4">
      <c r="A257" s="1">
        <v>45721</v>
      </c>
      <c r="B257" t="s">
        <v>4683</v>
      </c>
      <c r="C257" t="s">
        <v>6140</v>
      </c>
      <c r="D257">
        <v>64100</v>
      </c>
      <c r="E257" t="s">
        <v>165</v>
      </c>
      <c r="F257">
        <v>24.62</v>
      </c>
      <c r="G257" t="s">
        <v>4686</v>
      </c>
      <c r="H257" t="s">
        <v>4687</v>
      </c>
      <c r="I257">
        <v>25584</v>
      </c>
      <c r="J257">
        <v>52290</v>
      </c>
      <c r="K257" t="s">
        <v>1783</v>
      </c>
      <c r="L257" t="str">
        <f>SUBSTITUTE(K257,"'","")</f>
        <v>320250630545249819</v>
      </c>
      <c r="M257">
        <v>64100</v>
      </c>
    </row>
    <row r="258" spans="1:13" x14ac:dyDescent="0.4">
      <c r="A258" s="1">
        <v>45721</v>
      </c>
      <c r="B258" t="s">
        <v>4683</v>
      </c>
      <c r="C258" t="s">
        <v>6141</v>
      </c>
      <c r="D258">
        <v>64100</v>
      </c>
      <c r="E258" t="s">
        <v>517</v>
      </c>
      <c r="F258">
        <v>4</v>
      </c>
      <c r="G258" t="s">
        <v>4686</v>
      </c>
      <c r="H258" t="s">
        <v>4687</v>
      </c>
      <c r="I258">
        <v>25655</v>
      </c>
      <c r="J258">
        <v>52432</v>
      </c>
      <c r="K258" t="s">
        <v>1797</v>
      </c>
      <c r="L258" t="str">
        <f>SUBSTITUTE(K258,"'","")</f>
        <v>320250640552640533</v>
      </c>
      <c r="M258">
        <v>64100</v>
      </c>
    </row>
    <row r="259" spans="1:13" x14ac:dyDescent="0.4">
      <c r="A259" s="1">
        <v>45721</v>
      </c>
      <c r="B259" t="s">
        <v>4683</v>
      </c>
      <c r="C259" t="s">
        <v>5660</v>
      </c>
      <c r="D259">
        <v>61130</v>
      </c>
      <c r="E259" t="s">
        <v>478</v>
      </c>
      <c r="F259">
        <v>26.97</v>
      </c>
      <c r="G259" t="s">
        <v>4686</v>
      </c>
      <c r="H259" t="s">
        <v>4687</v>
      </c>
      <c r="I259">
        <v>25397</v>
      </c>
      <c r="J259">
        <v>51916</v>
      </c>
      <c r="K259" t="s">
        <v>1803</v>
      </c>
      <c r="L259" t="str">
        <f>SUBSTITUTE(K259,"'","")</f>
        <v>320250640554791018</v>
      </c>
      <c r="M259">
        <v>61130</v>
      </c>
    </row>
    <row r="260" spans="1:13" x14ac:dyDescent="0.4">
      <c r="A260" s="1">
        <v>45721</v>
      </c>
      <c r="B260" t="s">
        <v>4683</v>
      </c>
      <c r="C260" t="s">
        <v>5562</v>
      </c>
      <c r="D260">
        <v>61120</v>
      </c>
      <c r="E260" t="s">
        <v>906</v>
      </c>
      <c r="F260">
        <v>9.9499999999999993</v>
      </c>
      <c r="G260" t="s">
        <v>4686</v>
      </c>
      <c r="H260" t="s">
        <v>4687</v>
      </c>
      <c r="I260">
        <v>25788</v>
      </c>
      <c r="J260">
        <v>52698</v>
      </c>
      <c r="K260" t="s">
        <v>1799</v>
      </c>
      <c r="L260" t="str">
        <f>SUBSTITUTE(K260,"'","")</f>
        <v>320250640569619802</v>
      </c>
      <c r="M260">
        <v>61120</v>
      </c>
    </row>
    <row r="261" spans="1:13" x14ac:dyDescent="0.4">
      <c r="A261" s="1">
        <v>45721</v>
      </c>
      <c r="B261" t="s">
        <v>4683</v>
      </c>
      <c r="C261" t="s">
        <v>5563</v>
      </c>
      <c r="D261">
        <v>61120</v>
      </c>
      <c r="E261" t="s">
        <v>906</v>
      </c>
      <c r="F261">
        <v>9.9499999999999993</v>
      </c>
      <c r="G261" t="s">
        <v>4686</v>
      </c>
      <c r="H261" t="s">
        <v>4687</v>
      </c>
      <c r="I261">
        <v>25789</v>
      </c>
      <c r="J261">
        <v>52700</v>
      </c>
      <c r="K261" t="s">
        <v>1801</v>
      </c>
      <c r="L261" t="str">
        <f>SUBSTITUTE(K261,"'","")</f>
        <v>320250640569619803</v>
      </c>
      <c r="M261">
        <v>61120</v>
      </c>
    </row>
    <row r="262" spans="1:13" x14ac:dyDescent="0.4">
      <c r="A262" s="1">
        <v>45721</v>
      </c>
      <c r="B262" t="s">
        <v>4683</v>
      </c>
      <c r="C262" t="s">
        <v>5560</v>
      </c>
      <c r="D262">
        <v>61120</v>
      </c>
      <c r="E262" t="s">
        <v>895</v>
      </c>
      <c r="F262">
        <v>9.9499999999999993</v>
      </c>
      <c r="G262" t="s">
        <v>4686</v>
      </c>
      <c r="H262" t="s">
        <v>4687</v>
      </c>
      <c r="I262">
        <v>25764</v>
      </c>
      <c r="J262">
        <v>52650</v>
      </c>
      <c r="K262" t="s">
        <v>1789</v>
      </c>
      <c r="L262" t="str">
        <f>SUBSTITUTE(K262,"'","")</f>
        <v>320250640569619804</v>
      </c>
      <c r="M262">
        <v>61120</v>
      </c>
    </row>
    <row r="263" spans="1:13" x14ac:dyDescent="0.4">
      <c r="A263" s="1">
        <v>45721</v>
      </c>
      <c r="B263" t="s">
        <v>4683</v>
      </c>
      <c r="C263" t="s">
        <v>5561</v>
      </c>
      <c r="D263">
        <v>61120</v>
      </c>
      <c r="E263" t="s">
        <v>895</v>
      </c>
      <c r="F263">
        <v>9.9499999999999993</v>
      </c>
      <c r="G263" t="s">
        <v>4686</v>
      </c>
      <c r="H263" t="s">
        <v>4687</v>
      </c>
      <c r="I263">
        <v>25765</v>
      </c>
      <c r="J263">
        <v>52652</v>
      </c>
      <c r="K263" t="s">
        <v>1791</v>
      </c>
      <c r="L263" t="str">
        <f>SUBSTITUTE(K263,"'","")</f>
        <v>320250640569619805</v>
      </c>
      <c r="M263">
        <v>61120</v>
      </c>
    </row>
    <row r="264" spans="1:13" x14ac:dyDescent="0.4">
      <c r="A264" s="1">
        <v>45721</v>
      </c>
      <c r="B264" t="s">
        <v>4683</v>
      </c>
      <c r="C264" t="s">
        <v>5558</v>
      </c>
      <c r="D264">
        <v>61120</v>
      </c>
      <c r="E264" t="s">
        <v>888</v>
      </c>
      <c r="F264">
        <v>14</v>
      </c>
      <c r="G264" t="s">
        <v>4686</v>
      </c>
      <c r="H264" t="s">
        <v>4687</v>
      </c>
      <c r="I264">
        <v>25762</v>
      </c>
      <c r="J264">
        <v>52646</v>
      </c>
      <c r="K264" t="s">
        <v>1785</v>
      </c>
      <c r="L264" t="str">
        <f>SUBSTITUTE(K264,"'","")</f>
        <v>320250640569619806</v>
      </c>
      <c r="M264">
        <v>61120</v>
      </c>
    </row>
    <row r="265" spans="1:13" x14ac:dyDescent="0.4">
      <c r="A265" s="1">
        <v>45721</v>
      </c>
      <c r="B265" t="s">
        <v>4683</v>
      </c>
      <c r="C265" t="s">
        <v>5559</v>
      </c>
      <c r="D265">
        <v>61120</v>
      </c>
      <c r="E265" t="s">
        <v>888</v>
      </c>
      <c r="F265">
        <v>14</v>
      </c>
      <c r="G265" t="s">
        <v>4686</v>
      </c>
      <c r="H265" t="s">
        <v>4687</v>
      </c>
      <c r="I265">
        <v>25763</v>
      </c>
      <c r="J265">
        <v>52648</v>
      </c>
      <c r="K265" t="s">
        <v>1787</v>
      </c>
      <c r="L265" t="str">
        <f>SUBSTITUTE(K265,"'","")</f>
        <v>320250640569619807</v>
      </c>
      <c r="M265">
        <v>61120</v>
      </c>
    </row>
    <row r="266" spans="1:13" x14ac:dyDescent="0.4">
      <c r="A266" s="1">
        <v>45721</v>
      </c>
      <c r="B266" t="s">
        <v>4683</v>
      </c>
      <c r="C266" t="s">
        <v>6142</v>
      </c>
      <c r="D266">
        <v>64100</v>
      </c>
      <c r="E266" t="s">
        <v>1792</v>
      </c>
      <c r="F266">
        <v>128.4</v>
      </c>
      <c r="G266" t="s">
        <v>4686</v>
      </c>
      <c r="H266" t="s">
        <v>4687</v>
      </c>
      <c r="I266">
        <v>25810</v>
      </c>
      <c r="J266">
        <v>52742</v>
      </c>
      <c r="K266" t="s">
        <v>1795</v>
      </c>
      <c r="L266" t="str">
        <f>SUBSTITUTE(K266,"'","")</f>
        <v>320250640571097933</v>
      </c>
      <c r="M266">
        <v>64100</v>
      </c>
    </row>
    <row r="267" spans="1:13" x14ac:dyDescent="0.4">
      <c r="A267" s="1">
        <v>45721</v>
      </c>
      <c r="B267" t="s">
        <v>4683</v>
      </c>
      <c r="C267" t="s">
        <v>6415</v>
      </c>
      <c r="D267">
        <v>65700</v>
      </c>
      <c r="E267" t="s">
        <v>2340</v>
      </c>
      <c r="F267">
        <v>16.87</v>
      </c>
      <c r="G267" t="s">
        <v>4686</v>
      </c>
      <c r="H267" t="s">
        <v>4687</v>
      </c>
      <c r="I267">
        <v>26417</v>
      </c>
      <c r="J267">
        <v>53956</v>
      </c>
      <c r="K267" t="s">
        <v>4399</v>
      </c>
      <c r="L267" t="str">
        <f>SUBSTITUTE(K267,"'","")</f>
        <v>320250650592199618</v>
      </c>
      <c r="M267">
        <v>65700</v>
      </c>
    </row>
    <row r="268" spans="1:13" x14ac:dyDescent="0.4">
      <c r="A268" s="1">
        <v>45721</v>
      </c>
      <c r="B268" t="s">
        <v>4683</v>
      </c>
      <c r="C268" t="s">
        <v>4797</v>
      </c>
      <c r="D268">
        <v>54820</v>
      </c>
      <c r="E268" t="s">
        <v>2158</v>
      </c>
      <c r="F268">
        <v>200</v>
      </c>
      <c r="G268" t="s">
        <v>4686</v>
      </c>
      <c r="H268" t="s">
        <v>4687</v>
      </c>
      <c r="I268">
        <v>26178</v>
      </c>
      <c r="J268">
        <v>53478</v>
      </c>
      <c r="K268" t="s">
        <v>4401</v>
      </c>
      <c r="L268" t="str">
        <f>SUBSTITUTE(K268,"'","")</f>
        <v>320250660618530965</v>
      </c>
      <c r="M268">
        <v>54820</v>
      </c>
    </row>
    <row r="269" spans="1:13" x14ac:dyDescent="0.4">
      <c r="A269" s="1">
        <v>45722</v>
      </c>
      <c r="B269" t="s">
        <v>4683</v>
      </c>
      <c r="C269" t="s">
        <v>4799</v>
      </c>
      <c r="D269">
        <v>54820</v>
      </c>
      <c r="E269" t="s">
        <v>2217</v>
      </c>
      <c r="F269">
        <v>11.33</v>
      </c>
      <c r="G269" t="s">
        <v>4686</v>
      </c>
      <c r="H269" t="s">
        <v>4687</v>
      </c>
      <c r="I269">
        <v>26261</v>
      </c>
      <c r="J269">
        <v>53644</v>
      </c>
      <c r="K269" t="s">
        <v>4395</v>
      </c>
      <c r="L269" t="str">
        <f>SUBSTITUTE(K269,"'","")</f>
        <v>320250650576014814</v>
      </c>
      <c r="M269">
        <v>54820</v>
      </c>
    </row>
    <row r="270" spans="1:13" x14ac:dyDescent="0.4">
      <c r="A270" s="1">
        <v>45722</v>
      </c>
      <c r="B270" t="s">
        <v>4683</v>
      </c>
      <c r="C270" t="s">
        <v>4798</v>
      </c>
      <c r="D270">
        <v>54820</v>
      </c>
      <c r="E270" t="s">
        <v>583</v>
      </c>
      <c r="F270">
        <v>86.7</v>
      </c>
      <c r="G270" t="s">
        <v>4686</v>
      </c>
      <c r="H270" t="s">
        <v>4687</v>
      </c>
      <c r="I270">
        <v>25364</v>
      </c>
      <c r="J270">
        <v>51850</v>
      </c>
      <c r="K270" t="s">
        <v>1781</v>
      </c>
      <c r="L270" t="str">
        <f>SUBSTITUTE(K270,"'","")</f>
        <v>320250650578677335</v>
      </c>
      <c r="M270">
        <v>54820</v>
      </c>
    </row>
    <row r="271" spans="1:13" x14ac:dyDescent="0.4">
      <c r="A271" s="1">
        <v>45722</v>
      </c>
      <c r="B271" t="s">
        <v>4683</v>
      </c>
      <c r="C271" t="s">
        <v>6416</v>
      </c>
      <c r="D271">
        <v>65700</v>
      </c>
      <c r="E271" t="s">
        <v>2354</v>
      </c>
      <c r="F271">
        <v>109.99</v>
      </c>
      <c r="G271" t="s">
        <v>4686</v>
      </c>
      <c r="H271" t="s">
        <v>4687</v>
      </c>
      <c r="I271">
        <v>26287</v>
      </c>
      <c r="J271">
        <v>53696</v>
      </c>
      <c r="K271" t="s">
        <v>4397</v>
      </c>
      <c r="L271" t="str">
        <f>SUBSTITUTE(K271,"'","")</f>
        <v>320250650580732272</v>
      </c>
      <c r="M271">
        <v>65700</v>
      </c>
    </row>
    <row r="272" spans="1:13" x14ac:dyDescent="0.4">
      <c r="A272" s="1">
        <v>45722</v>
      </c>
      <c r="B272" t="s">
        <v>4683</v>
      </c>
      <c r="C272" t="s">
        <v>5880</v>
      </c>
      <c r="D272">
        <v>61131</v>
      </c>
      <c r="E272" t="s">
        <v>1666</v>
      </c>
      <c r="F272">
        <v>24.95</v>
      </c>
      <c r="G272" t="s">
        <v>4686</v>
      </c>
      <c r="H272" t="s">
        <v>4687</v>
      </c>
      <c r="I272">
        <v>25641</v>
      </c>
      <c r="J272">
        <v>52404</v>
      </c>
      <c r="K272" t="s">
        <v>1779</v>
      </c>
      <c r="L272" t="str">
        <f>SUBSTITUTE(K272,"'","")</f>
        <v>320250650594558067</v>
      </c>
      <c r="M272">
        <v>61131</v>
      </c>
    </row>
    <row r="273" spans="1:13" x14ac:dyDescent="0.4">
      <c r="A273" s="1">
        <v>45722</v>
      </c>
      <c r="B273" t="s">
        <v>4683</v>
      </c>
      <c r="C273" t="s">
        <v>6143</v>
      </c>
      <c r="D273">
        <v>64100</v>
      </c>
      <c r="E273" t="s">
        <v>1775</v>
      </c>
      <c r="F273">
        <v>25.17</v>
      </c>
      <c r="G273" t="s">
        <v>4686</v>
      </c>
      <c r="H273" t="s">
        <v>4687</v>
      </c>
      <c r="I273">
        <v>25674</v>
      </c>
      <c r="J273">
        <v>52470</v>
      </c>
      <c r="K273" t="s">
        <v>1777</v>
      </c>
      <c r="L273" t="str">
        <f>SUBSTITUTE(K273,"'","")</f>
        <v>320250660608512403</v>
      </c>
      <c r="M273">
        <v>64100</v>
      </c>
    </row>
    <row r="274" spans="1:13" x14ac:dyDescent="0.4">
      <c r="A274" s="1">
        <v>45722</v>
      </c>
      <c r="B274" t="s">
        <v>4683</v>
      </c>
      <c r="C274" t="s">
        <v>4800</v>
      </c>
      <c r="D274">
        <v>54820</v>
      </c>
      <c r="E274" t="s">
        <v>2142</v>
      </c>
      <c r="F274">
        <v>42.19</v>
      </c>
      <c r="G274" t="s">
        <v>4686</v>
      </c>
      <c r="H274" t="s">
        <v>4687</v>
      </c>
      <c r="I274">
        <v>26584</v>
      </c>
      <c r="J274">
        <v>54290</v>
      </c>
      <c r="K274" t="s">
        <v>4391</v>
      </c>
      <c r="L274" t="str">
        <f>SUBSTITUTE(K274,"'","")</f>
        <v>320250660609370474</v>
      </c>
      <c r="M274">
        <v>54820</v>
      </c>
    </row>
    <row r="275" spans="1:13" x14ac:dyDescent="0.4">
      <c r="A275" s="1">
        <v>45722</v>
      </c>
      <c r="B275" t="s">
        <v>4683</v>
      </c>
      <c r="C275" t="s">
        <v>4801</v>
      </c>
      <c r="D275">
        <v>54820</v>
      </c>
      <c r="E275" t="s">
        <v>3558</v>
      </c>
      <c r="F275">
        <v>2.98</v>
      </c>
      <c r="G275" t="s">
        <v>4686</v>
      </c>
      <c r="H275" t="s">
        <v>4687</v>
      </c>
      <c r="I275">
        <v>26585</v>
      </c>
      <c r="J275">
        <v>54292</v>
      </c>
      <c r="K275" t="s">
        <v>4393</v>
      </c>
      <c r="L275" t="str">
        <f>SUBSTITUTE(K275,"'","")</f>
        <v>320250660611585750</v>
      </c>
      <c r="M275">
        <v>54820</v>
      </c>
    </row>
    <row r="276" spans="1:13" x14ac:dyDescent="0.4">
      <c r="A276" s="1">
        <v>45723</v>
      </c>
      <c r="B276" t="s">
        <v>4683</v>
      </c>
      <c r="C276" t="s">
        <v>6144</v>
      </c>
      <c r="D276">
        <v>64100</v>
      </c>
      <c r="E276" t="s">
        <v>165</v>
      </c>
      <c r="F276">
        <v>21.38</v>
      </c>
      <c r="G276" t="s">
        <v>4686</v>
      </c>
      <c r="H276" t="s">
        <v>4687</v>
      </c>
      <c r="I276">
        <v>25585</v>
      </c>
      <c r="J276">
        <v>52292</v>
      </c>
      <c r="K276" t="s">
        <v>1765</v>
      </c>
      <c r="L276" t="str">
        <f>SUBSTITUTE(K276,"'","")</f>
        <v>320250650595547325</v>
      </c>
      <c r="M276">
        <v>64100</v>
      </c>
    </row>
    <row r="277" spans="1:13" x14ac:dyDescent="0.4">
      <c r="A277" s="1">
        <v>45723</v>
      </c>
      <c r="B277" t="s">
        <v>4683</v>
      </c>
      <c r="C277" t="s">
        <v>6053</v>
      </c>
      <c r="D277">
        <v>63100</v>
      </c>
      <c r="E277" t="s">
        <v>260</v>
      </c>
      <c r="F277">
        <v>27.22</v>
      </c>
      <c r="G277" t="s">
        <v>4686</v>
      </c>
      <c r="H277" t="s">
        <v>4687</v>
      </c>
      <c r="I277">
        <v>25691</v>
      </c>
      <c r="J277">
        <v>52504</v>
      </c>
      <c r="K277" t="s">
        <v>1774</v>
      </c>
      <c r="L277" t="str">
        <f>SUBSTITUTE(K277,"'","")</f>
        <v>320250670632326489</v>
      </c>
      <c r="M277">
        <v>63100</v>
      </c>
    </row>
    <row r="278" spans="1:13" x14ac:dyDescent="0.4">
      <c r="A278" s="1">
        <v>45723</v>
      </c>
      <c r="B278" t="s">
        <v>4683</v>
      </c>
      <c r="C278" t="s">
        <v>6145</v>
      </c>
      <c r="D278">
        <v>64100</v>
      </c>
      <c r="E278" t="s">
        <v>1768</v>
      </c>
      <c r="F278">
        <v>134.33000000000001</v>
      </c>
      <c r="G278" t="s">
        <v>4686</v>
      </c>
      <c r="H278" t="s">
        <v>4687</v>
      </c>
      <c r="I278">
        <v>25675</v>
      </c>
      <c r="J278">
        <v>52472</v>
      </c>
      <c r="K278" t="s">
        <v>1772</v>
      </c>
      <c r="L278" t="str">
        <f>SUBSTITUTE(K278,"'","")</f>
        <v>320250670636056156</v>
      </c>
      <c r="M278">
        <v>64100</v>
      </c>
    </row>
    <row r="279" spans="1:13" x14ac:dyDescent="0.4">
      <c r="A279" s="1">
        <v>45723</v>
      </c>
      <c r="B279" t="s">
        <v>4683</v>
      </c>
      <c r="C279" t="s">
        <v>6147</v>
      </c>
      <c r="D279">
        <v>64100</v>
      </c>
      <c r="E279" t="s">
        <v>2311</v>
      </c>
      <c r="F279">
        <v>97.17</v>
      </c>
      <c r="G279" t="s">
        <v>4686</v>
      </c>
      <c r="H279" t="s">
        <v>4687</v>
      </c>
      <c r="I279">
        <v>26440</v>
      </c>
      <c r="J279">
        <v>54002</v>
      </c>
      <c r="K279" t="s">
        <v>4389</v>
      </c>
      <c r="L279" t="str">
        <f>SUBSTITUTE(K279,"'","")</f>
        <v>320250670643213103</v>
      </c>
      <c r="M279">
        <v>64100</v>
      </c>
    </row>
    <row r="280" spans="1:13" x14ac:dyDescent="0.4">
      <c r="A280" s="1">
        <v>45723</v>
      </c>
      <c r="B280" t="s">
        <v>4683</v>
      </c>
      <c r="C280" t="s">
        <v>6458</v>
      </c>
      <c r="D280">
        <v>67500</v>
      </c>
      <c r="E280" t="s">
        <v>2146</v>
      </c>
      <c r="F280">
        <v>41.72</v>
      </c>
      <c r="G280" t="s">
        <v>4686</v>
      </c>
      <c r="H280" t="s">
        <v>4687</v>
      </c>
      <c r="I280">
        <v>26430</v>
      </c>
      <c r="J280">
        <v>53982</v>
      </c>
      <c r="K280" t="s">
        <v>4387</v>
      </c>
      <c r="L280" t="str">
        <f>SUBSTITUTE(K280,"'","")</f>
        <v>320250670643796710</v>
      </c>
      <c r="M280">
        <v>67500</v>
      </c>
    </row>
    <row r="281" spans="1:13" x14ac:dyDescent="0.4">
      <c r="A281" s="1">
        <v>45723</v>
      </c>
      <c r="B281" t="s">
        <v>4683</v>
      </c>
      <c r="C281" t="s">
        <v>6146</v>
      </c>
      <c r="D281">
        <v>64100</v>
      </c>
      <c r="E281" t="s">
        <v>169</v>
      </c>
      <c r="F281">
        <v>21.39</v>
      </c>
      <c r="G281" t="s">
        <v>4686</v>
      </c>
      <c r="H281" t="s">
        <v>4687</v>
      </c>
      <c r="I281">
        <v>25802</v>
      </c>
      <c r="J281">
        <v>52726</v>
      </c>
      <c r="K281" t="s">
        <v>1767</v>
      </c>
      <c r="L281" t="str">
        <f>SUBSTITUTE(K281,"'","")</f>
        <v>320250680652372500</v>
      </c>
      <c r="M281">
        <v>64100</v>
      </c>
    </row>
    <row r="282" spans="1:13" x14ac:dyDescent="0.4">
      <c r="A282" s="1">
        <v>45724</v>
      </c>
      <c r="B282" t="s">
        <v>4683</v>
      </c>
      <c r="C282" t="s">
        <v>4803</v>
      </c>
      <c r="D282">
        <v>54820</v>
      </c>
      <c r="E282" t="s">
        <v>4382</v>
      </c>
      <c r="F282">
        <v>616.95000000000005</v>
      </c>
      <c r="G282" t="s">
        <v>4686</v>
      </c>
      <c r="H282" t="s">
        <v>4687</v>
      </c>
      <c r="I282">
        <v>26630</v>
      </c>
      <c r="J282">
        <v>54382</v>
      </c>
      <c r="K282" t="s">
        <v>4385</v>
      </c>
      <c r="L282" t="str">
        <f>SUBSTITUTE(K282,"'","")</f>
        <v>320250670625571263</v>
      </c>
      <c r="M282">
        <v>54820</v>
      </c>
    </row>
    <row r="283" spans="1:13" x14ac:dyDescent="0.4">
      <c r="A283" s="1">
        <v>45724</v>
      </c>
      <c r="B283" t="s">
        <v>4683</v>
      </c>
      <c r="C283" t="s">
        <v>5881</v>
      </c>
      <c r="D283">
        <v>61131</v>
      </c>
      <c r="E283" t="s">
        <v>1756</v>
      </c>
      <c r="F283">
        <v>9.15</v>
      </c>
      <c r="G283" t="s">
        <v>4686</v>
      </c>
      <c r="H283" t="s">
        <v>4687</v>
      </c>
      <c r="I283">
        <v>25724</v>
      </c>
      <c r="J283">
        <v>52570</v>
      </c>
      <c r="K283" t="s">
        <v>1758</v>
      </c>
      <c r="L283" t="str">
        <f>SUBSTITUTE(K283,"'","")</f>
        <v>320250680662809009</v>
      </c>
      <c r="M283">
        <v>61131</v>
      </c>
    </row>
    <row r="284" spans="1:13" x14ac:dyDescent="0.4">
      <c r="A284" s="1">
        <v>45724</v>
      </c>
      <c r="B284" t="s">
        <v>4683</v>
      </c>
      <c r="C284" t="s">
        <v>4802</v>
      </c>
      <c r="D284">
        <v>54820</v>
      </c>
      <c r="E284" t="s">
        <v>1759</v>
      </c>
      <c r="F284">
        <v>63.92</v>
      </c>
      <c r="G284" t="s">
        <v>4686</v>
      </c>
      <c r="H284" t="s">
        <v>4687</v>
      </c>
      <c r="I284">
        <v>25996</v>
      </c>
      <c r="J284">
        <v>53114</v>
      </c>
      <c r="K284" t="s">
        <v>1762</v>
      </c>
      <c r="L284" t="str">
        <f>SUBSTITUTE(K284,"'","")</f>
        <v>320250690693918936</v>
      </c>
      <c r="M284">
        <v>54820</v>
      </c>
    </row>
    <row r="285" spans="1:13" x14ac:dyDescent="0.4">
      <c r="A285" s="1">
        <v>45724</v>
      </c>
      <c r="B285" t="s">
        <v>4683</v>
      </c>
      <c r="C285" t="s">
        <v>5978</v>
      </c>
      <c r="D285">
        <v>61215</v>
      </c>
      <c r="E285" t="s">
        <v>1752</v>
      </c>
      <c r="F285">
        <v>80</v>
      </c>
      <c r="G285" t="s">
        <v>4686</v>
      </c>
      <c r="H285" t="s">
        <v>4687</v>
      </c>
      <c r="I285">
        <v>25942</v>
      </c>
      <c r="J285">
        <v>53006</v>
      </c>
      <c r="K285" t="s">
        <v>1755</v>
      </c>
      <c r="L285" t="str">
        <f>SUBSTITUTE(K285,"'","")</f>
        <v>320250690697131156</v>
      </c>
      <c r="M285">
        <v>61215</v>
      </c>
    </row>
    <row r="286" spans="1:13" x14ac:dyDescent="0.4">
      <c r="A286" s="1">
        <v>45725</v>
      </c>
      <c r="B286" t="s">
        <v>4683</v>
      </c>
      <c r="C286" t="s">
        <v>6149</v>
      </c>
      <c r="D286">
        <v>64100</v>
      </c>
      <c r="E286" t="s">
        <v>153</v>
      </c>
      <c r="F286">
        <v>151.34</v>
      </c>
      <c r="G286" t="s">
        <v>4686</v>
      </c>
      <c r="H286" t="s">
        <v>4687</v>
      </c>
      <c r="I286">
        <v>26210</v>
      </c>
      <c r="J286">
        <v>53542</v>
      </c>
      <c r="K286" t="s">
        <v>4381</v>
      </c>
      <c r="L286" t="str">
        <f>SUBSTITUTE(K286,"'","")</f>
        <v>320250680659662145</v>
      </c>
      <c r="M286">
        <v>64100</v>
      </c>
    </row>
    <row r="287" spans="1:13" x14ac:dyDescent="0.4">
      <c r="A287" s="1">
        <v>45725</v>
      </c>
      <c r="B287" t="s">
        <v>4683</v>
      </c>
      <c r="C287" t="s">
        <v>6148</v>
      </c>
      <c r="D287">
        <v>64100</v>
      </c>
      <c r="E287" t="s">
        <v>153</v>
      </c>
      <c r="F287">
        <v>201.72</v>
      </c>
      <c r="G287" t="s">
        <v>4686</v>
      </c>
      <c r="H287" t="s">
        <v>4687</v>
      </c>
      <c r="I287">
        <v>25586</v>
      </c>
      <c r="J287">
        <v>52294</v>
      </c>
      <c r="K287" t="s">
        <v>1749</v>
      </c>
      <c r="L287" t="str">
        <f>SUBSTITUTE(K287,"'","")</f>
        <v>320250680660674983</v>
      </c>
      <c r="M287">
        <v>64100</v>
      </c>
    </row>
    <row r="288" spans="1:13" x14ac:dyDescent="0.4">
      <c r="A288" s="1">
        <v>45725</v>
      </c>
      <c r="B288" t="s">
        <v>4683</v>
      </c>
      <c r="C288" t="s">
        <v>6054</v>
      </c>
      <c r="D288">
        <v>63100</v>
      </c>
      <c r="E288" t="s">
        <v>57</v>
      </c>
      <c r="F288">
        <v>30.65</v>
      </c>
      <c r="G288" t="s">
        <v>4686</v>
      </c>
      <c r="H288" t="s">
        <v>4687</v>
      </c>
      <c r="I288">
        <v>25663</v>
      </c>
      <c r="J288">
        <v>52448</v>
      </c>
      <c r="K288" t="s">
        <v>1751</v>
      </c>
      <c r="L288" t="str">
        <f>SUBSTITUTE(K288,"'","")</f>
        <v>320250690688590045</v>
      </c>
      <c r="M288">
        <v>63100</v>
      </c>
    </row>
    <row r="289" spans="1:13" x14ac:dyDescent="0.4">
      <c r="A289" s="1">
        <v>45726</v>
      </c>
      <c r="B289" t="s">
        <v>4683</v>
      </c>
      <c r="C289" t="s">
        <v>6390</v>
      </c>
      <c r="D289">
        <v>65505</v>
      </c>
      <c r="E289" t="s">
        <v>1742</v>
      </c>
      <c r="F289" s="5">
        <v>2420.5</v>
      </c>
      <c r="G289" t="s">
        <v>4686</v>
      </c>
      <c r="H289" t="s">
        <v>4687</v>
      </c>
      <c r="I289">
        <v>26050</v>
      </c>
      <c r="J289">
        <v>53222</v>
      </c>
      <c r="K289" t="s">
        <v>1745</v>
      </c>
      <c r="L289" t="str">
        <f>SUBSTITUTE(K289,"'","")</f>
        <v>320250690680082637</v>
      </c>
      <c r="M289">
        <v>65505</v>
      </c>
    </row>
    <row r="290" spans="1:13" x14ac:dyDescent="0.4">
      <c r="A290" s="1">
        <v>45726</v>
      </c>
      <c r="B290" t="s">
        <v>4683</v>
      </c>
      <c r="C290" t="s">
        <v>5979</v>
      </c>
      <c r="D290">
        <v>61215</v>
      </c>
      <c r="E290" t="s">
        <v>175</v>
      </c>
      <c r="F290">
        <v>430</v>
      </c>
      <c r="G290" t="s">
        <v>4686</v>
      </c>
      <c r="H290" t="s">
        <v>4687</v>
      </c>
      <c r="I290">
        <v>25943</v>
      </c>
      <c r="J290">
        <v>53008</v>
      </c>
      <c r="K290" t="s">
        <v>1747</v>
      </c>
      <c r="L290" t="str">
        <f>SUBSTITUTE(K290,"'","")</f>
        <v>320250700713618066</v>
      </c>
      <c r="M290">
        <v>61215</v>
      </c>
    </row>
    <row r="291" spans="1:13" x14ac:dyDescent="0.4">
      <c r="A291" s="1">
        <v>45726</v>
      </c>
      <c r="B291" t="s">
        <v>4683</v>
      </c>
      <c r="C291" t="s">
        <v>5883</v>
      </c>
      <c r="D291">
        <v>61131</v>
      </c>
      <c r="E291" t="s">
        <v>1693</v>
      </c>
      <c r="F291">
        <v>10.88</v>
      </c>
      <c r="G291" t="s">
        <v>4686</v>
      </c>
      <c r="H291" t="s">
        <v>4687</v>
      </c>
      <c r="I291">
        <v>25725</v>
      </c>
      <c r="J291">
        <v>52572</v>
      </c>
      <c r="K291" t="s">
        <v>1741</v>
      </c>
      <c r="L291" t="str">
        <f>SUBSTITUTE(K291,"'","")</f>
        <v>320250700714524828</v>
      </c>
      <c r="M291">
        <v>61131</v>
      </c>
    </row>
    <row r="292" spans="1:13" x14ac:dyDescent="0.4">
      <c r="A292" s="1">
        <v>45726</v>
      </c>
      <c r="B292" t="s">
        <v>4683</v>
      </c>
      <c r="C292" t="s">
        <v>4804</v>
      </c>
      <c r="D292">
        <v>54820</v>
      </c>
      <c r="E292" t="s">
        <v>3558</v>
      </c>
      <c r="F292">
        <v>2.98</v>
      </c>
      <c r="G292" t="s">
        <v>4686</v>
      </c>
      <c r="H292" t="s">
        <v>4687</v>
      </c>
      <c r="I292">
        <v>26586</v>
      </c>
      <c r="J292">
        <v>54294</v>
      </c>
      <c r="K292" t="s">
        <v>4379</v>
      </c>
      <c r="L292" t="str">
        <f>SUBSTITUTE(K292,"'","")</f>
        <v>320250700714695843</v>
      </c>
      <c r="M292">
        <v>54820</v>
      </c>
    </row>
    <row r="293" spans="1:13" x14ac:dyDescent="0.4">
      <c r="A293" s="1">
        <v>45726</v>
      </c>
      <c r="B293" t="s">
        <v>4683</v>
      </c>
      <c r="C293" t="s">
        <v>5882</v>
      </c>
      <c r="D293">
        <v>61131</v>
      </c>
      <c r="E293" t="s">
        <v>38</v>
      </c>
      <c r="F293">
        <v>734.35</v>
      </c>
      <c r="G293" t="s">
        <v>4686</v>
      </c>
      <c r="H293" t="s">
        <v>4687</v>
      </c>
      <c r="I293">
        <v>25626</v>
      </c>
      <c r="J293">
        <v>52374</v>
      </c>
      <c r="K293" t="s">
        <v>1739</v>
      </c>
      <c r="L293" t="str">
        <f>SUBSTITUTE(K293,"'","")</f>
        <v>320250700720491808</v>
      </c>
      <c r="M293">
        <v>61131</v>
      </c>
    </row>
    <row r="294" spans="1:13" x14ac:dyDescent="0.4">
      <c r="A294" s="1">
        <v>45727</v>
      </c>
      <c r="B294" t="s">
        <v>4683</v>
      </c>
      <c r="C294" t="s">
        <v>6150</v>
      </c>
      <c r="D294">
        <v>64100</v>
      </c>
      <c r="E294" t="s">
        <v>2259</v>
      </c>
      <c r="F294">
        <v>21.64</v>
      </c>
      <c r="G294" t="s">
        <v>4686</v>
      </c>
      <c r="H294" t="s">
        <v>4687</v>
      </c>
      <c r="I294">
        <v>26329</v>
      </c>
      <c r="J294">
        <v>53780</v>
      </c>
      <c r="K294" t="s">
        <v>4377</v>
      </c>
      <c r="L294" t="str">
        <f>SUBSTITUTE(K294,"'","")</f>
        <v>320250710738275245</v>
      </c>
      <c r="M294">
        <v>64100</v>
      </c>
    </row>
    <row r="295" spans="1:13" x14ac:dyDescent="0.4">
      <c r="A295" s="1">
        <v>45728</v>
      </c>
      <c r="B295" t="s">
        <v>4683</v>
      </c>
      <c r="C295" t="s">
        <v>6460</v>
      </c>
      <c r="D295">
        <v>67500</v>
      </c>
      <c r="E295" t="s">
        <v>885</v>
      </c>
      <c r="F295">
        <v>74.11</v>
      </c>
      <c r="G295" t="s">
        <v>4686</v>
      </c>
      <c r="H295" t="s">
        <v>4687</v>
      </c>
      <c r="I295">
        <v>26357</v>
      </c>
      <c r="J295">
        <v>53836</v>
      </c>
      <c r="K295" t="s">
        <v>4375</v>
      </c>
      <c r="L295" t="str">
        <f>SUBSTITUTE(K295,"'","")</f>
        <v>320250710735137437</v>
      </c>
      <c r="M295">
        <v>67500</v>
      </c>
    </row>
    <row r="296" spans="1:13" x14ac:dyDescent="0.4">
      <c r="A296" s="1">
        <v>45728</v>
      </c>
      <c r="B296" t="s">
        <v>4683</v>
      </c>
      <c r="C296" t="s">
        <v>6459</v>
      </c>
      <c r="D296">
        <v>67500</v>
      </c>
      <c r="E296" t="s">
        <v>885</v>
      </c>
      <c r="F296">
        <v>24.99</v>
      </c>
      <c r="G296" t="s">
        <v>4686</v>
      </c>
      <c r="H296" t="s">
        <v>4687</v>
      </c>
      <c r="I296">
        <v>26356</v>
      </c>
      <c r="J296">
        <v>53834</v>
      </c>
      <c r="K296" t="s">
        <v>4373</v>
      </c>
      <c r="L296" t="str">
        <f>SUBSTITUTE(K296,"'","")</f>
        <v>320250710735811845</v>
      </c>
      <c r="M296">
        <v>67500</v>
      </c>
    </row>
    <row r="297" spans="1:13" x14ac:dyDescent="0.4">
      <c r="A297" s="1">
        <v>45728</v>
      </c>
      <c r="B297" t="s">
        <v>4683</v>
      </c>
      <c r="C297" t="s">
        <v>6151</v>
      </c>
      <c r="D297">
        <v>64100</v>
      </c>
      <c r="E297" t="s">
        <v>458</v>
      </c>
      <c r="F297">
        <v>16.04</v>
      </c>
      <c r="G297" t="s">
        <v>4686</v>
      </c>
      <c r="H297" t="s">
        <v>4687</v>
      </c>
      <c r="I297">
        <v>25536</v>
      </c>
      <c r="J297">
        <v>52194</v>
      </c>
      <c r="K297" t="s">
        <v>1735</v>
      </c>
      <c r="L297" t="str">
        <f>SUBSTITUTE(K297,"'","")</f>
        <v>320250710742637272</v>
      </c>
      <c r="M297">
        <v>64100</v>
      </c>
    </row>
    <row r="298" spans="1:13" x14ac:dyDescent="0.4">
      <c r="A298" s="1">
        <v>45728</v>
      </c>
      <c r="B298" t="s">
        <v>4683</v>
      </c>
      <c r="C298" t="s">
        <v>5884</v>
      </c>
      <c r="D298">
        <v>61131</v>
      </c>
      <c r="E298" t="s">
        <v>1666</v>
      </c>
      <c r="F298">
        <v>24.95</v>
      </c>
      <c r="G298" t="s">
        <v>4686</v>
      </c>
      <c r="H298" t="s">
        <v>4687</v>
      </c>
      <c r="I298">
        <v>25642</v>
      </c>
      <c r="J298">
        <v>52406</v>
      </c>
      <c r="K298" t="s">
        <v>1737</v>
      </c>
      <c r="L298" t="str">
        <f>SUBSTITUTE(K298,"'","")</f>
        <v>320250710750768625</v>
      </c>
      <c r="M298">
        <v>61131</v>
      </c>
    </row>
    <row r="299" spans="1:13" x14ac:dyDescent="0.4">
      <c r="A299" s="1">
        <v>45728</v>
      </c>
      <c r="B299" t="s">
        <v>4683</v>
      </c>
      <c r="C299" t="s">
        <v>4805</v>
      </c>
      <c r="D299">
        <v>54820</v>
      </c>
      <c r="E299" t="s">
        <v>2246</v>
      </c>
      <c r="F299">
        <v>11.99</v>
      </c>
      <c r="G299" t="s">
        <v>4686</v>
      </c>
      <c r="H299" t="s">
        <v>4687</v>
      </c>
      <c r="I299">
        <v>26297</v>
      </c>
      <c r="J299">
        <v>53716</v>
      </c>
      <c r="K299" t="s">
        <v>4371</v>
      </c>
      <c r="L299" t="str">
        <f>SUBSTITUTE(K299,"'","")</f>
        <v>320250720773605125</v>
      </c>
      <c r="M299">
        <v>54820</v>
      </c>
    </row>
    <row r="300" spans="1:13" x14ac:dyDescent="0.4">
      <c r="A300" s="1">
        <v>45729</v>
      </c>
      <c r="B300" t="s">
        <v>4683</v>
      </c>
      <c r="C300" t="s">
        <v>5980</v>
      </c>
      <c r="D300">
        <v>61215</v>
      </c>
      <c r="E300" t="s">
        <v>1729</v>
      </c>
      <c r="F300" s="5">
        <v>3060.9</v>
      </c>
      <c r="G300" t="s">
        <v>4686</v>
      </c>
      <c r="H300" t="s">
        <v>4687</v>
      </c>
      <c r="I300">
        <v>25944</v>
      </c>
      <c r="J300">
        <v>53010</v>
      </c>
      <c r="K300" t="s">
        <v>1731</v>
      </c>
      <c r="L300" t="str">
        <f>SUBSTITUTE(K300,"'","")</f>
        <v>320250720756989129</v>
      </c>
      <c r="M300">
        <v>61215</v>
      </c>
    </row>
    <row r="301" spans="1:13" x14ac:dyDescent="0.4">
      <c r="A301" s="1">
        <v>45729</v>
      </c>
      <c r="B301" t="s">
        <v>4683</v>
      </c>
      <c r="C301" t="s">
        <v>5518</v>
      </c>
      <c r="D301">
        <v>61100</v>
      </c>
      <c r="E301" t="s">
        <v>4367</v>
      </c>
      <c r="F301">
        <v>106.99</v>
      </c>
      <c r="G301" t="s">
        <v>4686</v>
      </c>
      <c r="H301" t="s">
        <v>4687</v>
      </c>
      <c r="I301">
        <v>26250</v>
      </c>
      <c r="J301">
        <v>53622</v>
      </c>
      <c r="K301" t="s">
        <v>4369</v>
      </c>
      <c r="L301" t="str">
        <f>SUBSTITUTE(K301,"'","")</f>
        <v>320250720757291362</v>
      </c>
      <c r="M301">
        <v>61100</v>
      </c>
    </row>
    <row r="302" spans="1:13" x14ac:dyDescent="0.4">
      <c r="A302" s="1">
        <v>45729</v>
      </c>
      <c r="B302" t="s">
        <v>4683</v>
      </c>
      <c r="C302" t="s">
        <v>5661</v>
      </c>
      <c r="D302">
        <v>61130</v>
      </c>
      <c r="E302" t="s">
        <v>478</v>
      </c>
      <c r="F302">
        <v>43.12</v>
      </c>
      <c r="G302" t="s">
        <v>4686</v>
      </c>
      <c r="H302" t="s">
        <v>4687</v>
      </c>
      <c r="I302">
        <v>25398</v>
      </c>
      <c r="J302">
        <v>51918</v>
      </c>
      <c r="K302" t="s">
        <v>1733</v>
      </c>
      <c r="L302" t="str">
        <f>SUBSTITUTE(K302,"'","")</f>
        <v>320250720760683537</v>
      </c>
      <c r="M302">
        <v>61130</v>
      </c>
    </row>
    <row r="303" spans="1:13" x14ac:dyDescent="0.4">
      <c r="A303" s="1">
        <v>45730</v>
      </c>
      <c r="B303" t="s">
        <v>4683</v>
      </c>
      <c r="C303" t="s">
        <v>4807</v>
      </c>
      <c r="D303">
        <v>54820</v>
      </c>
      <c r="E303" t="s">
        <v>2222</v>
      </c>
      <c r="F303">
        <v>20.18</v>
      </c>
      <c r="G303" t="s">
        <v>4686</v>
      </c>
      <c r="H303" t="s">
        <v>4687</v>
      </c>
      <c r="I303">
        <v>26450</v>
      </c>
      <c r="J303">
        <v>54022</v>
      </c>
      <c r="K303" t="s">
        <v>4366</v>
      </c>
      <c r="L303" t="str">
        <f>SUBSTITUTE(K303,"'","")</f>
        <v>320250730785046467</v>
      </c>
      <c r="M303">
        <v>54820</v>
      </c>
    </row>
    <row r="304" spans="1:13" x14ac:dyDescent="0.4">
      <c r="A304" s="1">
        <v>45730</v>
      </c>
      <c r="B304" t="s">
        <v>4683</v>
      </c>
      <c r="C304" t="s">
        <v>6417</v>
      </c>
      <c r="D304">
        <v>65700</v>
      </c>
      <c r="E304" t="s">
        <v>83</v>
      </c>
      <c r="F304">
        <v>104.4</v>
      </c>
      <c r="G304" t="s">
        <v>4686</v>
      </c>
      <c r="H304" t="s">
        <v>4687</v>
      </c>
      <c r="I304">
        <v>25546</v>
      </c>
      <c r="J304">
        <v>52214</v>
      </c>
      <c r="K304" t="s">
        <v>1728</v>
      </c>
      <c r="L304" t="str">
        <f>SUBSTITUTE(K304,"'","")</f>
        <v>320250740824168484</v>
      </c>
      <c r="M304">
        <v>65700</v>
      </c>
    </row>
    <row r="305" spans="1:13" x14ac:dyDescent="0.4">
      <c r="A305" s="1">
        <v>45730</v>
      </c>
      <c r="B305" t="s">
        <v>4683</v>
      </c>
      <c r="C305" t="s">
        <v>4806</v>
      </c>
      <c r="D305">
        <v>54820</v>
      </c>
      <c r="E305" t="s">
        <v>2344</v>
      </c>
      <c r="F305">
        <v>50.67</v>
      </c>
      <c r="G305" t="s">
        <v>4686</v>
      </c>
      <c r="H305" t="s">
        <v>4687</v>
      </c>
      <c r="I305">
        <v>26262</v>
      </c>
      <c r="J305">
        <v>53646</v>
      </c>
      <c r="K305" t="s">
        <v>4364</v>
      </c>
      <c r="L305" t="str">
        <f>SUBSTITUTE(K305,"'","")</f>
        <v>320250740828387852</v>
      </c>
      <c r="M305">
        <v>54820</v>
      </c>
    </row>
    <row r="306" spans="1:13" x14ac:dyDescent="0.4">
      <c r="A306" s="1">
        <v>45731</v>
      </c>
      <c r="B306" t="s">
        <v>4683</v>
      </c>
      <c r="C306" t="s">
        <v>6152</v>
      </c>
      <c r="D306">
        <v>64100</v>
      </c>
      <c r="E306" t="s">
        <v>437</v>
      </c>
      <c r="F306">
        <v>10</v>
      </c>
      <c r="G306" t="s">
        <v>4686</v>
      </c>
      <c r="H306" t="s">
        <v>4687</v>
      </c>
      <c r="I306">
        <v>25571</v>
      </c>
      <c r="J306">
        <v>52264</v>
      </c>
      <c r="K306" t="s">
        <v>1726</v>
      </c>
      <c r="L306" t="str">
        <f>SUBSTITUTE(K306,"'","")</f>
        <v>320250750853208845</v>
      </c>
      <c r="M306">
        <v>64100</v>
      </c>
    </row>
    <row r="307" spans="1:13" x14ac:dyDescent="0.4">
      <c r="A307" s="1">
        <v>45732</v>
      </c>
      <c r="B307" t="s">
        <v>4683</v>
      </c>
      <c r="C307" t="s">
        <v>4808</v>
      </c>
      <c r="D307">
        <v>54820</v>
      </c>
      <c r="E307" t="s">
        <v>3894</v>
      </c>
      <c r="F307">
        <v>27.99</v>
      </c>
      <c r="G307" t="s">
        <v>4686</v>
      </c>
      <c r="H307" t="s">
        <v>4687</v>
      </c>
      <c r="I307">
        <v>26524</v>
      </c>
      <c r="J307">
        <v>54170</v>
      </c>
      <c r="K307" t="s">
        <v>4362</v>
      </c>
      <c r="L307" t="str">
        <f>SUBSTITUTE(K307,"'","")</f>
        <v>320250750840252297</v>
      </c>
      <c r="M307">
        <v>54820</v>
      </c>
    </row>
    <row r="308" spans="1:13" x14ac:dyDescent="0.4">
      <c r="A308" s="1">
        <v>45732</v>
      </c>
      <c r="B308" t="s">
        <v>4683</v>
      </c>
      <c r="C308" t="s">
        <v>5885</v>
      </c>
      <c r="D308">
        <v>61131</v>
      </c>
      <c r="E308" t="s">
        <v>38</v>
      </c>
      <c r="F308" s="5">
        <v>1007.25</v>
      </c>
      <c r="G308" t="s">
        <v>4686</v>
      </c>
      <c r="H308" t="s">
        <v>4687</v>
      </c>
      <c r="I308">
        <v>25627</v>
      </c>
      <c r="J308">
        <v>52376</v>
      </c>
      <c r="K308" t="s">
        <v>1724</v>
      </c>
      <c r="L308" t="str">
        <f>SUBSTITUTE(K308,"'","")</f>
        <v>320250760877334887</v>
      </c>
      <c r="M308">
        <v>61131</v>
      </c>
    </row>
    <row r="309" spans="1:13" x14ac:dyDescent="0.4">
      <c r="A309" s="1">
        <v>45733</v>
      </c>
      <c r="B309" t="s">
        <v>4683</v>
      </c>
      <c r="C309" t="s">
        <v>5662</v>
      </c>
      <c r="D309">
        <v>61130</v>
      </c>
      <c r="E309" t="s">
        <v>1718</v>
      </c>
      <c r="F309">
        <v>137.31</v>
      </c>
      <c r="G309" t="s">
        <v>4686</v>
      </c>
      <c r="H309" t="s">
        <v>4687</v>
      </c>
      <c r="I309">
        <v>25399</v>
      </c>
      <c r="J309">
        <v>51920</v>
      </c>
      <c r="K309" t="s">
        <v>1720</v>
      </c>
      <c r="L309" t="str">
        <f>SUBSTITUTE(K309,"'","")</f>
        <v>320250760866165592</v>
      </c>
      <c r="M309">
        <v>61130</v>
      </c>
    </row>
    <row r="310" spans="1:13" x14ac:dyDescent="0.4">
      <c r="A310" s="1">
        <v>45733</v>
      </c>
      <c r="B310" t="s">
        <v>4683</v>
      </c>
      <c r="C310" t="s">
        <v>5519</v>
      </c>
      <c r="D310">
        <v>61100</v>
      </c>
      <c r="E310" t="s">
        <v>4354</v>
      </c>
      <c r="F310">
        <v>433.94</v>
      </c>
      <c r="G310" t="s">
        <v>4686</v>
      </c>
      <c r="H310" t="s">
        <v>4687</v>
      </c>
      <c r="I310">
        <v>26631</v>
      </c>
      <c r="J310">
        <v>54384</v>
      </c>
      <c r="K310" t="s">
        <v>4358</v>
      </c>
      <c r="L310" t="str">
        <f>SUBSTITUTE(K310,"'","")</f>
        <v>320250760875258757</v>
      </c>
      <c r="M310">
        <v>61100</v>
      </c>
    </row>
    <row r="311" spans="1:13" x14ac:dyDescent="0.4">
      <c r="A311" s="1">
        <v>45733</v>
      </c>
      <c r="B311" t="s">
        <v>4683</v>
      </c>
      <c r="C311" t="s">
        <v>5886</v>
      </c>
      <c r="D311">
        <v>61131</v>
      </c>
      <c r="E311" t="s">
        <v>1693</v>
      </c>
      <c r="F311">
        <v>9.15</v>
      </c>
      <c r="G311" t="s">
        <v>4686</v>
      </c>
      <c r="H311" t="s">
        <v>4687</v>
      </c>
      <c r="I311">
        <v>25726</v>
      </c>
      <c r="J311">
        <v>52574</v>
      </c>
      <c r="K311" t="s">
        <v>1710</v>
      </c>
      <c r="L311" t="str">
        <f>SUBSTITUTE(K311,"'","")</f>
        <v>320250770903044864</v>
      </c>
      <c r="M311">
        <v>61131</v>
      </c>
    </row>
    <row r="312" spans="1:13" x14ac:dyDescent="0.4">
      <c r="A312" s="1">
        <v>45733</v>
      </c>
      <c r="B312" t="s">
        <v>4683</v>
      </c>
      <c r="C312" t="s">
        <v>4810</v>
      </c>
      <c r="D312">
        <v>54820</v>
      </c>
      <c r="E312" t="s">
        <v>2240</v>
      </c>
      <c r="F312">
        <v>87.46</v>
      </c>
      <c r="G312" t="s">
        <v>4686</v>
      </c>
      <c r="H312" t="s">
        <v>4687</v>
      </c>
      <c r="I312">
        <v>26126</v>
      </c>
      <c r="J312">
        <v>53374</v>
      </c>
      <c r="K312" t="s">
        <v>4360</v>
      </c>
      <c r="L312" t="str">
        <f>SUBSTITUTE(K312,"'","")</f>
        <v>320250770903125628</v>
      </c>
      <c r="M312">
        <v>54820</v>
      </c>
    </row>
    <row r="313" spans="1:13" x14ac:dyDescent="0.4">
      <c r="A313" s="1">
        <v>45733</v>
      </c>
      <c r="B313" t="s">
        <v>4683</v>
      </c>
      <c r="C313" t="s">
        <v>5887</v>
      </c>
      <c r="D313">
        <v>61131</v>
      </c>
      <c r="E313" t="s">
        <v>1711</v>
      </c>
      <c r="F313">
        <v>54.09</v>
      </c>
      <c r="G313" t="s">
        <v>4686</v>
      </c>
      <c r="H313" t="s">
        <v>4687</v>
      </c>
      <c r="I313">
        <v>25727</v>
      </c>
      <c r="J313">
        <v>52576</v>
      </c>
      <c r="K313" t="s">
        <v>1713</v>
      </c>
      <c r="L313" t="str">
        <f>SUBSTITUTE(K313,"'","")</f>
        <v>320250770903501958</v>
      </c>
      <c r="M313">
        <v>61131</v>
      </c>
    </row>
    <row r="314" spans="1:13" x14ac:dyDescent="0.4">
      <c r="A314" s="1">
        <v>45733</v>
      </c>
      <c r="B314" t="s">
        <v>4683</v>
      </c>
      <c r="C314" t="s">
        <v>4809</v>
      </c>
      <c r="D314">
        <v>54820</v>
      </c>
      <c r="E314" t="s">
        <v>1714</v>
      </c>
      <c r="F314">
        <v>22.18</v>
      </c>
      <c r="G314" t="s">
        <v>4686</v>
      </c>
      <c r="H314" t="s">
        <v>4687</v>
      </c>
      <c r="I314">
        <v>26030</v>
      </c>
      <c r="J314">
        <v>53182</v>
      </c>
      <c r="K314" t="s">
        <v>1717</v>
      </c>
      <c r="L314" t="str">
        <f>SUBSTITUTE(K314,"'","")</f>
        <v>320250770904274137</v>
      </c>
      <c r="M314">
        <v>54820</v>
      </c>
    </row>
    <row r="315" spans="1:13" x14ac:dyDescent="0.4">
      <c r="A315" s="1">
        <v>45733</v>
      </c>
      <c r="B315" t="s">
        <v>4683</v>
      </c>
      <c r="C315" t="s">
        <v>5663</v>
      </c>
      <c r="D315">
        <v>61130</v>
      </c>
      <c r="E315" t="s">
        <v>478</v>
      </c>
      <c r="F315">
        <v>48.92</v>
      </c>
      <c r="G315" t="s">
        <v>4686</v>
      </c>
      <c r="H315" t="s">
        <v>4687</v>
      </c>
      <c r="I315">
        <v>25400</v>
      </c>
      <c r="J315">
        <v>51922</v>
      </c>
      <c r="K315" t="s">
        <v>1722</v>
      </c>
      <c r="L315" t="str">
        <f>SUBSTITUTE(K315,"'","")</f>
        <v>320250770910627277</v>
      </c>
      <c r="M315">
        <v>61130</v>
      </c>
    </row>
    <row r="316" spans="1:13" x14ac:dyDescent="0.4">
      <c r="A316" s="1">
        <v>45734</v>
      </c>
      <c r="B316" t="s">
        <v>4683</v>
      </c>
      <c r="C316" t="s">
        <v>6461</v>
      </c>
      <c r="D316">
        <v>67500</v>
      </c>
      <c r="E316" t="s">
        <v>4347</v>
      </c>
      <c r="F316">
        <v>199</v>
      </c>
      <c r="G316" t="s">
        <v>4686</v>
      </c>
      <c r="H316" t="s">
        <v>4687</v>
      </c>
      <c r="I316">
        <v>26717</v>
      </c>
      <c r="J316">
        <v>54556</v>
      </c>
      <c r="K316" t="s">
        <v>4350</v>
      </c>
      <c r="L316" t="str">
        <f>SUBSTITUTE(K316,"'","")</f>
        <v>320250770891303732</v>
      </c>
      <c r="M316">
        <v>67500</v>
      </c>
    </row>
    <row r="317" spans="1:13" x14ac:dyDescent="0.4">
      <c r="A317" s="1">
        <v>45734</v>
      </c>
      <c r="B317" t="s">
        <v>4683</v>
      </c>
      <c r="C317" t="s">
        <v>4811</v>
      </c>
      <c r="D317">
        <v>54820</v>
      </c>
      <c r="E317" t="s">
        <v>4302</v>
      </c>
      <c r="F317">
        <v>78.95</v>
      </c>
      <c r="G317" t="s">
        <v>4686</v>
      </c>
      <c r="H317" t="s">
        <v>4687</v>
      </c>
      <c r="I317">
        <v>26169</v>
      </c>
      <c r="J317">
        <v>53460</v>
      </c>
      <c r="K317" t="s">
        <v>4346</v>
      </c>
      <c r="L317" t="str">
        <f>SUBSTITUTE(K317,"'","")</f>
        <v>320250770898010667</v>
      </c>
      <c r="M317">
        <v>54820</v>
      </c>
    </row>
    <row r="318" spans="1:13" x14ac:dyDescent="0.4">
      <c r="A318" s="1">
        <v>45734</v>
      </c>
      <c r="B318" t="s">
        <v>4683</v>
      </c>
      <c r="C318" t="s">
        <v>5888</v>
      </c>
      <c r="D318">
        <v>61131</v>
      </c>
      <c r="E318" t="s">
        <v>1666</v>
      </c>
      <c r="F318">
        <v>24.95</v>
      </c>
      <c r="G318" t="s">
        <v>4686</v>
      </c>
      <c r="H318" t="s">
        <v>4687</v>
      </c>
      <c r="I318">
        <v>25643</v>
      </c>
      <c r="J318">
        <v>52408</v>
      </c>
      <c r="K318" t="s">
        <v>1708</v>
      </c>
      <c r="L318" t="str">
        <f>SUBSTITUTE(K318,"'","")</f>
        <v>320250770912574530</v>
      </c>
      <c r="M318">
        <v>61131</v>
      </c>
    </row>
    <row r="319" spans="1:13" x14ac:dyDescent="0.4">
      <c r="A319" s="1">
        <v>45734</v>
      </c>
      <c r="B319" t="s">
        <v>4683</v>
      </c>
      <c r="C319" t="s">
        <v>4812</v>
      </c>
      <c r="D319">
        <v>54820</v>
      </c>
      <c r="E319" t="s">
        <v>4351</v>
      </c>
      <c r="F319">
        <v>442.4</v>
      </c>
      <c r="G319" t="s">
        <v>4686</v>
      </c>
      <c r="H319" t="s">
        <v>4687</v>
      </c>
      <c r="I319">
        <v>26632</v>
      </c>
      <c r="J319">
        <v>54386</v>
      </c>
      <c r="K319" t="s">
        <v>4353</v>
      </c>
      <c r="L319" t="str">
        <f>SUBSTITUTE(K319,"'","")</f>
        <v>320250780935481040</v>
      </c>
      <c r="M319">
        <v>54820</v>
      </c>
    </row>
    <row r="320" spans="1:13" x14ac:dyDescent="0.4">
      <c r="A320" s="1">
        <v>45735</v>
      </c>
      <c r="B320" t="s">
        <v>4683</v>
      </c>
      <c r="C320" t="s">
        <v>4814</v>
      </c>
      <c r="D320">
        <v>54820</v>
      </c>
      <c r="E320" t="s">
        <v>4336</v>
      </c>
      <c r="F320">
        <v>382.98</v>
      </c>
      <c r="G320" t="s">
        <v>4686</v>
      </c>
      <c r="H320" t="s">
        <v>4687</v>
      </c>
      <c r="I320">
        <v>26634</v>
      </c>
      <c r="J320">
        <v>54390</v>
      </c>
      <c r="K320" t="s">
        <v>4339</v>
      </c>
      <c r="L320" t="str">
        <f>SUBSTITUTE(K320,"'","")</f>
        <v>320250780921305579</v>
      </c>
      <c r="M320">
        <v>54820</v>
      </c>
    </row>
    <row r="321" spans="1:13" x14ac:dyDescent="0.4">
      <c r="A321" s="1">
        <v>45735</v>
      </c>
      <c r="B321" t="s">
        <v>4683</v>
      </c>
      <c r="C321" t="s">
        <v>4815</v>
      </c>
      <c r="D321">
        <v>54820</v>
      </c>
      <c r="E321" t="s">
        <v>4341</v>
      </c>
      <c r="F321">
        <v>33.520000000000003</v>
      </c>
      <c r="G321" t="s">
        <v>4686</v>
      </c>
      <c r="H321" t="s">
        <v>4687</v>
      </c>
      <c r="I321">
        <v>26635</v>
      </c>
      <c r="J321">
        <v>54392</v>
      </c>
      <c r="K321" t="s">
        <v>4344</v>
      </c>
      <c r="L321" t="str">
        <f>SUBSTITUTE(K321,"'","")</f>
        <v>320250790950104297</v>
      </c>
      <c r="M321">
        <v>54820</v>
      </c>
    </row>
    <row r="322" spans="1:13" x14ac:dyDescent="0.4">
      <c r="A322" s="1">
        <v>45735</v>
      </c>
      <c r="B322" t="s">
        <v>4683</v>
      </c>
      <c r="C322" t="s">
        <v>5982</v>
      </c>
      <c r="D322">
        <v>61215</v>
      </c>
      <c r="E322" t="s">
        <v>1702</v>
      </c>
      <c r="F322">
        <v>185.84</v>
      </c>
      <c r="G322" t="s">
        <v>4686</v>
      </c>
      <c r="H322" t="s">
        <v>4687</v>
      </c>
      <c r="I322">
        <v>25946</v>
      </c>
      <c r="J322">
        <v>53014</v>
      </c>
      <c r="K322" t="s">
        <v>1706</v>
      </c>
      <c r="L322" t="str">
        <f>SUBSTITUTE(K322,"'","")</f>
        <v>320250790951165932</v>
      </c>
      <c r="M322">
        <v>61215</v>
      </c>
    </row>
    <row r="323" spans="1:13" x14ac:dyDescent="0.4">
      <c r="A323" s="1">
        <v>45735</v>
      </c>
      <c r="B323" t="s">
        <v>4683</v>
      </c>
      <c r="C323" t="s">
        <v>5981</v>
      </c>
      <c r="D323">
        <v>61215</v>
      </c>
      <c r="E323" t="s">
        <v>1702</v>
      </c>
      <c r="F323">
        <v>160</v>
      </c>
      <c r="G323" t="s">
        <v>4686</v>
      </c>
      <c r="H323" t="s">
        <v>4687</v>
      </c>
      <c r="I323">
        <v>25945</v>
      </c>
      <c r="J323">
        <v>53012</v>
      </c>
      <c r="K323" t="s">
        <v>1705</v>
      </c>
      <c r="L323" t="str">
        <f>SUBSTITUTE(K323,"'","")</f>
        <v>320250790951275793</v>
      </c>
      <c r="M323">
        <v>61215</v>
      </c>
    </row>
    <row r="324" spans="1:13" x14ac:dyDescent="0.4">
      <c r="A324" s="1">
        <v>45735</v>
      </c>
      <c r="B324" t="s">
        <v>4683</v>
      </c>
      <c r="C324" t="s">
        <v>4813</v>
      </c>
      <c r="D324">
        <v>54820</v>
      </c>
      <c r="E324" t="s">
        <v>4332</v>
      </c>
      <c r="F324">
        <v>81.05</v>
      </c>
      <c r="G324" t="s">
        <v>4686</v>
      </c>
      <c r="H324" t="s">
        <v>4687</v>
      </c>
      <c r="I324">
        <v>26633</v>
      </c>
      <c r="J324">
        <v>54388</v>
      </c>
      <c r="K324" t="s">
        <v>4335</v>
      </c>
      <c r="L324" t="str">
        <f>SUBSTITUTE(K324,"'","")</f>
        <v>320250790964459038</v>
      </c>
      <c r="M324">
        <v>54820</v>
      </c>
    </row>
    <row r="325" spans="1:13" x14ac:dyDescent="0.4">
      <c r="A325" s="1">
        <v>45736</v>
      </c>
      <c r="B325" t="s">
        <v>4683</v>
      </c>
      <c r="C325" t="s">
        <v>4817</v>
      </c>
      <c r="D325">
        <v>54820</v>
      </c>
      <c r="E325" t="s">
        <v>3894</v>
      </c>
      <c r="F325">
        <v>13.9</v>
      </c>
      <c r="G325" t="s">
        <v>4686</v>
      </c>
      <c r="H325" t="s">
        <v>4687</v>
      </c>
      <c r="I325">
        <v>26525</v>
      </c>
      <c r="J325">
        <v>54172</v>
      </c>
      <c r="K325" t="s">
        <v>4331</v>
      </c>
      <c r="L325" t="str">
        <f>SUBSTITUTE(K325,"'","")</f>
        <v>320250790947099410</v>
      </c>
      <c r="M325">
        <v>54820</v>
      </c>
    </row>
    <row r="326" spans="1:13" x14ac:dyDescent="0.4">
      <c r="A326" s="1">
        <v>45736</v>
      </c>
      <c r="B326" t="s">
        <v>4683</v>
      </c>
      <c r="C326" t="s">
        <v>4816</v>
      </c>
      <c r="D326">
        <v>54820</v>
      </c>
      <c r="E326" t="s">
        <v>4325</v>
      </c>
      <c r="F326" s="5">
        <v>1300</v>
      </c>
      <c r="G326" t="s">
        <v>4686</v>
      </c>
      <c r="H326" t="s">
        <v>4687</v>
      </c>
      <c r="I326">
        <v>26114</v>
      </c>
      <c r="J326">
        <v>53350</v>
      </c>
      <c r="K326" t="s">
        <v>4329</v>
      </c>
      <c r="L326" t="str">
        <f>SUBSTITUTE(K326,"'","")</f>
        <v>320250800970370532</v>
      </c>
      <c r="M326">
        <v>54820</v>
      </c>
    </row>
    <row r="327" spans="1:13" x14ac:dyDescent="0.4">
      <c r="A327" s="1">
        <v>45736</v>
      </c>
      <c r="B327" t="s">
        <v>4683</v>
      </c>
      <c r="C327" t="s">
        <v>4818</v>
      </c>
      <c r="D327">
        <v>54820</v>
      </c>
      <c r="E327" t="s">
        <v>2554</v>
      </c>
      <c r="F327">
        <v>45.95</v>
      </c>
      <c r="G327" t="s">
        <v>4686</v>
      </c>
      <c r="H327" t="s">
        <v>4687</v>
      </c>
      <c r="I327">
        <v>26636</v>
      </c>
      <c r="J327">
        <v>54394</v>
      </c>
      <c r="K327" t="s">
        <v>4324</v>
      </c>
      <c r="L327" t="str">
        <f>SUBSTITUTE(K327,"'","")</f>
        <v>320250800981090107</v>
      </c>
      <c r="M327">
        <v>54820</v>
      </c>
    </row>
    <row r="328" spans="1:13" x14ac:dyDescent="0.4">
      <c r="A328" s="1">
        <v>45736</v>
      </c>
      <c r="B328" t="s">
        <v>4683</v>
      </c>
      <c r="C328" t="s">
        <v>5889</v>
      </c>
      <c r="D328">
        <v>61131</v>
      </c>
      <c r="E328" t="s">
        <v>1693</v>
      </c>
      <c r="F328">
        <v>9.15</v>
      </c>
      <c r="G328" t="s">
        <v>4686</v>
      </c>
      <c r="H328" t="s">
        <v>4687</v>
      </c>
      <c r="I328">
        <v>25728</v>
      </c>
      <c r="J328">
        <v>52578</v>
      </c>
      <c r="K328" t="s">
        <v>1695</v>
      </c>
      <c r="L328" t="str">
        <f>SUBSTITUTE(K328,"'","")</f>
        <v>320250800982458181</v>
      </c>
      <c r="M328">
        <v>61131</v>
      </c>
    </row>
    <row r="329" spans="1:13" x14ac:dyDescent="0.4">
      <c r="A329" s="1">
        <v>45736</v>
      </c>
      <c r="B329" t="s">
        <v>4683</v>
      </c>
      <c r="C329" t="s">
        <v>5983</v>
      </c>
      <c r="D329">
        <v>61215</v>
      </c>
      <c r="E329" t="s">
        <v>1698</v>
      </c>
      <c r="F329" s="5">
        <v>3000</v>
      </c>
      <c r="G329" t="s">
        <v>4686</v>
      </c>
      <c r="H329" t="s">
        <v>4687</v>
      </c>
      <c r="I329">
        <v>25947</v>
      </c>
      <c r="J329">
        <v>53016</v>
      </c>
      <c r="K329" t="s">
        <v>1701</v>
      </c>
      <c r="L329" t="str">
        <f>SUBSTITUTE(K329,"'","")</f>
        <v>320250800986747356</v>
      </c>
      <c r="M329">
        <v>61215</v>
      </c>
    </row>
    <row r="330" spans="1:13" x14ac:dyDescent="0.4">
      <c r="A330" s="1">
        <v>45737</v>
      </c>
      <c r="B330" t="s">
        <v>4683</v>
      </c>
      <c r="C330" t="s">
        <v>5664</v>
      </c>
      <c r="D330">
        <v>61130</v>
      </c>
      <c r="E330" t="s">
        <v>478</v>
      </c>
      <c r="F330">
        <v>30.95</v>
      </c>
      <c r="G330" t="s">
        <v>4686</v>
      </c>
      <c r="H330" t="s">
        <v>4687</v>
      </c>
      <c r="I330">
        <v>25401</v>
      </c>
      <c r="J330">
        <v>51924</v>
      </c>
      <c r="K330" t="s">
        <v>1690</v>
      </c>
      <c r="L330" t="str">
        <f>SUBSTITUTE(K330,"'","")</f>
        <v>320250800975155946</v>
      </c>
      <c r="M330">
        <v>61130</v>
      </c>
    </row>
    <row r="331" spans="1:13" x14ac:dyDescent="0.4">
      <c r="A331" s="1">
        <v>45737</v>
      </c>
      <c r="B331" t="s">
        <v>4683</v>
      </c>
      <c r="C331" t="s">
        <v>5665</v>
      </c>
      <c r="D331">
        <v>61130</v>
      </c>
      <c r="E331" t="s">
        <v>478</v>
      </c>
      <c r="F331">
        <v>125.24</v>
      </c>
      <c r="G331" t="s">
        <v>4686</v>
      </c>
      <c r="H331" t="s">
        <v>4687</v>
      </c>
      <c r="I331">
        <v>25402</v>
      </c>
      <c r="J331">
        <v>51926</v>
      </c>
      <c r="K331" t="s">
        <v>1692</v>
      </c>
      <c r="L331" t="str">
        <f>SUBSTITUTE(K331,"'","")</f>
        <v>320250800975523108</v>
      </c>
      <c r="M331">
        <v>61130</v>
      </c>
    </row>
    <row r="332" spans="1:13" x14ac:dyDescent="0.4">
      <c r="A332" s="1">
        <v>45737</v>
      </c>
      <c r="B332" t="s">
        <v>4683</v>
      </c>
      <c r="C332" t="s">
        <v>4820</v>
      </c>
      <c r="D332">
        <v>54820</v>
      </c>
      <c r="E332" t="s">
        <v>4318</v>
      </c>
      <c r="F332">
        <v>25</v>
      </c>
      <c r="G332" t="s">
        <v>4686</v>
      </c>
      <c r="H332" t="s">
        <v>4687</v>
      </c>
      <c r="I332">
        <v>26298</v>
      </c>
      <c r="J332">
        <v>53718</v>
      </c>
      <c r="K332" t="s">
        <v>4320</v>
      </c>
      <c r="L332" t="str">
        <f>SUBSTITUTE(K332,"'","")</f>
        <v>320250800983522438</v>
      </c>
      <c r="M332">
        <v>54820</v>
      </c>
    </row>
    <row r="333" spans="1:13" x14ac:dyDescent="0.4">
      <c r="A333" s="1">
        <v>45737</v>
      </c>
      <c r="B333" t="s">
        <v>4683</v>
      </c>
      <c r="C333" t="s">
        <v>6153</v>
      </c>
      <c r="D333">
        <v>64100</v>
      </c>
      <c r="E333" t="s">
        <v>4315</v>
      </c>
      <c r="F333">
        <v>15</v>
      </c>
      <c r="G333" t="s">
        <v>4686</v>
      </c>
      <c r="H333" t="s">
        <v>4687</v>
      </c>
      <c r="I333">
        <v>26660</v>
      </c>
      <c r="J333">
        <v>54442</v>
      </c>
      <c r="K333" t="s">
        <v>4317</v>
      </c>
      <c r="L333" t="str">
        <f>SUBSTITUTE(K333,"'","")</f>
        <v>320250800992428253</v>
      </c>
      <c r="M333">
        <v>64100</v>
      </c>
    </row>
    <row r="334" spans="1:13" x14ac:dyDescent="0.4">
      <c r="A334" s="1">
        <v>45737</v>
      </c>
      <c r="B334" t="s">
        <v>4683</v>
      </c>
      <c r="C334" t="s">
        <v>5984</v>
      </c>
      <c r="D334">
        <v>61215</v>
      </c>
      <c r="E334" t="s">
        <v>1684</v>
      </c>
      <c r="F334">
        <v>500</v>
      </c>
      <c r="G334" t="s">
        <v>4686</v>
      </c>
      <c r="H334" t="s">
        <v>4687</v>
      </c>
      <c r="I334">
        <v>25948</v>
      </c>
      <c r="J334">
        <v>53018</v>
      </c>
      <c r="K334" t="s">
        <v>1688</v>
      </c>
      <c r="L334" t="str">
        <f>SUBSTITUTE(K334,"'","")</f>
        <v>320250810008026490</v>
      </c>
      <c r="M334">
        <v>61215</v>
      </c>
    </row>
    <row r="335" spans="1:13" x14ac:dyDescent="0.4">
      <c r="A335" s="1">
        <v>45737</v>
      </c>
      <c r="B335" t="s">
        <v>4683</v>
      </c>
      <c r="C335" t="s">
        <v>4819</v>
      </c>
      <c r="D335">
        <v>54820</v>
      </c>
      <c r="E335" t="s">
        <v>2240</v>
      </c>
      <c r="F335">
        <v>129.77000000000001</v>
      </c>
      <c r="G335" t="s">
        <v>4686</v>
      </c>
      <c r="H335" t="s">
        <v>4687</v>
      </c>
      <c r="I335">
        <v>26127</v>
      </c>
      <c r="J335">
        <v>53376</v>
      </c>
      <c r="K335" t="s">
        <v>4322</v>
      </c>
      <c r="L335" t="str">
        <f>SUBSTITUTE(K335,"'","")</f>
        <v>320250810010059507</v>
      </c>
      <c r="M335">
        <v>54820</v>
      </c>
    </row>
    <row r="336" spans="1:13" x14ac:dyDescent="0.4">
      <c r="A336" s="1">
        <v>45738</v>
      </c>
      <c r="B336" t="s">
        <v>4683</v>
      </c>
      <c r="C336" t="s">
        <v>5666</v>
      </c>
      <c r="D336">
        <v>61130</v>
      </c>
      <c r="E336" t="s">
        <v>478</v>
      </c>
      <c r="F336">
        <v>27.76</v>
      </c>
      <c r="G336" t="s">
        <v>4686</v>
      </c>
      <c r="H336" t="s">
        <v>4687</v>
      </c>
      <c r="I336">
        <v>25403</v>
      </c>
      <c r="J336">
        <v>51928</v>
      </c>
      <c r="K336" t="s">
        <v>1683</v>
      </c>
      <c r="L336" t="str">
        <f>SUBSTITUTE(K336,"'","")</f>
        <v>320250810002548913</v>
      </c>
      <c r="M336">
        <v>61130</v>
      </c>
    </row>
    <row r="337" spans="1:13" x14ac:dyDescent="0.4">
      <c r="A337" s="1">
        <v>45738</v>
      </c>
      <c r="B337" t="s">
        <v>4683</v>
      </c>
      <c r="C337" t="s">
        <v>6154</v>
      </c>
      <c r="D337">
        <v>64100</v>
      </c>
      <c r="E337" t="s">
        <v>32</v>
      </c>
      <c r="F337">
        <v>21.4</v>
      </c>
      <c r="G337" t="s">
        <v>4686</v>
      </c>
      <c r="H337" t="s">
        <v>4687</v>
      </c>
      <c r="I337">
        <v>25561</v>
      </c>
      <c r="J337">
        <v>52244</v>
      </c>
      <c r="K337" t="s">
        <v>1681</v>
      </c>
      <c r="L337" t="str">
        <f>SUBSTITUTE(K337,"'","")</f>
        <v>320250810003803403</v>
      </c>
      <c r="M337">
        <v>64100</v>
      </c>
    </row>
    <row r="338" spans="1:13" x14ac:dyDescent="0.4">
      <c r="A338" s="1">
        <v>45739</v>
      </c>
      <c r="B338" t="s">
        <v>4683</v>
      </c>
      <c r="C338" t="s">
        <v>5890</v>
      </c>
      <c r="D338">
        <v>61131</v>
      </c>
      <c r="E338" t="s">
        <v>1677</v>
      </c>
      <c r="F338">
        <v>38.340000000000003</v>
      </c>
      <c r="G338" t="s">
        <v>4686</v>
      </c>
      <c r="H338" t="s">
        <v>4687</v>
      </c>
      <c r="I338">
        <v>25729</v>
      </c>
      <c r="J338">
        <v>52580</v>
      </c>
      <c r="K338" t="s">
        <v>1679</v>
      </c>
      <c r="L338" t="str">
        <f>SUBSTITUTE(K338,"'","")</f>
        <v>320250830063300817</v>
      </c>
      <c r="M338">
        <v>61131</v>
      </c>
    </row>
    <row r="339" spans="1:13" x14ac:dyDescent="0.4">
      <c r="A339" s="1">
        <v>45740</v>
      </c>
      <c r="B339" t="s">
        <v>4683</v>
      </c>
      <c r="C339" t="s">
        <v>6155</v>
      </c>
      <c r="D339">
        <v>64100</v>
      </c>
      <c r="E339" t="s">
        <v>153</v>
      </c>
      <c r="F339">
        <v>19.95</v>
      </c>
      <c r="G339" t="s">
        <v>4686</v>
      </c>
      <c r="H339" t="s">
        <v>4687</v>
      </c>
      <c r="I339">
        <v>25587</v>
      </c>
      <c r="J339">
        <v>52296</v>
      </c>
      <c r="K339" t="s">
        <v>1676</v>
      </c>
      <c r="L339" t="str">
        <f>SUBSTITUTE(K339,"'","")</f>
        <v>320250830064290865</v>
      </c>
      <c r="M339">
        <v>64100</v>
      </c>
    </row>
    <row r="340" spans="1:13" x14ac:dyDescent="0.4">
      <c r="A340" s="1">
        <v>45740</v>
      </c>
      <c r="B340" t="s">
        <v>4683</v>
      </c>
      <c r="C340" t="s">
        <v>5985</v>
      </c>
      <c r="D340">
        <v>61215</v>
      </c>
      <c r="E340" t="s">
        <v>1412</v>
      </c>
      <c r="F340">
        <v>700</v>
      </c>
      <c r="G340" t="s">
        <v>4686</v>
      </c>
      <c r="H340" t="s">
        <v>4687</v>
      </c>
      <c r="I340">
        <v>25949</v>
      </c>
      <c r="J340">
        <v>53020</v>
      </c>
      <c r="K340" t="s">
        <v>1672</v>
      </c>
      <c r="L340" t="str">
        <f>SUBSTITUTE(K340,"'","")</f>
        <v>320250840076241303</v>
      </c>
      <c r="M340">
        <v>61215</v>
      </c>
    </row>
    <row r="341" spans="1:13" x14ac:dyDescent="0.4">
      <c r="A341" s="1">
        <v>45740</v>
      </c>
      <c r="B341" t="s">
        <v>4683</v>
      </c>
      <c r="C341" t="s">
        <v>4821</v>
      </c>
      <c r="D341">
        <v>54820</v>
      </c>
      <c r="E341" t="s">
        <v>3151</v>
      </c>
      <c r="F341">
        <v>37.020000000000003</v>
      </c>
      <c r="G341" t="s">
        <v>4686</v>
      </c>
      <c r="H341" t="s">
        <v>4687</v>
      </c>
      <c r="I341">
        <v>26190</v>
      </c>
      <c r="J341">
        <v>53502</v>
      </c>
      <c r="K341" t="s">
        <v>4312</v>
      </c>
      <c r="L341" t="str">
        <f>SUBSTITUTE(K341,"'","")</f>
        <v>320250840086754063</v>
      </c>
      <c r="M341">
        <v>54820</v>
      </c>
    </row>
    <row r="342" spans="1:13" x14ac:dyDescent="0.4">
      <c r="A342" s="1">
        <v>45740</v>
      </c>
      <c r="B342" t="s">
        <v>4683</v>
      </c>
      <c r="C342" t="s">
        <v>4822</v>
      </c>
      <c r="D342">
        <v>54820</v>
      </c>
      <c r="E342" t="s">
        <v>2085</v>
      </c>
      <c r="F342">
        <v>19.38</v>
      </c>
      <c r="G342" t="s">
        <v>4686</v>
      </c>
      <c r="H342" t="s">
        <v>4687</v>
      </c>
      <c r="I342">
        <v>26637</v>
      </c>
      <c r="J342">
        <v>54396</v>
      </c>
      <c r="K342" t="s">
        <v>4314</v>
      </c>
      <c r="L342" t="str">
        <f>SUBSTITUTE(K342,"'","")</f>
        <v>320250840091984652</v>
      </c>
      <c r="M342">
        <v>54820</v>
      </c>
    </row>
    <row r="343" spans="1:13" x14ac:dyDescent="0.4">
      <c r="A343" s="1">
        <v>45740</v>
      </c>
      <c r="B343" t="s">
        <v>4683</v>
      </c>
      <c r="C343" t="s">
        <v>5891</v>
      </c>
      <c r="D343">
        <v>61131</v>
      </c>
      <c r="E343" t="s">
        <v>38</v>
      </c>
      <c r="F343">
        <v>742.18</v>
      </c>
      <c r="G343" t="s">
        <v>4686</v>
      </c>
      <c r="H343" t="s">
        <v>4687</v>
      </c>
      <c r="I343">
        <v>25628</v>
      </c>
      <c r="J343">
        <v>52378</v>
      </c>
      <c r="K343" t="s">
        <v>1674</v>
      </c>
      <c r="L343" t="str">
        <f>SUBSTITUTE(K343,"'","")</f>
        <v>320250840095495254</v>
      </c>
      <c r="M343">
        <v>61131</v>
      </c>
    </row>
    <row r="344" spans="1:13" x14ac:dyDescent="0.4">
      <c r="A344" s="1">
        <v>45741</v>
      </c>
      <c r="B344" t="s">
        <v>4683</v>
      </c>
      <c r="C344" t="s">
        <v>6391</v>
      </c>
      <c r="D344">
        <v>65505</v>
      </c>
      <c r="E344" t="s">
        <v>1606</v>
      </c>
      <c r="F344" s="5">
        <v>5000</v>
      </c>
      <c r="G344" t="s">
        <v>4686</v>
      </c>
      <c r="H344" t="s">
        <v>4687</v>
      </c>
      <c r="I344">
        <v>26517</v>
      </c>
      <c r="J344">
        <v>54156</v>
      </c>
      <c r="K344" t="s">
        <v>4308</v>
      </c>
      <c r="L344" t="str">
        <f>SUBSTITUTE(K344,"'","")</f>
        <v>320250840078007070</v>
      </c>
      <c r="M344">
        <v>65505</v>
      </c>
    </row>
    <row r="345" spans="1:13" x14ac:dyDescent="0.4">
      <c r="A345" s="1">
        <v>45741</v>
      </c>
      <c r="B345" t="s">
        <v>4683</v>
      </c>
      <c r="C345" t="s">
        <v>5667</v>
      </c>
      <c r="D345">
        <v>61130</v>
      </c>
      <c r="E345" t="s">
        <v>478</v>
      </c>
      <c r="F345">
        <v>48.7</v>
      </c>
      <c r="G345" t="s">
        <v>4686</v>
      </c>
      <c r="H345" t="s">
        <v>4687</v>
      </c>
      <c r="I345">
        <v>25404</v>
      </c>
      <c r="J345">
        <v>51930</v>
      </c>
      <c r="K345" t="s">
        <v>1670</v>
      </c>
      <c r="L345" t="str">
        <f>SUBSTITUTE(K345,"'","")</f>
        <v>320250840081626600</v>
      </c>
      <c r="M345">
        <v>61130</v>
      </c>
    </row>
    <row r="346" spans="1:13" x14ac:dyDescent="0.4">
      <c r="A346" s="1">
        <v>45741</v>
      </c>
      <c r="B346" t="s">
        <v>4683</v>
      </c>
      <c r="C346" t="s">
        <v>4823</v>
      </c>
      <c r="D346">
        <v>54820</v>
      </c>
      <c r="E346" t="s">
        <v>4302</v>
      </c>
      <c r="F346">
        <v>78.95</v>
      </c>
      <c r="G346" t="s">
        <v>4686</v>
      </c>
      <c r="H346" t="s">
        <v>4687</v>
      </c>
      <c r="I346">
        <v>26170</v>
      </c>
      <c r="J346">
        <v>53462</v>
      </c>
      <c r="K346" t="s">
        <v>4306</v>
      </c>
      <c r="L346" t="str">
        <f>SUBSTITUTE(K346,"'","")</f>
        <v>320250840083397476</v>
      </c>
      <c r="M346">
        <v>54820</v>
      </c>
    </row>
    <row r="347" spans="1:13" x14ac:dyDescent="0.4">
      <c r="A347" s="1">
        <v>45741</v>
      </c>
      <c r="B347" t="s">
        <v>4683</v>
      </c>
      <c r="C347" t="s">
        <v>4824</v>
      </c>
      <c r="D347">
        <v>54820</v>
      </c>
      <c r="E347" t="s">
        <v>2158</v>
      </c>
      <c r="F347">
        <v>200</v>
      </c>
      <c r="G347" t="s">
        <v>4686</v>
      </c>
      <c r="H347" t="s">
        <v>4687</v>
      </c>
      <c r="I347">
        <v>26179</v>
      </c>
      <c r="J347">
        <v>53480</v>
      </c>
      <c r="K347" t="s">
        <v>4310</v>
      </c>
      <c r="L347" t="str">
        <f>SUBSTITUTE(K347,"'","")</f>
        <v>320250860148129528</v>
      </c>
      <c r="M347">
        <v>54820</v>
      </c>
    </row>
    <row r="348" spans="1:13" x14ac:dyDescent="0.4">
      <c r="A348" s="1">
        <v>45742</v>
      </c>
      <c r="B348" t="s">
        <v>4683</v>
      </c>
      <c r="C348" t="s">
        <v>4825</v>
      </c>
      <c r="D348">
        <v>54820</v>
      </c>
      <c r="E348" t="s">
        <v>1663</v>
      </c>
      <c r="F348">
        <v>10.99</v>
      </c>
      <c r="G348" t="s">
        <v>4686</v>
      </c>
      <c r="H348" t="s">
        <v>4687</v>
      </c>
      <c r="I348">
        <v>25699</v>
      </c>
      <c r="J348">
        <v>52520</v>
      </c>
      <c r="K348" t="s">
        <v>1665</v>
      </c>
      <c r="L348" t="str">
        <f>SUBSTITUTE(K348,"'","")</f>
        <v>320250850102565319</v>
      </c>
      <c r="M348">
        <v>54820</v>
      </c>
    </row>
    <row r="349" spans="1:13" x14ac:dyDescent="0.4">
      <c r="A349" s="1">
        <v>45742</v>
      </c>
      <c r="B349" t="s">
        <v>4683</v>
      </c>
      <c r="C349" t="s">
        <v>5892</v>
      </c>
      <c r="D349">
        <v>61131</v>
      </c>
      <c r="E349" t="s">
        <v>1666</v>
      </c>
      <c r="F349">
        <v>24.95</v>
      </c>
      <c r="G349" t="s">
        <v>4686</v>
      </c>
      <c r="H349" t="s">
        <v>4687</v>
      </c>
      <c r="I349">
        <v>25644</v>
      </c>
      <c r="J349">
        <v>52410</v>
      </c>
      <c r="K349" t="s">
        <v>1668</v>
      </c>
      <c r="L349" t="str">
        <f>SUBSTITUTE(K349,"'","")</f>
        <v>320250850121743045</v>
      </c>
      <c r="M349">
        <v>61131</v>
      </c>
    </row>
    <row r="350" spans="1:13" x14ac:dyDescent="0.4">
      <c r="A350" s="1">
        <v>45742</v>
      </c>
      <c r="B350" t="s">
        <v>4683</v>
      </c>
      <c r="C350" t="s">
        <v>6156</v>
      </c>
      <c r="D350">
        <v>64100</v>
      </c>
      <c r="E350" t="s">
        <v>1792</v>
      </c>
      <c r="F350">
        <v>16.05</v>
      </c>
      <c r="G350" t="s">
        <v>4686</v>
      </c>
      <c r="H350" t="s">
        <v>4687</v>
      </c>
      <c r="I350">
        <v>26408</v>
      </c>
      <c r="J350">
        <v>53938</v>
      </c>
      <c r="K350" t="s">
        <v>4301</v>
      </c>
      <c r="L350" t="str">
        <f>SUBSTITUTE(K350,"'","")</f>
        <v>320250860147753912</v>
      </c>
      <c r="M350">
        <v>64100</v>
      </c>
    </row>
    <row r="351" spans="1:13" x14ac:dyDescent="0.4">
      <c r="A351" s="1">
        <v>45743</v>
      </c>
      <c r="B351" t="s">
        <v>4683</v>
      </c>
      <c r="C351" t="s">
        <v>5520</v>
      </c>
      <c r="D351">
        <v>61100</v>
      </c>
      <c r="E351" t="s">
        <v>4293</v>
      </c>
      <c r="F351" s="5">
        <v>5665</v>
      </c>
      <c r="G351" t="s">
        <v>4686</v>
      </c>
      <c r="H351" t="s">
        <v>4687</v>
      </c>
      <c r="I351">
        <v>26518</v>
      </c>
      <c r="J351">
        <v>54158</v>
      </c>
      <c r="K351" t="s">
        <v>4298</v>
      </c>
      <c r="L351" t="str">
        <f>SUBSTITUTE(K351,"'","")</f>
        <v>320250860130426590</v>
      </c>
      <c r="M351">
        <v>61100</v>
      </c>
    </row>
    <row r="352" spans="1:13" x14ac:dyDescent="0.4">
      <c r="A352" s="1">
        <v>45743</v>
      </c>
      <c r="B352" t="s">
        <v>4683</v>
      </c>
      <c r="C352" t="s">
        <v>6462</v>
      </c>
      <c r="D352">
        <v>67500</v>
      </c>
      <c r="E352" t="s">
        <v>885</v>
      </c>
      <c r="F352">
        <v>114.66</v>
      </c>
      <c r="G352" t="s">
        <v>4686</v>
      </c>
      <c r="H352" t="s">
        <v>4687</v>
      </c>
      <c r="I352">
        <v>25869</v>
      </c>
      <c r="J352">
        <v>52860</v>
      </c>
      <c r="K352" t="s">
        <v>1658</v>
      </c>
      <c r="L352" t="str">
        <f>SUBSTITUTE(K352,"'","")</f>
        <v>320250860134341505</v>
      </c>
      <c r="M352">
        <v>67500</v>
      </c>
    </row>
    <row r="353" spans="1:13" x14ac:dyDescent="0.4">
      <c r="A353" s="1">
        <v>45743</v>
      </c>
      <c r="B353" t="s">
        <v>4683</v>
      </c>
      <c r="C353" t="s">
        <v>5669</v>
      </c>
      <c r="D353">
        <v>61130</v>
      </c>
      <c r="E353" t="s">
        <v>478</v>
      </c>
      <c r="F353">
        <v>43.71</v>
      </c>
      <c r="G353" t="s">
        <v>4686</v>
      </c>
      <c r="H353" t="s">
        <v>4687</v>
      </c>
      <c r="I353">
        <v>25406</v>
      </c>
      <c r="J353">
        <v>51934</v>
      </c>
      <c r="K353" t="s">
        <v>1662</v>
      </c>
      <c r="L353" t="str">
        <f>SUBSTITUTE(K353,"'","")</f>
        <v>320250860134637428</v>
      </c>
      <c r="M353">
        <v>61130</v>
      </c>
    </row>
    <row r="354" spans="1:13" x14ac:dyDescent="0.4">
      <c r="A354" s="1">
        <v>45743</v>
      </c>
      <c r="B354" t="s">
        <v>4683</v>
      </c>
      <c r="C354" t="s">
        <v>5668</v>
      </c>
      <c r="D354">
        <v>61130</v>
      </c>
      <c r="E354" t="s">
        <v>478</v>
      </c>
      <c r="F354">
        <v>6.28</v>
      </c>
      <c r="G354" t="s">
        <v>4686</v>
      </c>
      <c r="H354" t="s">
        <v>4687</v>
      </c>
      <c r="I354">
        <v>25405</v>
      </c>
      <c r="J354">
        <v>51932</v>
      </c>
      <c r="K354" t="s">
        <v>1660</v>
      </c>
      <c r="L354" t="str">
        <f>SUBSTITUTE(K354,"'","")</f>
        <v>320250860134655585</v>
      </c>
      <c r="M354">
        <v>61130</v>
      </c>
    </row>
    <row r="355" spans="1:13" x14ac:dyDescent="0.4">
      <c r="A355" s="1">
        <v>45744</v>
      </c>
      <c r="B355" t="s">
        <v>4683</v>
      </c>
      <c r="C355" t="s">
        <v>6055</v>
      </c>
      <c r="D355">
        <v>63100</v>
      </c>
      <c r="E355" t="s">
        <v>260</v>
      </c>
      <c r="F355">
        <v>47.8</v>
      </c>
      <c r="G355" t="s">
        <v>4686</v>
      </c>
      <c r="H355" t="s">
        <v>4687</v>
      </c>
      <c r="I355">
        <v>25692</v>
      </c>
      <c r="J355">
        <v>52506</v>
      </c>
      <c r="K355" t="s">
        <v>1652</v>
      </c>
      <c r="L355" t="str">
        <f>SUBSTITUTE(K355,"'","")</f>
        <v>320250880192391983</v>
      </c>
      <c r="M355">
        <v>63100</v>
      </c>
    </row>
    <row r="356" spans="1:13" x14ac:dyDescent="0.4">
      <c r="A356" s="1">
        <v>45744</v>
      </c>
      <c r="B356" t="s">
        <v>4683</v>
      </c>
      <c r="C356" t="s">
        <v>5986</v>
      </c>
      <c r="D356">
        <v>61215</v>
      </c>
      <c r="E356" t="s">
        <v>175</v>
      </c>
      <c r="F356">
        <v>630</v>
      </c>
      <c r="G356" t="s">
        <v>4686</v>
      </c>
      <c r="H356" t="s">
        <v>4687</v>
      </c>
      <c r="I356">
        <v>25950</v>
      </c>
      <c r="J356">
        <v>53022</v>
      </c>
      <c r="K356" t="s">
        <v>1656</v>
      </c>
      <c r="L356" t="str">
        <f>SUBSTITUTE(K356,"'","")</f>
        <v>320250880195783857</v>
      </c>
      <c r="M356">
        <v>61215</v>
      </c>
    </row>
    <row r="357" spans="1:13" x14ac:dyDescent="0.4">
      <c r="A357" s="1">
        <v>45744</v>
      </c>
      <c r="B357" t="s">
        <v>4683</v>
      </c>
      <c r="C357" t="s">
        <v>6373</v>
      </c>
      <c r="D357">
        <v>64200</v>
      </c>
      <c r="E357" t="s">
        <v>222</v>
      </c>
      <c r="F357" s="5">
        <v>3055.5</v>
      </c>
      <c r="G357" t="s">
        <v>4686</v>
      </c>
      <c r="H357" t="s">
        <v>4687</v>
      </c>
      <c r="I357">
        <v>25859</v>
      </c>
      <c r="J357">
        <v>52840</v>
      </c>
      <c r="K357" t="s">
        <v>1654</v>
      </c>
      <c r="L357" t="str">
        <f>SUBSTITUTE(K357,"'","")</f>
        <v>320250880201737196</v>
      </c>
      <c r="M357">
        <v>64200</v>
      </c>
    </row>
    <row r="358" spans="1:13" x14ac:dyDescent="0.4">
      <c r="A358" s="1">
        <v>45746</v>
      </c>
      <c r="B358" t="s">
        <v>4683</v>
      </c>
      <c r="C358" t="s">
        <v>5893</v>
      </c>
      <c r="D358">
        <v>61131</v>
      </c>
      <c r="E358" t="s">
        <v>1643</v>
      </c>
      <c r="F358">
        <v>56.85</v>
      </c>
      <c r="G358" t="s">
        <v>4686</v>
      </c>
      <c r="H358" t="s">
        <v>4687</v>
      </c>
      <c r="I358">
        <v>25730</v>
      </c>
      <c r="J358">
        <v>52582</v>
      </c>
      <c r="K358" t="s">
        <v>1645</v>
      </c>
      <c r="L358" t="str">
        <f>SUBSTITUTE(K358,"'","")</f>
        <v>320250900244764601</v>
      </c>
      <c r="M358">
        <v>61131</v>
      </c>
    </row>
    <row r="359" spans="1:13" x14ac:dyDescent="0.4">
      <c r="A359" s="1">
        <v>45746</v>
      </c>
      <c r="B359" t="s">
        <v>4683</v>
      </c>
      <c r="C359" t="s">
        <v>4826</v>
      </c>
      <c r="D359">
        <v>54820</v>
      </c>
      <c r="E359" t="s">
        <v>2240</v>
      </c>
      <c r="F359">
        <v>48.4</v>
      </c>
      <c r="G359" t="s">
        <v>4686</v>
      </c>
      <c r="H359" t="s">
        <v>4687</v>
      </c>
      <c r="I359">
        <v>26128</v>
      </c>
      <c r="J359">
        <v>53378</v>
      </c>
      <c r="K359" t="s">
        <v>4292</v>
      </c>
      <c r="L359" t="str">
        <f>SUBSTITUTE(K359,"'","")</f>
        <v>320250900247296955</v>
      </c>
      <c r="M359">
        <v>54820</v>
      </c>
    </row>
    <row r="360" spans="1:13" x14ac:dyDescent="0.4">
      <c r="A360" s="1">
        <v>45746</v>
      </c>
      <c r="B360" t="s">
        <v>4683</v>
      </c>
      <c r="C360" t="s">
        <v>4827</v>
      </c>
      <c r="D360">
        <v>54820</v>
      </c>
      <c r="E360" t="s">
        <v>977</v>
      </c>
      <c r="F360">
        <v>20</v>
      </c>
      <c r="G360" t="s">
        <v>4686</v>
      </c>
      <c r="H360" t="s">
        <v>4687</v>
      </c>
      <c r="I360">
        <v>26461</v>
      </c>
      <c r="J360">
        <v>54044</v>
      </c>
      <c r="K360" t="s">
        <v>4290</v>
      </c>
      <c r="L360" t="str">
        <f>SUBSTITUTE(K360,"'","")</f>
        <v>320250900251983662</v>
      </c>
      <c r="M360">
        <v>54820</v>
      </c>
    </row>
    <row r="361" spans="1:13" x14ac:dyDescent="0.4">
      <c r="A361" s="1">
        <v>45746</v>
      </c>
      <c r="B361" t="s">
        <v>4683</v>
      </c>
      <c r="C361" t="s">
        <v>6392</v>
      </c>
      <c r="D361">
        <v>65505</v>
      </c>
      <c r="E361" t="s">
        <v>1646</v>
      </c>
      <c r="F361">
        <v>200</v>
      </c>
      <c r="G361" t="s">
        <v>4686</v>
      </c>
      <c r="H361" t="s">
        <v>4687</v>
      </c>
      <c r="I361">
        <v>26032</v>
      </c>
      <c r="J361">
        <v>53186</v>
      </c>
      <c r="K361" t="s">
        <v>1650</v>
      </c>
      <c r="L361" t="str">
        <f>SUBSTITUTE(K361,"'","")</f>
        <v>320250900256258924</v>
      </c>
      <c r="M361">
        <v>65505</v>
      </c>
    </row>
    <row r="362" spans="1:13" x14ac:dyDescent="0.4">
      <c r="A362" s="1">
        <v>45747</v>
      </c>
      <c r="B362" t="s">
        <v>4683</v>
      </c>
      <c r="C362" t="s">
        <v>6463</v>
      </c>
      <c r="D362">
        <v>67500</v>
      </c>
      <c r="E362" t="s">
        <v>1638</v>
      </c>
      <c r="F362">
        <v>646</v>
      </c>
      <c r="G362" t="s">
        <v>4686</v>
      </c>
      <c r="H362" t="s">
        <v>4687</v>
      </c>
      <c r="I362">
        <v>26051</v>
      </c>
      <c r="J362">
        <v>53224</v>
      </c>
      <c r="K362" t="s">
        <v>1642</v>
      </c>
      <c r="L362" t="str">
        <f>SUBSTITUTE(K362,"'","")</f>
        <v>320250900236651796</v>
      </c>
      <c r="M362">
        <v>67500</v>
      </c>
    </row>
    <row r="363" spans="1:13" x14ac:dyDescent="0.4">
      <c r="A363" s="1">
        <v>45747</v>
      </c>
      <c r="B363" t="s">
        <v>4683</v>
      </c>
      <c r="C363" t="s">
        <v>4828</v>
      </c>
      <c r="D363">
        <v>54820</v>
      </c>
      <c r="E363" t="s">
        <v>2142</v>
      </c>
      <c r="F363">
        <v>27.6</v>
      </c>
      <c r="G363" t="s">
        <v>4686</v>
      </c>
      <c r="H363" t="s">
        <v>4687</v>
      </c>
      <c r="I363">
        <v>26587</v>
      </c>
      <c r="J363">
        <v>54296</v>
      </c>
      <c r="K363" t="s">
        <v>4288</v>
      </c>
      <c r="L363" t="str">
        <f>SUBSTITUTE(K363,"'","")</f>
        <v>320250910272030762</v>
      </c>
      <c r="M363">
        <v>54820</v>
      </c>
    </row>
    <row r="364" spans="1:13" x14ac:dyDescent="0.4">
      <c r="A364" s="1">
        <v>45747</v>
      </c>
      <c r="B364" t="s">
        <v>4683</v>
      </c>
      <c r="C364" t="s">
        <v>5894</v>
      </c>
      <c r="D364">
        <v>61131</v>
      </c>
      <c r="E364" t="s">
        <v>38</v>
      </c>
      <c r="F364">
        <v>951.77</v>
      </c>
      <c r="G364" t="s">
        <v>4686</v>
      </c>
      <c r="H364" t="s">
        <v>4687</v>
      </c>
      <c r="I364">
        <v>25629</v>
      </c>
      <c r="J364">
        <v>52380</v>
      </c>
      <c r="K364" t="s">
        <v>1637</v>
      </c>
      <c r="L364" t="str">
        <f>SUBSTITUTE(K364,"'","")</f>
        <v>320250910278337529</v>
      </c>
      <c r="M364">
        <v>61131</v>
      </c>
    </row>
    <row r="365" spans="1:13" x14ac:dyDescent="0.4">
      <c r="A365" s="1">
        <v>45748</v>
      </c>
      <c r="B365" t="s">
        <v>4683</v>
      </c>
      <c r="C365" t="s">
        <v>6361</v>
      </c>
      <c r="D365">
        <v>64101</v>
      </c>
      <c r="E365" t="s">
        <v>2429</v>
      </c>
      <c r="F365" s="5">
        <v>1603.36</v>
      </c>
      <c r="G365" t="s">
        <v>4686</v>
      </c>
      <c r="H365" t="s">
        <v>4687</v>
      </c>
      <c r="I365">
        <v>26386</v>
      </c>
      <c r="J365">
        <v>53894</v>
      </c>
      <c r="K365" t="s">
        <v>4284</v>
      </c>
      <c r="L365" t="str">
        <f>SUBSTITUTE(K365,"'","")</f>
        <v>320250910261487408</v>
      </c>
      <c r="M365">
        <v>64101</v>
      </c>
    </row>
    <row r="366" spans="1:13" x14ac:dyDescent="0.4">
      <c r="A366" s="1">
        <v>45748</v>
      </c>
      <c r="B366" t="s">
        <v>4683</v>
      </c>
      <c r="C366" t="s">
        <v>6418</v>
      </c>
      <c r="D366">
        <v>65700</v>
      </c>
      <c r="E366" t="s">
        <v>234</v>
      </c>
      <c r="F366">
        <v>223.91</v>
      </c>
      <c r="G366" t="s">
        <v>4686</v>
      </c>
      <c r="H366" t="s">
        <v>4687</v>
      </c>
      <c r="I366">
        <v>25813</v>
      </c>
      <c r="J366">
        <v>52748</v>
      </c>
      <c r="K366" t="s">
        <v>1635</v>
      </c>
      <c r="L366" t="str">
        <f>SUBSTITUTE(K366,"'","")</f>
        <v>320250910274095399</v>
      </c>
      <c r="M366">
        <v>65700</v>
      </c>
    </row>
    <row r="367" spans="1:13" x14ac:dyDescent="0.4">
      <c r="A367" s="1">
        <v>45748</v>
      </c>
      <c r="B367" t="s">
        <v>4683</v>
      </c>
      <c r="C367" t="s">
        <v>4829</v>
      </c>
      <c r="D367">
        <v>54820</v>
      </c>
      <c r="E367" t="s">
        <v>140</v>
      </c>
      <c r="F367">
        <v>38.65</v>
      </c>
      <c r="G367" t="s">
        <v>4686</v>
      </c>
      <c r="H367" t="s">
        <v>4687</v>
      </c>
      <c r="I367">
        <v>25700</v>
      </c>
      <c r="J367">
        <v>52522</v>
      </c>
      <c r="K367" t="s">
        <v>1631</v>
      </c>
      <c r="L367" t="str">
        <f>SUBSTITUTE(K367,"'","")</f>
        <v>320250910285598257</v>
      </c>
      <c r="M367">
        <v>54820</v>
      </c>
    </row>
    <row r="368" spans="1:13" x14ac:dyDescent="0.4">
      <c r="A368" s="1">
        <v>45748</v>
      </c>
      <c r="B368" t="s">
        <v>4683</v>
      </c>
      <c r="C368" t="s">
        <v>4831</v>
      </c>
      <c r="D368">
        <v>54820</v>
      </c>
      <c r="E368" t="s">
        <v>2934</v>
      </c>
      <c r="F368">
        <v>12.92</v>
      </c>
      <c r="G368" t="s">
        <v>4686</v>
      </c>
      <c r="H368" t="s">
        <v>4687</v>
      </c>
      <c r="I368">
        <v>26540</v>
      </c>
      <c r="J368">
        <v>54202</v>
      </c>
      <c r="K368" t="s">
        <v>4286</v>
      </c>
      <c r="L368" t="str">
        <f>SUBSTITUTE(K368,"'","")</f>
        <v>320250920295852683</v>
      </c>
      <c r="M368">
        <v>54820</v>
      </c>
    </row>
    <row r="369" spans="1:13" x14ac:dyDescent="0.4">
      <c r="A369" s="1">
        <v>45748</v>
      </c>
      <c r="B369" t="s">
        <v>4683</v>
      </c>
      <c r="C369" t="s">
        <v>4830</v>
      </c>
      <c r="D369">
        <v>54820</v>
      </c>
      <c r="E369" t="s">
        <v>140</v>
      </c>
      <c r="F369">
        <v>491.67</v>
      </c>
      <c r="G369" t="s">
        <v>4686</v>
      </c>
      <c r="H369" t="s">
        <v>4687</v>
      </c>
      <c r="I369">
        <v>25701</v>
      </c>
      <c r="J369">
        <v>52524</v>
      </c>
      <c r="K369" t="s">
        <v>1633</v>
      </c>
      <c r="L369" t="str">
        <f>SUBSTITUTE(K369,"'","")</f>
        <v>320250940356773844</v>
      </c>
      <c r="M369">
        <v>54820</v>
      </c>
    </row>
    <row r="370" spans="1:13" x14ac:dyDescent="0.4">
      <c r="A370" s="1">
        <v>45749</v>
      </c>
      <c r="B370" t="s">
        <v>4683</v>
      </c>
      <c r="C370" t="s">
        <v>5670</v>
      </c>
      <c r="D370">
        <v>61130</v>
      </c>
      <c r="E370" t="s">
        <v>478</v>
      </c>
      <c r="F370">
        <v>31.78</v>
      </c>
      <c r="G370" t="s">
        <v>4686</v>
      </c>
      <c r="H370" t="s">
        <v>4687</v>
      </c>
      <c r="I370">
        <v>25407</v>
      </c>
      <c r="J370">
        <v>51936</v>
      </c>
      <c r="K370" t="s">
        <v>1629</v>
      </c>
      <c r="L370" t="str">
        <f>SUBSTITUTE(K370,"'","")</f>
        <v>320250920295842654</v>
      </c>
      <c r="M370">
        <v>61130</v>
      </c>
    </row>
    <row r="371" spans="1:13" x14ac:dyDescent="0.4">
      <c r="A371" s="1">
        <v>45749</v>
      </c>
      <c r="B371" t="s">
        <v>4683</v>
      </c>
      <c r="C371" t="s">
        <v>6522</v>
      </c>
      <c r="D371">
        <v>80100</v>
      </c>
      <c r="E371" t="s">
        <v>4281</v>
      </c>
      <c r="F371">
        <v>39</v>
      </c>
      <c r="G371" t="s">
        <v>4686</v>
      </c>
      <c r="H371" t="s">
        <v>4687</v>
      </c>
      <c r="I371">
        <v>26907</v>
      </c>
      <c r="J371">
        <v>54936</v>
      </c>
      <c r="K371" t="s">
        <v>4282</v>
      </c>
      <c r="L371" t="str">
        <f>SUBSTITUTE(K371,"'","")</f>
        <v>320250923315338028</v>
      </c>
      <c r="M371">
        <v>80100</v>
      </c>
    </row>
    <row r="372" spans="1:13" x14ac:dyDescent="0.4">
      <c r="A372" s="1">
        <v>45749</v>
      </c>
      <c r="B372" t="s">
        <v>4683</v>
      </c>
      <c r="C372" t="s">
        <v>5987</v>
      </c>
      <c r="D372">
        <v>61215</v>
      </c>
      <c r="E372" t="s">
        <v>948</v>
      </c>
      <c r="F372">
        <v>830</v>
      </c>
      <c r="G372" t="s">
        <v>4686</v>
      </c>
      <c r="H372" t="s">
        <v>4687</v>
      </c>
      <c r="I372">
        <v>25951</v>
      </c>
      <c r="J372">
        <v>53024</v>
      </c>
      <c r="K372" t="s">
        <v>1623</v>
      </c>
      <c r="L372" t="str">
        <f>SUBSTITUTE(K372,"'","")</f>
        <v>320250930323315653</v>
      </c>
      <c r="M372">
        <v>61215</v>
      </c>
    </row>
    <row r="373" spans="1:13" x14ac:dyDescent="0.4">
      <c r="A373" s="1">
        <v>45749</v>
      </c>
      <c r="B373" t="s">
        <v>4683</v>
      </c>
      <c r="C373" t="s">
        <v>5988</v>
      </c>
      <c r="D373">
        <v>61215</v>
      </c>
      <c r="E373" t="s">
        <v>999</v>
      </c>
      <c r="F373">
        <v>300</v>
      </c>
      <c r="G373" t="s">
        <v>4686</v>
      </c>
      <c r="H373" t="s">
        <v>4687</v>
      </c>
      <c r="I373">
        <v>25952</v>
      </c>
      <c r="J373">
        <v>53026</v>
      </c>
      <c r="K373" t="s">
        <v>1625</v>
      </c>
      <c r="L373" t="str">
        <f>SUBSTITUTE(K373,"'","")</f>
        <v>320250930323374788</v>
      </c>
      <c r="M373">
        <v>61215</v>
      </c>
    </row>
    <row r="374" spans="1:13" x14ac:dyDescent="0.4">
      <c r="A374" s="1">
        <v>45749</v>
      </c>
      <c r="B374" t="s">
        <v>4683</v>
      </c>
      <c r="C374" t="s">
        <v>6374</v>
      </c>
      <c r="D374">
        <v>64200</v>
      </c>
      <c r="E374" t="s">
        <v>222</v>
      </c>
      <c r="F374">
        <v>79</v>
      </c>
      <c r="G374" t="s">
        <v>4686</v>
      </c>
      <c r="H374" t="s">
        <v>4687</v>
      </c>
      <c r="I374">
        <v>25860</v>
      </c>
      <c r="J374">
        <v>52842</v>
      </c>
      <c r="K374" t="s">
        <v>1627</v>
      </c>
      <c r="L374" t="str">
        <f>SUBSTITUTE(K374,"'","")</f>
        <v>320250930335692274</v>
      </c>
      <c r="M374">
        <v>64200</v>
      </c>
    </row>
    <row r="375" spans="1:13" x14ac:dyDescent="0.4">
      <c r="A375" s="1">
        <v>45750</v>
      </c>
      <c r="B375" t="s">
        <v>4683</v>
      </c>
      <c r="C375" t="s">
        <v>4834</v>
      </c>
      <c r="D375">
        <v>54820</v>
      </c>
      <c r="E375" t="s">
        <v>2393</v>
      </c>
      <c r="F375">
        <v>9.9499999999999993</v>
      </c>
      <c r="G375" t="s">
        <v>4686</v>
      </c>
      <c r="H375" t="s">
        <v>4687</v>
      </c>
      <c r="I375">
        <v>26931</v>
      </c>
      <c r="J375">
        <v>54984</v>
      </c>
      <c r="K375" t="s">
        <v>4274</v>
      </c>
      <c r="L375" t="str">
        <f>SUBSTITUTE(K375,"'","")</f>
        <v>320250930320767992</v>
      </c>
      <c r="M375">
        <v>54820</v>
      </c>
    </row>
    <row r="376" spans="1:13" x14ac:dyDescent="0.4">
      <c r="A376" s="1">
        <v>45750</v>
      </c>
      <c r="B376" t="s">
        <v>4683</v>
      </c>
      <c r="C376" t="s">
        <v>4833</v>
      </c>
      <c r="D376">
        <v>54820</v>
      </c>
      <c r="E376" t="s">
        <v>4277</v>
      </c>
      <c r="F376">
        <v>42.79</v>
      </c>
      <c r="G376" t="s">
        <v>4686</v>
      </c>
      <c r="H376" t="s">
        <v>4687</v>
      </c>
      <c r="I376">
        <v>26639</v>
      </c>
      <c r="J376">
        <v>54400</v>
      </c>
      <c r="K376" t="s">
        <v>4280</v>
      </c>
      <c r="L376" t="str">
        <f>SUBSTITUTE(K376,"'","")</f>
        <v>320250930321616936</v>
      </c>
      <c r="M376">
        <v>54820</v>
      </c>
    </row>
    <row r="377" spans="1:13" x14ac:dyDescent="0.4">
      <c r="A377" s="1">
        <v>45750</v>
      </c>
      <c r="B377" t="s">
        <v>4683</v>
      </c>
      <c r="C377" t="s">
        <v>5671</v>
      </c>
      <c r="D377">
        <v>61130</v>
      </c>
      <c r="E377" t="s">
        <v>478</v>
      </c>
      <c r="F377">
        <v>18.23</v>
      </c>
      <c r="G377" t="s">
        <v>4686</v>
      </c>
      <c r="H377" t="s">
        <v>4687</v>
      </c>
      <c r="I377">
        <v>25408</v>
      </c>
      <c r="J377">
        <v>51938</v>
      </c>
      <c r="K377" t="s">
        <v>1619</v>
      </c>
      <c r="L377" t="str">
        <f>SUBSTITUTE(K377,"'","")</f>
        <v>320250930324221348</v>
      </c>
      <c r="M377">
        <v>61130</v>
      </c>
    </row>
    <row r="378" spans="1:13" x14ac:dyDescent="0.4">
      <c r="A378" s="1">
        <v>45750</v>
      </c>
      <c r="B378" t="s">
        <v>4683</v>
      </c>
      <c r="C378" t="s">
        <v>5672</v>
      </c>
      <c r="D378">
        <v>61130</v>
      </c>
      <c r="E378" t="s">
        <v>478</v>
      </c>
      <c r="F378">
        <v>32.32</v>
      </c>
      <c r="G378" t="s">
        <v>4686</v>
      </c>
      <c r="H378" t="s">
        <v>4687</v>
      </c>
      <c r="I378">
        <v>25409</v>
      </c>
      <c r="J378">
        <v>51940</v>
      </c>
      <c r="K378" t="s">
        <v>1621</v>
      </c>
      <c r="L378" t="str">
        <f>SUBSTITUTE(K378,"'","")</f>
        <v>320250930324594676</v>
      </c>
      <c r="M378">
        <v>61130</v>
      </c>
    </row>
    <row r="379" spans="1:13" x14ac:dyDescent="0.4">
      <c r="A379" s="1">
        <v>45750</v>
      </c>
      <c r="B379" t="s">
        <v>4683</v>
      </c>
      <c r="C379" t="s">
        <v>6157</v>
      </c>
      <c r="D379">
        <v>64100</v>
      </c>
      <c r="E379" t="s">
        <v>153</v>
      </c>
      <c r="F379">
        <v>25.84</v>
      </c>
      <c r="G379" t="s">
        <v>4686</v>
      </c>
      <c r="H379" t="s">
        <v>4687</v>
      </c>
      <c r="I379">
        <v>25588</v>
      </c>
      <c r="J379">
        <v>52298</v>
      </c>
      <c r="K379" t="s">
        <v>1611</v>
      </c>
      <c r="L379" t="str">
        <f>SUBSTITUTE(K379,"'","")</f>
        <v>320250930337493460</v>
      </c>
      <c r="M379">
        <v>64100</v>
      </c>
    </row>
    <row r="380" spans="1:13" x14ac:dyDescent="0.4">
      <c r="A380" s="1">
        <v>45750</v>
      </c>
      <c r="B380" t="s">
        <v>4683</v>
      </c>
      <c r="C380" t="s">
        <v>6393</v>
      </c>
      <c r="D380">
        <v>65505</v>
      </c>
      <c r="E380" t="s">
        <v>1606</v>
      </c>
      <c r="F380" s="5">
        <v>1393.76</v>
      </c>
      <c r="G380" t="s">
        <v>4686</v>
      </c>
      <c r="H380" t="s">
        <v>4687</v>
      </c>
      <c r="I380">
        <v>26034</v>
      </c>
      <c r="J380">
        <v>53190</v>
      </c>
      <c r="K380" t="s">
        <v>1609</v>
      </c>
      <c r="L380" t="str">
        <f>SUBSTITUTE(K380,"'","")</f>
        <v>320250940348950793</v>
      </c>
      <c r="M380">
        <v>65505</v>
      </c>
    </row>
    <row r="381" spans="1:13" x14ac:dyDescent="0.4">
      <c r="A381" s="1">
        <v>45750</v>
      </c>
      <c r="B381" t="s">
        <v>4683</v>
      </c>
      <c r="C381" t="s">
        <v>6464</v>
      </c>
      <c r="D381">
        <v>67500</v>
      </c>
      <c r="E381" t="s">
        <v>2400</v>
      </c>
      <c r="F381">
        <v>21.39</v>
      </c>
      <c r="G381" t="s">
        <v>4686</v>
      </c>
      <c r="H381" t="s">
        <v>4687</v>
      </c>
      <c r="I381">
        <v>26279</v>
      </c>
      <c r="J381">
        <v>53680</v>
      </c>
      <c r="K381" t="s">
        <v>4275</v>
      </c>
      <c r="L381" t="str">
        <f>SUBSTITUTE(K381,"'","")</f>
        <v>320250940355659040</v>
      </c>
      <c r="M381">
        <v>67500</v>
      </c>
    </row>
    <row r="382" spans="1:13" x14ac:dyDescent="0.4">
      <c r="A382" s="1">
        <v>45750</v>
      </c>
      <c r="B382" t="s">
        <v>4683</v>
      </c>
      <c r="C382" t="s">
        <v>4832</v>
      </c>
      <c r="D382">
        <v>54820</v>
      </c>
      <c r="E382" t="s">
        <v>2764</v>
      </c>
      <c r="F382">
        <v>23.52</v>
      </c>
      <c r="G382" t="s">
        <v>4686</v>
      </c>
      <c r="H382" t="s">
        <v>4687</v>
      </c>
      <c r="I382">
        <v>26638</v>
      </c>
      <c r="J382">
        <v>54398</v>
      </c>
      <c r="K382" t="s">
        <v>4272</v>
      </c>
      <c r="L382" t="str">
        <f>SUBSTITUTE(K382,"'","")</f>
        <v>320250940363491314</v>
      </c>
      <c r="M382">
        <v>54820</v>
      </c>
    </row>
    <row r="383" spans="1:13" x14ac:dyDescent="0.4">
      <c r="A383" s="1">
        <v>45750</v>
      </c>
      <c r="B383" t="s">
        <v>4683</v>
      </c>
      <c r="C383" t="s">
        <v>5521</v>
      </c>
      <c r="D383">
        <v>61100</v>
      </c>
      <c r="E383" t="s">
        <v>1613</v>
      </c>
      <c r="F383">
        <v>928.2</v>
      </c>
      <c r="G383" t="s">
        <v>4686</v>
      </c>
      <c r="H383" t="s">
        <v>4687</v>
      </c>
      <c r="I383">
        <v>26103</v>
      </c>
      <c r="J383">
        <v>53328</v>
      </c>
      <c r="K383" t="s">
        <v>1617</v>
      </c>
      <c r="L383" t="str">
        <f>SUBSTITUTE(K383,"'","")</f>
        <v>320250950394861597</v>
      </c>
      <c r="M383">
        <v>61100</v>
      </c>
    </row>
    <row r="384" spans="1:13" x14ac:dyDescent="0.4">
      <c r="A384" s="1">
        <v>45751</v>
      </c>
      <c r="B384" t="s">
        <v>4683</v>
      </c>
      <c r="C384" t="s">
        <v>6465</v>
      </c>
      <c r="D384">
        <v>67500</v>
      </c>
      <c r="E384" t="s">
        <v>885</v>
      </c>
      <c r="F384">
        <v>28.96</v>
      </c>
      <c r="G384" t="s">
        <v>4686</v>
      </c>
      <c r="H384" t="s">
        <v>4687</v>
      </c>
      <c r="I384">
        <v>25870</v>
      </c>
      <c r="J384">
        <v>52862</v>
      </c>
      <c r="K384" t="s">
        <v>1601</v>
      </c>
      <c r="L384" t="str">
        <f>SUBSTITUTE(K384,"'","")</f>
        <v>320250940348776869</v>
      </c>
      <c r="M384">
        <v>67500</v>
      </c>
    </row>
    <row r="385" spans="1:13" x14ac:dyDescent="0.4">
      <c r="A385" s="1">
        <v>45751</v>
      </c>
      <c r="B385" t="s">
        <v>4683</v>
      </c>
      <c r="C385" t="s">
        <v>4835</v>
      </c>
      <c r="D385">
        <v>54820</v>
      </c>
      <c r="E385" t="s">
        <v>196</v>
      </c>
      <c r="F385">
        <v>7.99</v>
      </c>
      <c r="G385" t="s">
        <v>4686</v>
      </c>
      <c r="H385" t="s">
        <v>4687</v>
      </c>
      <c r="I385">
        <v>25880</v>
      </c>
      <c r="J385">
        <v>52882</v>
      </c>
      <c r="K385" t="s">
        <v>1595</v>
      </c>
      <c r="L385" t="str">
        <f>SUBSTITUTE(K385,"'","")</f>
        <v>320250940350400481</v>
      </c>
      <c r="M385">
        <v>54820</v>
      </c>
    </row>
    <row r="386" spans="1:13" x14ac:dyDescent="0.4">
      <c r="A386" s="1">
        <v>45751</v>
      </c>
      <c r="B386" t="s">
        <v>4683</v>
      </c>
      <c r="C386" t="s">
        <v>6158</v>
      </c>
      <c r="D386">
        <v>64100</v>
      </c>
      <c r="E386" t="s">
        <v>153</v>
      </c>
      <c r="F386">
        <v>25.84</v>
      </c>
      <c r="G386" t="s">
        <v>4686</v>
      </c>
      <c r="H386" t="s">
        <v>4687</v>
      </c>
      <c r="I386">
        <v>25589</v>
      </c>
      <c r="J386">
        <v>52300</v>
      </c>
      <c r="K386" t="s">
        <v>1594</v>
      </c>
      <c r="L386" t="str">
        <f>SUBSTITUTE(K386,"'","")</f>
        <v>320250940362440265</v>
      </c>
      <c r="M386">
        <v>64100</v>
      </c>
    </row>
    <row r="387" spans="1:13" x14ac:dyDescent="0.4">
      <c r="A387" s="1">
        <v>45751</v>
      </c>
      <c r="B387" t="s">
        <v>4683</v>
      </c>
      <c r="C387" t="s">
        <v>6161</v>
      </c>
      <c r="D387">
        <v>64100</v>
      </c>
      <c r="E387" t="s">
        <v>165</v>
      </c>
      <c r="F387">
        <v>32.28</v>
      </c>
      <c r="G387" t="s">
        <v>4686</v>
      </c>
      <c r="H387" t="s">
        <v>4687</v>
      </c>
      <c r="I387">
        <v>26213</v>
      </c>
      <c r="J387">
        <v>53548</v>
      </c>
      <c r="K387" t="s">
        <v>4260</v>
      </c>
      <c r="L387" t="str">
        <f>SUBSTITUTE(K387,"'","")</f>
        <v>320250940367023463</v>
      </c>
      <c r="M387">
        <v>64100</v>
      </c>
    </row>
    <row r="388" spans="1:13" x14ac:dyDescent="0.4">
      <c r="A388" s="1">
        <v>45751</v>
      </c>
      <c r="B388" t="s">
        <v>4683</v>
      </c>
      <c r="C388" t="s">
        <v>6159</v>
      </c>
      <c r="D388">
        <v>64100</v>
      </c>
      <c r="E388" t="s">
        <v>165</v>
      </c>
      <c r="F388">
        <v>21.4</v>
      </c>
      <c r="G388" t="s">
        <v>4686</v>
      </c>
      <c r="H388" t="s">
        <v>4687</v>
      </c>
      <c r="I388">
        <v>26211</v>
      </c>
      <c r="J388">
        <v>53544</v>
      </c>
      <c r="K388" t="s">
        <v>4256</v>
      </c>
      <c r="L388" t="str">
        <f>SUBSTITUTE(K388,"'","")</f>
        <v>320250940367028361</v>
      </c>
      <c r="M388">
        <v>64100</v>
      </c>
    </row>
    <row r="389" spans="1:13" x14ac:dyDescent="0.4">
      <c r="A389" s="1">
        <v>45751</v>
      </c>
      <c r="B389" t="s">
        <v>4683</v>
      </c>
      <c r="C389" t="s">
        <v>6160</v>
      </c>
      <c r="D389">
        <v>64100</v>
      </c>
      <c r="E389" t="s">
        <v>165</v>
      </c>
      <c r="F389">
        <v>32.07</v>
      </c>
      <c r="G389" t="s">
        <v>4686</v>
      </c>
      <c r="H389" t="s">
        <v>4687</v>
      </c>
      <c r="I389">
        <v>26212</v>
      </c>
      <c r="J389">
        <v>53546</v>
      </c>
      <c r="K389" t="s">
        <v>4258</v>
      </c>
      <c r="L389" t="str">
        <f>SUBSTITUTE(K389,"'","")</f>
        <v>320250940367029806</v>
      </c>
      <c r="M389">
        <v>64100</v>
      </c>
    </row>
    <row r="390" spans="1:13" x14ac:dyDescent="0.4">
      <c r="A390" s="1">
        <v>45751</v>
      </c>
      <c r="B390" t="s">
        <v>4683</v>
      </c>
      <c r="C390" t="s">
        <v>6162</v>
      </c>
      <c r="D390">
        <v>64100</v>
      </c>
      <c r="E390" t="s">
        <v>165</v>
      </c>
      <c r="F390">
        <v>59.92</v>
      </c>
      <c r="G390" t="s">
        <v>4686</v>
      </c>
      <c r="H390" t="s">
        <v>4687</v>
      </c>
      <c r="I390">
        <v>26214</v>
      </c>
      <c r="J390">
        <v>53550</v>
      </c>
      <c r="K390" t="s">
        <v>4262</v>
      </c>
      <c r="L390" t="str">
        <f>SUBSTITUTE(K390,"'","")</f>
        <v>320250940367031022</v>
      </c>
      <c r="M390">
        <v>64100</v>
      </c>
    </row>
    <row r="391" spans="1:13" x14ac:dyDescent="0.4">
      <c r="A391" s="1">
        <v>45751</v>
      </c>
      <c r="B391" t="s">
        <v>4683</v>
      </c>
      <c r="C391" t="s">
        <v>6164</v>
      </c>
      <c r="D391">
        <v>64100</v>
      </c>
      <c r="E391" t="s">
        <v>2390</v>
      </c>
      <c r="F391">
        <v>21.4</v>
      </c>
      <c r="G391" t="s">
        <v>4686</v>
      </c>
      <c r="H391" t="s">
        <v>4687</v>
      </c>
      <c r="I391">
        <v>26700</v>
      </c>
      <c r="J391">
        <v>54522</v>
      </c>
      <c r="K391" t="s">
        <v>4266</v>
      </c>
      <c r="L391" t="str">
        <f>SUBSTITUTE(K391,"'","")</f>
        <v>320250940367059293</v>
      </c>
      <c r="M391">
        <v>64100</v>
      </c>
    </row>
    <row r="392" spans="1:13" x14ac:dyDescent="0.4">
      <c r="A392" s="1">
        <v>45751</v>
      </c>
      <c r="B392" t="s">
        <v>4683</v>
      </c>
      <c r="C392" t="s">
        <v>6163</v>
      </c>
      <c r="D392">
        <v>64100</v>
      </c>
      <c r="E392" t="s">
        <v>165</v>
      </c>
      <c r="F392">
        <v>289.06</v>
      </c>
      <c r="G392" t="s">
        <v>4686</v>
      </c>
      <c r="H392" t="s">
        <v>4687</v>
      </c>
      <c r="I392">
        <v>26215</v>
      </c>
      <c r="J392">
        <v>53552</v>
      </c>
      <c r="K392" t="s">
        <v>4264</v>
      </c>
      <c r="L392" t="str">
        <f>SUBSTITUTE(K392,"'","")</f>
        <v>320250940367070159</v>
      </c>
      <c r="M392">
        <v>64100</v>
      </c>
    </row>
    <row r="393" spans="1:13" x14ac:dyDescent="0.4">
      <c r="A393" s="1">
        <v>45751</v>
      </c>
      <c r="B393" t="s">
        <v>4683</v>
      </c>
      <c r="C393" t="s">
        <v>5674</v>
      </c>
      <c r="D393">
        <v>61130</v>
      </c>
      <c r="E393" t="s">
        <v>478</v>
      </c>
      <c r="F393">
        <v>36.590000000000003</v>
      </c>
      <c r="G393" t="s">
        <v>4686</v>
      </c>
      <c r="H393" t="s">
        <v>4687</v>
      </c>
      <c r="I393">
        <v>25411</v>
      </c>
      <c r="J393">
        <v>51944</v>
      </c>
      <c r="K393" t="s">
        <v>1605</v>
      </c>
      <c r="L393" t="str">
        <f>SUBSTITUTE(K393,"'","")</f>
        <v>320250950378707772</v>
      </c>
      <c r="M393">
        <v>61130</v>
      </c>
    </row>
    <row r="394" spans="1:13" x14ac:dyDescent="0.4">
      <c r="A394" s="1">
        <v>45751</v>
      </c>
      <c r="B394" t="s">
        <v>4683</v>
      </c>
      <c r="C394" t="s">
        <v>5673</v>
      </c>
      <c r="D394">
        <v>61130</v>
      </c>
      <c r="E394" t="s">
        <v>478</v>
      </c>
      <c r="F394">
        <v>31.42</v>
      </c>
      <c r="G394" t="s">
        <v>4686</v>
      </c>
      <c r="H394" t="s">
        <v>4687</v>
      </c>
      <c r="I394">
        <v>25410</v>
      </c>
      <c r="J394">
        <v>51942</v>
      </c>
      <c r="K394" t="s">
        <v>1603</v>
      </c>
      <c r="L394" t="str">
        <f>SUBSTITUTE(K394,"'","")</f>
        <v>320250950378748548</v>
      </c>
      <c r="M394">
        <v>61130</v>
      </c>
    </row>
    <row r="395" spans="1:13" x14ac:dyDescent="0.4">
      <c r="A395" s="1">
        <v>45751</v>
      </c>
      <c r="B395" t="s">
        <v>4683</v>
      </c>
      <c r="C395" t="s">
        <v>5989</v>
      </c>
      <c r="D395">
        <v>61215</v>
      </c>
      <c r="E395" t="s">
        <v>1596</v>
      </c>
      <c r="F395">
        <v>660</v>
      </c>
      <c r="G395" t="s">
        <v>4686</v>
      </c>
      <c r="H395" t="s">
        <v>4687</v>
      </c>
      <c r="I395">
        <v>25953</v>
      </c>
      <c r="J395">
        <v>53028</v>
      </c>
      <c r="K395" t="s">
        <v>1599</v>
      </c>
      <c r="L395" t="str">
        <f>SUBSTITUTE(K395,"'","")</f>
        <v>320250950386082172</v>
      </c>
      <c r="M395">
        <v>61215</v>
      </c>
    </row>
    <row r="396" spans="1:13" x14ac:dyDescent="0.4">
      <c r="A396" s="1">
        <v>45751</v>
      </c>
      <c r="B396" t="s">
        <v>4683</v>
      </c>
      <c r="C396" t="s">
        <v>6466</v>
      </c>
      <c r="D396">
        <v>67500</v>
      </c>
      <c r="E396" t="s">
        <v>2146</v>
      </c>
      <c r="F396">
        <v>41.72</v>
      </c>
      <c r="G396" t="s">
        <v>4686</v>
      </c>
      <c r="H396" t="s">
        <v>4687</v>
      </c>
      <c r="I396">
        <v>26431</v>
      </c>
      <c r="J396">
        <v>53984</v>
      </c>
      <c r="K396" t="s">
        <v>4268</v>
      </c>
      <c r="L396" t="str">
        <f>SUBSTITUTE(K396,"'","")</f>
        <v>320250950391320064</v>
      </c>
      <c r="M396">
        <v>67500</v>
      </c>
    </row>
    <row r="397" spans="1:13" x14ac:dyDescent="0.4">
      <c r="A397" s="1">
        <v>45751</v>
      </c>
      <c r="B397" t="s">
        <v>4683</v>
      </c>
      <c r="C397" t="s">
        <v>6419</v>
      </c>
      <c r="D397">
        <v>65700</v>
      </c>
      <c r="E397" t="s">
        <v>2340</v>
      </c>
      <c r="F397">
        <v>16.87</v>
      </c>
      <c r="G397" t="s">
        <v>4686</v>
      </c>
      <c r="H397" t="s">
        <v>4687</v>
      </c>
      <c r="I397">
        <v>26418</v>
      </c>
      <c r="J397">
        <v>53958</v>
      </c>
      <c r="K397" t="s">
        <v>4270</v>
      </c>
      <c r="L397" t="str">
        <f>SUBSTITUTE(K397,"'","")</f>
        <v>320250950395010982</v>
      </c>
      <c r="M397">
        <v>65700</v>
      </c>
    </row>
    <row r="398" spans="1:13" x14ac:dyDescent="0.4">
      <c r="A398" s="1">
        <v>45752</v>
      </c>
      <c r="B398" t="s">
        <v>4683</v>
      </c>
      <c r="C398" t="s">
        <v>6165</v>
      </c>
      <c r="D398">
        <v>64100</v>
      </c>
      <c r="E398" t="s">
        <v>517</v>
      </c>
      <c r="F398">
        <v>4</v>
      </c>
      <c r="G398" t="s">
        <v>4686</v>
      </c>
      <c r="H398" t="s">
        <v>4687</v>
      </c>
      <c r="I398">
        <v>25656</v>
      </c>
      <c r="J398">
        <v>52434</v>
      </c>
      <c r="K398" t="s">
        <v>1577</v>
      </c>
      <c r="L398" t="str">
        <f>SUBSTITUTE(K398,"'","")</f>
        <v>320250950373609206</v>
      </c>
      <c r="M398">
        <v>64100</v>
      </c>
    </row>
    <row r="399" spans="1:13" x14ac:dyDescent="0.4">
      <c r="A399" s="1">
        <v>45752</v>
      </c>
      <c r="B399" t="s">
        <v>4683</v>
      </c>
      <c r="C399" t="s">
        <v>5991</v>
      </c>
      <c r="D399">
        <v>61215</v>
      </c>
      <c r="E399" t="s">
        <v>1583</v>
      </c>
      <c r="F399">
        <v>200</v>
      </c>
      <c r="G399" t="s">
        <v>4686</v>
      </c>
      <c r="H399" t="s">
        <v>4687</v>
      </c>
      <c r="I399">
        <v>25955</v>
      </c>
      <c r="J399">
        <v>53032</v>
      </c>
      <c r="K399" t="s">
        <v>1586</v>
      </c>
      <c r="L399" t="str">
        <f>SUBSTITUTE(K399,"'","")</f>
        <v>320250950374677019</v>
      </c>
      <c r="M399">
        <v>61215</v>
      </c>
    </row>
    <row r="400" spans="1:13" x14ac:dyDescent="0.4">
      <c r="A400" s="1">
        <v>45752</v>
      </c>
      <c r="B400" t="s">
        <v>4683</v>
      </c>
      <c r="C400" t="s">
        <v>4837</v>
      </c>
      <c r="D400">
        <v>54820</v>
      </c>
      <c r="E400" t="s">
        <v>4249</v>
      </c>
      <c r="F400">
        <v>30.47</v>
      </c>
      <c r="G400" t="s">
        <v>4686</v>
      </c>
      <c r="H400" t="s">
        <v>4687</v>
      </c>
      <c r="I400">
        <v>26932</v>
      </c>
      <c r="J400">
        <v>54986</v>
      </c>
      <c r="K400" t="s">
        <v>4254</v>
      </c>
      <c r="L400" t="str">
        <f>SUBSTITUTE(K400,"'","")</f>
        <v>320250950386512316</v>
      </c>
      <c r="M400">
        <v>54820</v>
      </c>
    </row>
    <row r="401" spans="1:13" x14ac:dyDescent="0.4">
      <c r="A401" s="1">
        <v>45752</v>
      </c>
      <c r="B401" t="s">
        <v>4683</v>
      </c>
      <c r="C401" t="s">
        <v>5992</v>
      </c>
      <c r="D401">
        <v>61215</v>
      </c>
      <c r="E401" t="s">
        <v>1587</v>
      </c>
      <c r="F401">
        <v>310</v>
      </c>
      <c r="G401" t="s">
        <v>4686</v>
      </c>
      <c r="H401" t="s">
        <v>4687</v>
      </c>
      <c r="I401">
        <v>25956</v>
      </c>
      <c r="J401">
        <v>53034</v>
      </c>
      <c r="K401" t="s">
        <v>1590</v>
      </c>
      <c r="L401" t="str">
        <f>SUBSTITUTE(K401,"'","")</f>
        <v>320250960399796957</v>
      </c>
      <c r="M401">
        <v>61215</v>
      </c>
    </row>
    <row r="402" spans="1:13" x14ac:dyDescent="0.4">
      <c r="A402" s="1">
        <v>45752</v>
      </c>
      <c r="B402" t="s">
        <v>4683</v>
      </c>
      <c r="C402" t="s">
        <v>5675</v>
      </c>
      <c r="D402">
        <v>61130</v>
      </c>
      <c r="E402" t="s">
        <v>478</v>
      </c>
      <c r="F402">
        <v>256.77</v>
      </c>
      <c r="G402" t="s">
        <v>4686</v>
      </c>
      <c r="H402" t="s">
        <v>4687</v>
      </c>
      <c r="I402">
        <v>25412</v>
      </c>
      <c r="J402">
        <v>51946</v>
      </c>
      <c r="K402" t="s">
        <v>1592</v>
      </c>
      <c r="L402" t="str">
        <f>SUBSTITUTE(K402,"'","")</f>
        <v>320250960402785876</v>
      </c>
      <c r="M402">
        <v>61130</v>
      </c>
    </row>
    <row r="403" spans="1:13" x14ac:dyDescent="0.4">
      <c r="A403" s="1">
        <v>45752</v>
      </c>
      <c r="B403" t="s">
        <v>4683</v>
      </c>
      <c r="C403" t="s">
        <v>5990</v>
      </c>
      <c r="D403">
        <v>61215</v>
      </c>
      <c r="E403" t="s">
        <v>1499</v>
      </c>
      <c r="F403">
        <v>15.24</v>
      </c>
      <c r="G403" t="s">
        <v>4686</v>
      </c>
      <c r="H403" t="s">
        <v>4687</v>
      </c>
      <c r="I403">
        <v>25954</v>
      </c>
      <c r="J403">
        <v>53030</v>
      </c>
      <c r="K403" t="s">
        <v>1582</v>
      </c>
      <c r="L403" t="str">
        <f>SUBSTITUTE(K403,"'","")</f>
        <v>320250960405034779</v>
      </c>
      <c r="M403">
        <v>61215</v>
      </c>
    </row>
    <row r="404" spans="1:13" x14ac:dyDescent="0.4">
      <c r="A404" s="1">
        <v>45752</v>
      </c>
      <c r="B404" t="s">
        <v>4683</v>
      </c>
      <c r="C404" t="s">
        <v>4836</v>
      </c>
      <c r="D404">
        <v>54820</v>
      </c>
      <c r="E404" t="s">
        <v>1578</v>
      </c>
      <c r="F404">
        <v>16.86</v>
      </c>
      <c r="G404" t="s">
        <v>4686</v>
      </c>
      <c r="H404" t="s">
        <v>4687</v>
      </c>
      <c r="I404">
        <v>26076</v>
      </c>
      <c r="J404">
        <v>53274</v>
      </c>
      <c r="K404" t="s">
        <v>1580</v>
      </c>
      <c r="L404" t="str">
        <f>SUBSTITUTE(K404,"'","")</f>
        <v>320250960411950682</v>
      </c>
      <c r="M404">
        <v>54820</v>
      </c>
    </row>
    <row r="405" spans="1:13" x14ac:dyDescent="0.4">
      <c r="A405" s="1">
        <v>45753</v>
      </c>
      <c r="B405" t="s">
        <v>4683</v>
      </c>
      <c r="C405" t="s">
        <v>4838</v>
      </c>
      <c r="D405">
        <v>54820</v>
      </c>
      <c r="E405" t="s">
        <v>2217</v>
      </c>
      <c r="F405">
        <v>11.33</v>
      </c>
      <c r="G405" t="s">
        <v>4686</v>
      </c>
      <c r="H405" t="s">
        <v>4687</v>
      </c>
      <c r="I405">
        <v>26263</v>
      </c>
      <c r="J405">
        <v>53648</v>
      </c>
      <c r="K405" t="s">
        <v>4246</v>
      </c>
      <c r="L405" t="str">
        <f>SUBSTITUTE(K405,"'","")</f>
        <v>320250960400141199</v>
      </c>
      <c r="M405">
        <v>54820</v>
      </c>
    </row>
    <row r="406" spans="1:13" x14ac:dyDescent="0.4">
      <c r="A406" s="1">
        <v>45753</v>
      </c>
      <c r="B406" t="s">
        <v>4683</v>
      </c>
      <c r="C406" t="s">
        <v>4841</v>
      </c>
      <c r="D406">
        <v>54820</v>
      </c>
      <c r="E406" t="s">
        <v>4236</v>
      </c>
      <c r="F406">
        <v>8.11</v>
      </c>
      <c r="G406" t="s">
        <v>4686</v>
      </c>
      <c r="H406" t="s">
        <v>4687</v>
      </c>
      <c r="I406">
        <v>26640</v>
      </c>
      <c r="J406">
        <v>54402</v>
      </c>
      <c r="K406" t="s">
        <v>4239</v>
      </c>
      <c r="L406" t="str">
        <f>SUBSTITUTE(K406,"'","")</f>
        <v>320250960402344041</v>
      </c>
      <c r="M406">
        <v>54820</v>
      </c>
    </row>
    <row r="407" spans="1:13" x14ac:dyDescent="0.4">
      <c r="A407" s="1">
        <v>45753</v>
      </c>
      <c r="B407" t="s">
        <v>4683</v>
      </c>
      <c r="C407" t="s">
        <v>5676</v>
      </c>
      <c r="D407">
        <v>61130</v>
      </c>
      <c r="E407" t="s">
        <v>478</v>
      </c>
      <c r="F407">
        <v>23.03</v>
      </c>
      <c r="G407" t="s">
        <v>4686</v>
      </c>
      <c r="H407" t="s">
        <v>4687</v>
      </c>
      <c r="I407">
        <v>25413</v>
      </c>
      <c r="J407">
        <v>51948</v>
      </c>
      <c r="K407" t="s">
        <v>1572</v>
      </c>
      <c r="L407" t="str">
        <f>SUBSTITUTE(K407,"'","")</f>
        <v>320250960403286084</v>
      </c>
      <c r="M407">
        <v>61130</v>
      </c>
    </row>
    <row r="408" spans="1:13" x14ac:dyDescent="0.4">
      <c r="A408" s="1">
        <v>45753</v>
      </c>
      <c r="B408" t="s">
        <v>4683</v>
      </c>
      <c r="C408" t="s">
        <v>6420</v>
      </c>
      <c r="D408">
        <v>65700</v>
      </c>
      <c r="E408" t="s">
        <v>2354</v>
      </c>
      <c r="F408">
        <v>109.99</v>
      </c>
      <c r="G408" t="s">
        <v>4686</v>
      </c>
      <c r="H408" t="s">
        <v>4687</v>
      </c>
      <c r="I408">
        <v>26288</v>
      </c>
      <c r="J408">
        <v>53698</v>
      </c>
      <c r="K408" t="s">
        <v>4248</v>
      </c>
      <c r="L408" t="str">
        <f>SUBSTITUTE(K408,"'","")</f>
        <v>320250960405240270</v>
      </c>
      <c r="M408">
        <v>65700</v>
      </c>
    </row>
    <row r="409" spans="1:13" x14ac:dyDescent="0.4">
      <c r="A409" s="1">
        <v>45753</v>
      </c>
      <c r="B409" t="s">
        <v>4683</v>
      </c>
      <c r="C409" t="s">
        <v>4839</v>
      </c>
      <c r="D409">
        <v>54820</v>
      </c>
      <c r="E409" t="s">
        <v>4240</v>
      </c>
      <c r="F409">
        <v>26.86</v>
      </c>
      <c r="G409" t="s">
        <v>4686</v>
      </c>
      <c r="H409" t="s">
        <v>4687</v>
      </c>
      <c r="I409">
        <v>26299</v>
      </c>
      <c r="J409">
        <v>53720</v>
      </c>
      <c r="K409" t="s">
        <v>4242</v>
      </c>
      <c r="L409" t="str">
        <f>SUBSTITUTE(K409,"'","")</f>
        <v>320250960406289962</v>
      </c>
      <c r="M409">
        <v>54820</v>
      </c>
    </row>
    <row r="410" spans="1:13" x14ac:dyDescent="0.4">
      <c r="A410" s="1">
        <v>45753</v>
      </c>
      <c r="B410" t="s">
        <v>4683</v>
      </c>
      <c r="C410" t="s">
        <v>5677</v>
      </c>
      <c r="D410">
        <v>61130</v>
      </c>
      <c r="E410" t="s">
        <v>1516</v>
      </c>
      <c r="F410">
        <v>21.55</v>
      </c>
      <c r="G410" t="s">
        <v>4686</v>
      </c>
      <c r="H410" t="s">
        <v>4687</v>
      </c>
      <c r="I410">
        <v>26053</v>
      </c>
      <c r="J410">
        <v>53228</v>
      </c>
      <c r="K410" t="s">
        <v>1564</v>
      </c>
      <c r="L410" t="str">
        <f>SUBSTITUTE(K410,"'","")</f>
        <v>320250960423006817</v>
      </c>
      <c r="M410">
        <v>61130</v>
      </c>
    </row>
    <row r="411" spans="1:13" x14ac:dyDescent="0.4">
      <c r="A411" s="1">
        <v>45753</v>
      </c>
      <c r="B411" t="s">
        <v>4683</v>
      </c>
      <c r="C411" t="s">
        <v>4840</v>
      </c>
      <c r="D411">
        <v>54820</v>
      </c>
      <c r="E411" t="s">
        <v>2934</v>
      </c>
      <c r="F411">
        <v>12.92</v>
      </c>
      <c r="G411" t="s">
        <v>4686</v>
      </c>
      <c r="H411" t="s">
        <v>4687</v>
      </c>
      <c r="I411">
        <v>26541</v>
      </c>
      <c r="J411">
        <v>54204</v>
      </c>
      <c r="K411" t="s">
        <v>4244</v>
      </c>
      <c r="L411" t="str">
        <f>SUBSTITUTE(K411,"'","")</f>
        <v>320250970431481776</v>
      </c>
      <c r="M411">
        <v>54820</v>
      </c>
    </row>
    <row r="412" spans="1:13" x14ac:dyDescent="0.4">
      <c r="A412" s="1">
        <v>45753</v>
      </c>
      <c r="B412" t="s">
        <v>4683</v>
      </c>
      <c r="C412" t="s">
        <v>5994</v>
      </c>
      <c r="D412">
        <v>61215</v>
      </c>
      <c r="E412" t="s">
        <v>1568</v>
      </c>
      <c r="F412" s="5">
        <v>1000</v>
      </c>
      <c r="G412" t="s">
        <v>4686</v>
      </c>
      <c r="H412" t="s">
        <v>4687</v>
      </c>
      <c r="I412">
        <v>25958</v>
      </c>
      <c r="J412">
        <v>53038</v>
      </c>
      <c r="K412" t="s">
        <v>1570</v>
      </c>
      <c r="L412" t="str">
        <f>SUBSTITUTE(K412,"'","")</f>
        <v>320250970433215290</v>
      </c>
      <c r="M412">
        <v>61215</v>
      </c>
    </row>
    <row r="413" spans="1:13" x14ac:dyDescent="0.4">
      <c r="A413" s="1">
        <v>45753</v>
      </c>
      <c r="B413" t="s">
        <v>4683</v>
      </c>
      <c r="C413" t="s">
        <v>5993</v>
      </c>
      <c r="D413">
        <v>61215</v>
      </c>
      <c r="E413" t="s">
        <v>1565</v>
      </c>
      <c r="F413">
        <v>60</v>
      </c>
      <c r="G413" t="s">
        <v>4686</v>
      </c>
      <c r="H413" t="s">
        <v>4687</v>
      </c>
      <c r="I413">
        <v>25957</v>
      </c>
      <c r="J413">
        <v>53036</v>
      </c>
      <c r="K413" t="s">
        <v>1567</v>
      </c>
      <c r="L413" t="str">
        <f>SUBSTITUTE(K413,"'","")</f>
        <v>320250970433828718</v>
      </c>
      <c r="M413">
        <v>61215</v>
      </c>
    </row>
    <row r="414" spans="1:13" x14ac:dyDescent="0.4">
      <c r="A414" s="1">
        <v>45753</v>
      </c>
      <c r="B414" t="s">
        <v>4683</v>
      </c>
      <c r="C414" t="s">
        <v>5961</v>
      </c>
      <c r="D414">
        <v>61200</v>
      </c>
      <c r="E414" t="s">
        <v>1559</v>
      </c>
      <c r="F414">
        <v>24.61</v>
      </c>
      <c r="G414" t="s">
        <v>4686</v>
      </c>
      <c r="H414" t="s">
        <v>4687</v>
      </c>
      <c r="I414">
        <v>26052</v>
      </c>
      <c r="J414">
        <v>53226</v>
      </c>
      <c r="K414" t="s">
        <v>1562</v>
      </c>
      <c r="L414" t="str">
        <f>SUBSTITUTE(K414,"'","")</f>
        <v>320250970436947630</v>
      </c>
      <c r="M414">
        <v>61200</v>
      </c>
    </row>
    <row r="415" spans="1:13" x14ac:dyDescent="0.4">
      <c r="A415" s="1">
        <v>45753</v>
      </c>
      <c r="B415" t="s">
        <v>4683</v>
      </c>
      <c r="C415" t="s">
        <v>5678</v>
      </c>
      <c r="D415">
        <v>61130</v>
      </c>
      <c r="E415" t="s">
        <v>1573</v>
      </c>
      <c r="F415">
        <v>22.69</v>
      </c>
      <c r="G415" t="s">
        <v>4686</v>
      </c>
      <c r="H415" t="s">
        <v>4687</v>
      </c>
      <c r="I415">
        <v>26054</v>
      </c>
      <c r="J415">
        <v>53230</v>
      </c>
      <c r="K415" t="s">
        <v>1575</v>
      </c>
      <c r="L415" t="str">
        <f>SUBSTITUTE(K415,"'","")</f>
        <v>320250970447487068</v>
      </c>
      <c r="M415">
        <v>61130</v>
      </c>
    </row>
    <row r="416" spans="1:13" x14ac:dyDescent="0.4">
      <c r="A416" s="1">
        <v>45754</v>
      </c>
      <c r="B416" t="s">
        <v>4683</v>
      </c>
      <c r="C416" t="s">
        <v>6523</v>
      </c>
      <c r="D416">
        <v>80100</v>
      </c>
      <c r="E416" t="s">
        <v>2303</v>
      </c>
      <c r="F416">
        <v>262.58</v>
      </c>
      <c r="G416" t="s">
        <v>4686</v>
      </c>
      <c r="H416" t="s">
        <v>4687</v>
      </c>
      <c r="I416">
        <v>26345</v>
      </c>
      <c r="J416">
        <v>53812</v>
      </c>
      <c r="K416" t="s">
        <v>4233</v>
      </c>
      <c r="L416" t="str">
        <f>SUBSTITUTE(K416,"'","")</f>
        <v>150408060000496293</v>
      </c>
      <c r="M416">
        <v>80100</v>
      </c>
    </row>
    <row r="417" spans="1:13" x14ac:dyDescent="0.4">
      <c r="A417" s="1">
        <v>45754</v>
      </c>
      <c r="B417" t="s">
        <v>4683</v>
      </c>
      <c r="C417" t="s">
        <v>4842</v>
      </c>
      <c r="D417">
        <v>54820</v>
      </c>
      <c r="E417" t="s">
        <v>3866</v>
      </c>
      <c r="F417">
        <v>8.35</v>
      </c>
      <c r="G417" t="s">
        <v>4686</v>
      </c>
      <c r="H417" t="s">
        <v>4687</v>
      </c>
      <c r="I417">
        <v>26641</v>
      </c>
      <c r="J417">
        <v>54404</v>
      </c>
      <c r="K417" t="s">
        <v>4235</v>
      </c>
      <c r="L417" t="str">
        <f>SUBSTITUTE(K417,"'","")</f>
        <v>320250970432166091</v>
      </c>
      <c r="M417">
        <v>54820</v>
      </c>
    </row>
    <row r="418" spans="1:13" x14ac:dyDescent="0.4">
      <c r="A418" s="1">
        <v>45754</v>
      </c>
      <c r="B418" t="s">
        <v>4683</v>
      </c>
      <c r="C418" t="s">
        <v>6166</v>
      </c>
      <c r="D418">
        <v>64100</v>
      </c>
      <c r="E418" t="s">
        <v>165</v>
      </c>
      <c r="F418">
        <v>21.38</v>
      </c>
      <c r="G418" t="s">
        <v>4686</v>
      </c>
      <c r="H418" t="s">
        <v>4687</v>
      </c>
      <c r="I418">
        <v>25590</v>
      </c>
      <c r="J418">
        <v>52302</v>
      </c>
      <c r="K418" t="s">
        <v>1546</v>
      </c>
      <c r="L418" t="str">
        <f>SUBSTITUTE(K418,"'","")</f>
        <v>320250970444802730</v>
      </c>
      <c r="M418">
        <v>64100</v>
      </c>
    </row>
    <row r="419" spans="1:13" x14ac:dyDescent="0.4">
      <c r="A419" s="1">
        <v>45754</v>
      </c>
      <c r="B419" t="s">
        <v>4683</v>
      </c>
      <c r="C419" t="s">
        <v>5996</v>
      </c>
      <c r="D419">
        <v>61215</v>
      </c>
      <c r="E419" t="s">
        <v>1499</v>
      </c>
      <c r="F419">
        <v>17.690000000000001</v>
      </c>
      <c r="G419" t="s">
        <v>4686</v>
      </c>
      <c r="H419" t="s">
        <v>4687</v>
      </c>
      <c r="I419">
        <v>25960</v>
      </c>
      <c r="J419">
        <v>53042</v>
      </c>
      <c r="K419" t="s">
        <v>1558</v>
      </c>
      <c r="L419" t="str">
        <f>SUBSTITUTE(K419,"'","")</f>
        <v>320250980458614017</v>
      </c>
      <c r="M419">
        <v>61215</v>
      </c>
    </row>
    <row r="420" spans="1:13" x14ac:dyDescent="0.4">
      <c r="A420" s="1">
        <v>45754</v>
      </c>
      <c r="B420" t="s">
        <v>4683</v>
      </c>
      <c r="C420" t="s">
        <v>5962</v>
      </c>
      <c r="D420">
        <v>61200</v>
      </c>
      <c r="E420" t="s">
        <v>1536</v>
      </c>
      <c r="F420">
        <v>3.9</v>
      </c>
      <c r="G420" t="s">
        <v>4686</v>
      </c>
      <c r="H420" t="s">
        <v>4687</v>
      </c>
      <c r="I420">
        <v>26024</v>
      </c>
      <c r="J420">
        <v>53170</v>
      </c>
      <c r="K420" t="s">
        <v>1556</v>
      </c>
      <c r="L420" t="str">
        <f>SUBSTITUTE(K420,"'","")</f>
        <v>320250980459108984</v>
      </c>
      <c r="M420">
        <v>61200</v>
      </c>
    </row>
    <row r="421" spans="1:13" x14ac:dyDescent="0.4">
      <c r="A421" s="1">
        <v>45754</v>
      </c>
      <c r="B421" t="s">
        <v>4683</v>
      </c>
      <c r="C421" t="s">
        <v>5995</v>
      </c>
      <c r="D421">
        <v>61215</v>
      </c>
      <c r="E421" t="s">
        <v>1549</v>
      </c>
      <c r="F421">
        <v>430</v>
      </c>
      <c r="G421" t="s">
        <v>4686</v>
      </c>
      <c r="H421" t="s">
        <v>4687</v>
      </c>
      <c r="I421">
        <v>25959</v>
      </c>
      <c r="J421">
        <v>53040</v>
      </c>
      <c r="K421" t="s">
        <v>1552</v>
      </c>
      <c r="L421" t="str">
        <f>SUBSTITUTE(K421,"'","")</f>
        <v>320250980461058232</v>
      </c>
      <c r="M421">
        <v>61215</v>
      </c>
    </row>
    <row r="422" spans="1:13" x14ac:dyDescent="0.4">
      <c r="A422" s="1">
        <v>45754</v>
      </c>
      <c r="B422" t="s">
        <v>4683</v>
      </c>
      <c r="C422" t="s">
        <v>5895</v>
      </c>
      <c r="D422">
        <v>61131</v>
      </c>
      <c r="E422" t="s">
        <v>379</v>
      </c>
      <c r="F422">
        <v>31.44</v>
      </c>
      <c r="G422" t="s">
        <v>4686</v>
      </c>
      <c r="H422" t="s">
        <v>4687</v>
      </c>
      <c r="I422">
        <v>25731</v>
      </c>
      <c r="J422">
        <v>52584</v>
      </c>
      <c r="K422" t="s">
        <v>1554</v>
      </c>
      <c r="L422" t="str">
        <f>SUBSTITUTE(K422,"'","")</f>
        <v>320250980464250656</v>
      </c>
      <c r="M422">
        <v>61131</v>
      </c>
    </row>
    <row r="423" spans="1:13" x14ac:dyDescent="0.4">
      <c r="A423" s="1">
        <v>45754</v>
      </c>
      <c r="B423" t="s">
        <v>4683</v>
      </c>
      <c r="C423" t="s">
        <v>6168</v>
      </c>
      <c r="D423">
        <v>64100</v>
      </c>
      <c r="E423" t="s">
        <v>2311</v>
      </c>
      <c r="F423">
        <v>41.12</v>
      </c>
      <c r="G423" t="s">
        <v>4686</v>
      </c>
      <c r="H423" t="s">
        <v>4687</v>
      </c>
      <c r="I423">
        <v>26441</v>
      </c>
      <c r="J423">
        <v>54004</v>
      </c>
      <c r="K423" t="s">
        <v>4232</v>
      </c>
      <c r="L423" t="str">
        <f>SUBSTITUTE(K423,"'","")</f>
        <v>320250980468774091</v>
      </c>
      <c r="M423">
        <v>64100</v>
      </c>
    </row>
    <row r="424" spans="1:13" x14ac:dyDescent="0.4">
      <c r="A424" s="1">
        <v>45754</v>
      </c>
      <c r="B424" t="s">
        <v>4683</v>
      </c>
      <c r="C424" t="s">
        <v>6169</v>
      </c>
      <c r="D424">
        <v>64100</v>
      </c>
      <c r="E424" t="s">
        <v>4225</v>
      </c>
      <c r="F424">
        <v>217.21</v>
      </c>
      <c r="G424" t="s">
        <v>4686</v>
      </c>
      <c r="H424" t="s">
        <v>4687</v>
      </c>
      <c r="I424">
        <v>26519</v>
      </c>
      <c r="J424">
        <v>54160</v>
      </c>
      <c r="K424" t="s">
        <v>4230</v>
      </c>
      <c r="L424" t="str">
        <f>SUBSTITUTE(K424,"'","")</f>
        <v>320250980470473365</v>
      </c>
      <c r="M424">
        <v>64100</v>
      </c>
    </row>
    <row r="425" spans="1:13" x14ac:dyDescent="0.4">
      <c r="A425" s="1">
        <v>45754</v>
      </c>
      <c r="B425" t="s">
        <v>4683</v>
      </c>
      <c r="C425" t="s">
        <v>6167</v>
      </c>
      <c r="D425">
        <v>64100</v>
      </c>
      <c r="E425" t="s">
        <v>169</v>
      </c>
      <c r="F425">
        <v>21.39</v>
      </c>
      <c r="G425" t="s">
        <v>4686</v>
      </c>
      <c r="H425" t="s">
        <v>4687</v>
      </c>
      <c r="I425">
        <v>25803</v>
      </c>
      <c r="J425">
        <v>52728</v>
      </c>
      <c r="K425" t="s">
        <v>1548</v>
      </c>
      <c r="L425" t="str">
        <f>SUBSTITUTE(K425,"'","")</f>
        <v>320250990481498487</v>
      </c>
      <c r="M425">
        <v>64100</v>
      </c>
    </row>
    <row r="426" spans="1:13" x14ac:dyDescent="0.4">
      <c r="A426" s="1">
        <v>45755</v>
      </c>
      <c r="B426" t="s">
        <v>4683</v>
      </c>
      <c r="C426" t="s">
        <v>4844</v>
      </c>
      <c r="D426">
        <v>54820</v>
      </c>
      <c r="E426" t="s">
        <v>4214</v>
      </c>
      <c r="F426">
        <v>130</v>
      </c>
      <c r="G426" t="s">
        <v>4686</v>
      </c>
      <c r="H426" t="s">
        <v>4687</v>
      </c>
      <c r="I426">
        <v>26643</v>
      </c>
      <c r="J426">
        <v>54408</v>
      </c>
      <c r="K426" t="s">
        <v>4218</v>
      </c>
      <c r="L426" t="str">
        <f>SUBSTITUTE(K426,"'","")</f>
        <v>320250970428795559</v>
      </c>
      <c r="M426">
        <v>54820</v>
      </c>
    </row>
    <row r="427" spans="1:13" x14ac:dyDescent="0.4">
      <c r="A427" s="1">
        <v>45755</v>
      </c>
      <c r="B427" t="s">
        <v>4683</v>
      </c>
      <c r="C427" t="s">
        <v>6467</v>
      </c>
      <c r="D427">
        <v>67500</v>
      </c>
      <c r="E427" t="s">
        <v>885</v>
      </c>
      <c r="F427">
        <v>33.25</v>
      </c>
      <c r="G427" t="s">
        <v>4686</v>
      </c>
      <c r="H427" t="s">
        <v>4687</v>
      </c>
      <c r="I427">
        <v>26358</v>
      </c>
      <c r="J427">
        <v>53838</v>
      </c>
      <c r="K427" t="s">
        <v>4224</v>
      </c>
      <c r="L427" t="str">
        <f>SUBSTITUTE(K427,"'","")</f>
        <v>320250980456462408</v>
      </c>
      <c r="M427">
        <v>67500</v>
      </c>
    </row>
    <row r="428" spans="1:13" x14ac:dyDescent="0.4">
      <c r="A428" s="1">
        <v>45755</v>
      </c>
      <c r="B428" t="s">
        <v>4683</v>
      </c>
      <c r="C428" t="s">
        <v>4845</v>
      </c>
      <c r="D428">
        <v>54820</v>
      </c>
      <c r="E428" t="s">
        <v>4219</v>
      </c>
      <c r="F428">
        <v>18.32</v>
      </c>
      <c r="G428" t="s">
        <v>4686</v>
      </c>
      <c r="H428" t="s">
        <v>4687</v>
      </c>
      <c r="I428">
        <v>26644</v>
      </c>
      <c r="J428">
        <v>54410</v>
      </c>
      <c r="K428" t="s">
        <v>4222</v>
      </c>
      <c r="L428" t="str">
        <f>SUBSTITUTE(K428,"'","")</f>
        <v>320250980458115304</v>
      </c>
      <c r="M428">
        <v>54820</v>
      </c>
    </row>
    <row r="429" spans="1:13" x14ac:dyDescent="0.4">
      <c r="A429" s="1">
        <v>45755</v>
      </c>
      <c r="B429" t="s">
        <v>4683</v>
      </c>
      <c r="C429" t="s">
        <v>5964</v>
      </c>
      <c r="D429">
        <v>61200</v>
      </c>
      <c r="E429" t="s">
        <v>1536</v>
      </c>
      <c r="F429">
        <v>16.02</v>
      </c>
      <c r="G429" t="s">
        <v>4686</v>
      </c>
      <c r="H429" t="s">
        <v>4687</v>
      </c>
      <c r="I429">
        <v>26026</v>
      </c>
      <c r="J429">
        <v>53174</v>
      </c>
      <c r="K429" t="s">
        <v>1541</v>
      </c>
      <c r="L429" t="str">
        <f>SUBSTITUTE(K429,"'","")</f>
        <v>320250990484934420</v>
      </c>
      <c r="M429">
        <v>61200</v>
      </c>
    </row>
    <row r="430" spans="1:13" x14ac:dyDescent="0.4">
      <c r="A430" s="1">
        <v>45755</v>
      </c>
      <c r="B430" t="s">
        <v>4683</v>
      </c>
      <c r="C430" t="s">
        <v>5963</v>
      </c>
      <c r="D430">
        <v>61200</v>
      </c>
      <c r="E430" t="s">
        <v>1536</v>
      </c>
      <c r="F430">
        <v>6.16</v>
      </c>
      <c r="G430" t="s">
        <v>4686</v>
      </c>
      <c r="H430" t="s">
        <v>4687</v>
      </c>
      <c r="I430">
        <v>26025</v>
      </c>
      <c r="J430">
        <v>53172</v>
      </c>
      <c r="K430" t="s">
        <v>1539</v>
      </c>
      <c r="L430" t="str">
        <f>SUBSTITUTE(K430,"'","")</f>
        <v>320250990484934865</v>
      </c>
      <c r="M430">
        <v>61200</v>
      </c>
    </row>
    <row r="431" spans="1:13" x14ac:dyDescent="0.4">
      <c r="A431" s="1">
        <v>45755</v>
      </c>
      <c r="B431" t="s">
        <v>4683</v>
      </c>
      <c r="C431" t="s">
        <v>5997</v>
      </c>
      <c r="D431">
        <v>61215</v>
      </c>
      <c r="E431" t="s">
        <v>1499</v>
      </c>
      <c r="F431">
        <v>9.68</v>
      </c>
      <c r="G431" t="s">
        <v>4686</v>
      </c>
      <c r="H431" t="s">
        <v>4687</v>
      </c>
      <c r="I431">
        <v>25961</v>
      </c>
      <c r="J431">
        <v>53044</v>
      </c>
      <c r="K431" t="s">
        <v>1543</v>
      </c>
      <c r="L431" t="str">
        <f>SUBSTITUTE(K431,"'","")</f>
        <v>320250990485748328</v>
      </c>
      <c r="M431">
        <v>61215</v>
      </c>
    </row>
    <row r="432" spans="1:13" x14ac:dyDescent="0.4">
      <c r="A432" s="1">
        <v>45755</v>
      </c>
      <c r="B432" t="s">
        <v>4683</v>
      </c>
      <c r="C432" t="s">
        <v>4843</v>
      </c>
      <c r="D432">
        <v>54820</v>
      </c>
      <c r="E432" t="s">
        <v>4210</v>
      </c>
      <c r="F432">
        <v>71.98</v>
      </c>
      <c r="G432" t="s">
        <v>4686</v>
      </c>
      <c r="H432" t="s">
        <v>4687</v>
      </c>
      <c r="I432">
        <v>26642</v>
      </c>
      <c r="J432">
        <v>54406</v>
      </c>
      <c r="K432" t="s">
        <v>4213</v>
      </c>
      <c r="L432" t="str">
        <f>SUBSTITUTE(K432,"'","")</f>
        <v>320250990494800935</v>
      </c>
      <c r="M432">
        <v>54820</v>
      </c>
    </row>
    <row r="433" spans="1:13" x14ac:dyDescent="0.4">
      <c r="A433" s="1">
        <v>45756</v>
      </c>
      <c r="B433" t="s">
        <v>4683</v>
      </c>
      <c r="C433" t="s">
        <v>5998</v>
      </c>
      <c r="D433">
        <v>61215</v>
      </c>
      <c r="E433" t="s">
        <v>1523</v>
      </c>
      <c r="F433">
        <v>319.2</v>
      </c>
      <c r="G433" t="s">
        <v>4686</v>
      </c>
      <c r="H433" t="s">
        <v>4687</v>
      </c>
      <c r="I433">
        <v>25962</v>
      </c>
      <c r="J433">
        <v>53046</v>
      </c>
      <c r="K433" t="s">
        <v>1526</v>
      </c>
      <c r="L433" t="str">
        <f>SUBSTITUTE(K433,"'","")</f>
        <v>320250990486518553</v>
      </c>
      <c r="M433">
        <v>61215</v>
      </c>
    </row>
    <row r="434" spans="1:13" x14ac:dyDescent="0.4">
      <c r="A434" s="1">
        <v>45756</v>
      </c>
      <c r="B434" t="s">
        <v>4683</v>
      </c>
      <c r="C434" t="s">
        <v>6171</v>
      </c>
      <c r="D434">
        <v>64100</v>
      </c>
      <c r="E434" t="s">
        <v>153</v>
      </c>
      <c r="F434">
        <v>165.44</v>
      </c>
      <c r="G434" t="s">
        <v>4686</v>
      </c>
      <c r="H434" t="s">
        <v>4687</v>
      </c>
      <c r="I434">
        <v>26216</v>
      </c>
      <c r="J434">
        <v>53554</v>
      </c>
      <c r="K434" t="s">
        <v>4209</v>
      </c>
      <c r="L434" t="str">
        <f>SUBSTITUTE(K434,"'","")</f>
        <v>320250990495603761</v>
      </c>
      <c r="M434">
        <v>64100</v>
      </c>
    </row>
    <row r="435" spans="1:13" x14ac:dyDescent="0.4">
      <c r="A435" s="1">
        <v>45756</v>
      </c>
      <c r="B435" t="s">
        <v>4683</v>
      </c>
      <c r="C435" t="s">
        <v>6170</v>
      </c>
      <c r="D435">
        <v>64100</v>
      </c>
      <c r="E435" t="s">
        <v>153</v>
      </c>
      <c r="F435">
        <v>223.33</v>
      </c>
      <c r="G435" t="s">
        <v>4686</v>
      </c>
      <c r="H435" t="s">
        <v>4687</v>
      </c>
      <c r="I435">
        <v>25591</v>
      </c>
      <c r="J435">
        <v>52304</v>
      </c>
      <c r="K435" t="s">
        <v>1521</v>
      </c>
      <c r="L435" t="str">
        <f>SUBSTITUTE(K435,"'","")</f>
        <v>320250990495909825</v>
      </c>
      <c r="M435">
        <v>64100</v>
      </c>
    </row>
    <row r="436" spans="1:13" x14ac:dyDescent="0.4">
      <c r="A436" s="1">
        <v>45756</v>
      </c>
      <c r="B436" t="s">
        <v>4683</v>
      </c>
      <c r="C436" t="s">
        <v>4848</v>
      </c>
      <c r="D436">
        <v>54820</v>
      </c>
      <c r="E436" t="s">
        <v>1499</v>
      </c>
      <c r="F436">
        <v>22.61</v>
      </c>
      <c r="G436" t="s">
        <v>4686</v>
      </c>
      <c r="H436" t="s">
        <v>4687</v>
      </c>
      <c r="I436">
        <v>26647</v>
      </c>
      <c r="J436">
        <v>54416</v>
      </c>
      <c r="K436" t="s">
        <v>4207</v>
      </c>
      <c r="L436" t="str">
        <f>SUBSTITUTE(K436,"'","")</f>
        <v>320251000511493392</v>
      </c>
      <c r="M436">
        <v>54820</v>
      </c>
    </row>
    <row r="437" spans="1:13" x14ac:dyDescent="0.4">
      <c r="A437" s="1">
        <v>45756</v>
      </c>
      <c r="B437" t="s">
        <v>4683</v>
      </c>
      <c r="C437" t="s">
        <v>5537</v>
      </c>
      <c r="D437">
        <v>61110</v>
      </c>
      <c r="E437" t="s">
        <v>1533</v>
      </c>
      <c r="F437">
        <v>304.56</v>
      </c>
      <c r="G437" t="s">
        <v>4686</v>
      </c>
      <c r="H437" t="s">
        <v>4687</v>
      </c>
      <c r="I437">
        <v>26003</v>
      </c>
      <c r="J437">
        <v>53128</v>
      </c>
      <c r="K437" t="s">
        <v>1535</v>
      </c>
      <c r="L437" t="str">
        <f>SUBSTITUTE(K437,"'","")</f>
        <v>320251000512283605</v>
      </c>
      <c r="M437">
        <v>61110</v>
      </c>
    </row>
    <row r="438" spans="1:13" x14ac:dyDescent="0.4">
      <c r="A438" s="1">
        <v>45756</v>
      </c>
      <c r="B438" t="s">
        <v>4683</v>
      </c>
      <c r="C438" t="s">
        <v>4847</v>
      </c>
      <c r="D438">
        <v>54820</v>
      </c>
      <c r="E438" t="s">
        <v>1578</v>
      </c>
      <c r="F438">
        <v>34</v>
      </c>
      <c r="G438" t="s">
        <v>4686</v>
      </c>
      <c r="H438" t="s">
        <v>4687</v>
      </c>
      <c r="I438">
        <v>26646</v>
      </c>
      <c r="J438">
        <v>54414</v>
      </c>
      <c r="K438" t="s">
        <v>4205</v>
      </c>
      <c r="L438" t="str">
        <f>SUBSTITUTE(K438,"'","")</f>
        <v>320251000516311236</v>
      </c>
      <c r="M438">
        <v>54820</v>
      </c>
    </row>
    <row r="439" spans="1:13" x14ac:dyDescent="0.4">
      <c r="A439" s="1">
        <v>45756</v>
      </c>
      <c r="B439" t="s">
        <v>4683</v>
      </c>
      <c r="C439" t="s">
        <v>4846</v>
      </c>
      <c r="D439">
        <v>54820</v>
      </c>
      <c r="E439" t="s">
        <v>4200</v>
      </c>
      <c r="F439">
        <v>9.4700000000000006</v>
      </c>
      <c r="G439" t="s">
        <v>4686</v>
      </c>
      <c r="H439" t="s">
        <v>4687</v>
      </c>
      <c r="I439">
        <v>26645</v>
      </c>
      <c r="J439">
        <v>54412</v>
      </c>
      <c r="K439" t="s">
        <v>4203</v>
      </c>
      <c r="L439" t="str">
        <f>SUBSTITUTE(K439,"'","")</f>
        <v>320251000520703790</v>
      </c>
      <c r="M439">
        <v>54820</v>
      </c>
    </row>
    <row r="440" spans="1:13" x14ac:dyDescent="0.4">
      <c r="A440" s="1">
        <v>45756</v>
      </c>
      <c r="B440" t="s">
        <v>4683</v>
      </c>
      <c r="C440" t="s">
        <v>5536</v>
      </c>
      <c r="D440">
        <v>61110</v>
      </c>
      <c r="E440" t="s">
        <v>1482</v>
      </c>
      <c r="F440" s="5">
        <v>1183.1300000000001</v>
      </c>
      <c r="G440" t="s">
        <v>4686</v>
      </c>
      <c r="H440" t="s">
        <v>4687</v>
      </c>
      <c r="I440">
        <v>26002</v>
      </c>
      <c r="J440">
        <v>53126</v>
      </c>
      <c r="K440" t="s">
        <v>1532</v>
      </c>
      <c r="L440" t="str">
        <f>SUBSTITUTE(K440,"'","")</f>
        <v>320251000522711974</v>
      </c>
      <c r="M440">
        <v>61110</v>
      </c>
    </row>
    <row r="441" spans="1:13" x14ac:dyDescent="0.4">
      <c r="A441" s="1">
        <v>45756</v>
      </c>
      <c r="B441" t="s">
        <v>4683</v>
      </c>
      <c r="C441" t="s">
        <v>5535</v>
      </c>
      <c r="D441">
        <v>61110</v>
      </c>
      <c r="E441" t="s">
        <v>1527</v>
      </c>
      <c r="F441">
        <v>361.91</v>
      </c>
      <c r="G441" t="s">
        <v>4686</v>
      </c>
      <c r="H441" t="s">
        <v>4687</v>
      </c>
      <c r="I441">
        <v>26001</v>
      </c>
      <c r="J441">
        <v>53124</v>
      </c>
      <c r="K441" t="s">
        <v>1530</v>
      </c>
      <c r="L441" t="str">
        <f>SUBSTITUTE(K441,"'","")</f>
        <v>320251000522987769</v>
      </c>
      <c r="M441">
        <v>61110</v>
      </c>
    </row>
    <row r="442" spans="1:13" x14ac:dyDescent="0.4">
      <c r="A442" s="1">
        <v>45756</v>
      </c>
      <c r="B442" t="s">
        <v>4683</v>
      </c>
      <c r="C442" t="s">
        <v>5679</v>
      </c>
      <c r="D442">
        <v>61130</v>
      </c>
      <c r="E442" t="s">
        <v>1516</v>
      </c>
      <c r="F442">
        <v>18.88</v>
      </c>
      <c r="G442" t="s">
        <v>4686</v>
      </c>
      <c r="H442" t="s">
        <v>4687</v>
      </c>
      <c r="I442">
        <v>26055</v>
      </c>
      <c r="J442">
        <v>53232</v>
      </c>
      <c r="K442" t="s">
        <v>1519</v>
      </c>
      <c r="L442" t="str">
        <f>SUBSTITUTE(K442,"'","")</f>
        <v>320251000527558947</v>
      </c>
      <c r="M442">
        <v>61130</v>
      </c>
    </row>
    <row r="443" spans="1:13" x14ac:dyDescent="0.4">
      <c r="A443" s="1">
        <v>45757</v>
      </c>
      <c r="B443" t="s">
        <v>4683</v>
      </c>
      <c r="C443" t="s">
        <v>4849</v>
      </c>
      <c r="D443">
        <v>54820</v>
      </c>
      <c r="E443" t="s">
        <v>4192</v>
      </c>
      <c r="F443">
        <v>35.880000000000003</v>
      </c>
      <c r="G443" t="s">
        <v>4686</v>
      </c>
      <c r="H443" t="s">
        <v>4687</v>
      </c>
      <c r="I443">
        <v>26648</v>
      </c>
      <c r="J443">
        <v>54418</v>
      </c>
      <c r="K443" t="s">
        <v>4196</v>
      </c>
      <c r="L443" t="str">
        <f>SUBSTITUTE(K443,"'","")</f>
        <v>320251000508159620</v>
      </c>
      <c r="M443">
        <v>54820</v>
      </c>
    </row>
    <row r="444" spans="1:13" x14ac:dyDescent="0.4">
      <c r="A444" s="1">
        <v>45757</v>
      </c>
      <c r="B444" t="s">
        <v>4683</v>
      </c>
      <c r="C444" t="s">
        <v>5680</v>
      </c>
      <c r="D444">
        <v>61130</v>
      </c>
      <c r="E444" t="s">
        <v>478</v>
      </c>
      <c r="F444">
        <v>26.28</v>
      </c>
      <c r="G444" t="s">
        <v>4686</v>
      </c>
      <c r="H444" t="s">
        <v>4687</v>
      </c>
      <c r="I444">
        <v>25414</v>
      </c>
      <c r="J444">
        <v>51950</v>
      </c>
      <c r="K444" t="s">
        <v>1508</v>
      </c>
      <c r="L444" t="str">
        <f>SUBSTITUTE(K444,"'","")</f>
        <v>320251000509879514</v>
      </c>
      <c r="M444">
        <v>61130</v>
      </c>
    </row>
    <row r="445" spans="1:13" x14ac:dyDescent="0.4">
      <c r="A445" s="1">
        <v>45757</v>
      </c>
      <c r="B445" t="s">
        <v>4683</v>
      </c>
      <c r="C445" t="s">
        <v>5539</v>
      </c>
      <c r="D445">
        <v>61110</v>
      </c>
      <c r="E445" t="s">
        <v>1511</v>
      </c>
      <c r="F445" s="5">
        <v>1674.17</v>
      </c>
      <c r="G445" t="s">
        <v>4686</v>
      </c>
      <c r="H445" t="s">
        <v>4687</v>
      </c>
      <c r="I445">
        <v>26005</v>
      </c>
      <c r="J445">
        <v>53132</v>
      </c>
      <c r="K445" t="s">
        <v>1515</v>
      </c>
      <c r="L445" t="str">
        <f>SUBSTITUTE(K445,"'","")</f>
        <v>320251000512533292</v>
      </c>
      <c r="M445">
        <v>61110</v>
      </c>
    </row>
    <row r="446" spans="1:13" x14ac:dyDescent="0.4">
      <c r="A446" s="1">
        <v>45757</v>
      </c>
      <c r="B446" t="s">
        <v>4683</v>
      </c>
      <c r="C446" t="s">
        <v>5538</v>
      </c>
      <c r="D446">
        <v>61110</v>
      </c>
      <c r="E446" t="s">
        <v>1482</v>
      </c>
      <c r="F446">
        <v>62.36</v>
      </c>
      <c r="G446" t="s">
        <v>4686</v>
      </c>
      <c r="H446" t="s">
        <v>4687</v>
      </c>
      <c r="I446">
        <v>26004</v>
      </c>
      <c r="J446">
        <v>53130</v>
      </c>
      <c r="K446" t="s">
        <v>1510</v>
      </c>
      <c r="L446" t="str">
        <f>SUBSTITUTE(K446,"'","")</f>
        <v>320251000527510251</v>
      </c>
      <c r="M446">
        <v>61110</v>
      </c>
    </row>
    <row r="447" spans="1:13" x14ac:dyDescent="0.4">
      <c r="A447" s="1">
        <v>45757</v>
      </c>
      <c r="B447" t="s">
        <v>4683</v>
      </c>
      <c r="C447" t="s">
        <v>4850</v>
      </c>
      <c r="D447">
        <v>54820</v>
      </c>
      <c r="E447" t="s">
        <v>4197</v>
      </c>
      <c r="F447">
        <v>31.58</v>
      </c>
      <c r="G447" t="s">
        <v>4686</v>
      </c>
      <c r="H447" t="s">
        <v>4687</v>
      </c>
      <c r="I447">
        <v>26649</v>
      </c>
      <c r="J447">
        <v>54420</v>
      </c>
      <c r="K447" t="s">
        <v>4199</v>
      </c>
      <c r="L447" t="str">
        <f>SUBSTITUTE(K447,"'","")</f>
        <v>320251010537905439</v>
      </c>
      <c r="M447">
        <v>54820</v>
      </c>
    </row>
    <row r="448" spans="1:13" x14ac:dyDescent="0.4">
      <c r="A448" s="1">
        <v>45757</v>
      </c>
      <c r="B448" t="s">
        <v>4683</v>
      </c>
      <c r="C448" t="s">
        <v>5999</v>
      </c>
      <c r="D448">
        <v>61215</v>
      </c>
      <c r="E448" t="s">
        <v>1499</v>
      </c>
      <c r="F448">
        <v>7.13</v>
      </c>
      <c r="G448" t="s">
        <v>4686</v>
      </c>
      <c r="H448" t="s">
        <v>4687</v>
      </c>
      <c r="I448">
        <v>25963</v>
      </c>
      <c r="J448">
        <v>53048</v>
      </c>
      <c r="K448" t="s">
        <v>1503</v>
      </c>
      <c r="L448" t="str">
        <f>SUBSTITUTE(K448,"'","")</f>
        <v>320251010538467237</v>
      </c>
      <c r="M448">
        <v>61215</v>
      </c>
    </row>
    <row r="449" spans="1:13" x14ac:dyDescent="0.4">
      <c r="A449" s="1">
        <v>45757</v>
      </c>
      <c r="B449" t="s">
        <v>4683</v>
      </c>
      <c r="C449" t="s">
        <v>6000</v>
      </c>
      <c r="D449">
        <v>61215</v>
      </c>
      <c r="E449" t="s">
        <v>1504</v>
      </c>
      <c r="F449">
        <v>450</v>
      </c>
      <c r="G449" t="s">
        <v>4686</v>
      </c>
      <c r="H449" t="s">
        <v>4687</v>
      </c>
      <c r="I449">
        <v>25964</v>
      </c>
      <c r="J449">
        <v>53050</v>
      </c>
      <c r="K449" t="s">
        <v>1506</v>
      </c>
      <c r="L449" t="str">
        <f>SUBSTITUTE(K449,"'","")</f>
        <v>320251010547414625</v>
      </c>
      <c r="M449">
        <v>61215</v>
      </c>
    </row>
    <row r="450" spans="1:13" x14ac:dyDescent="0.4">
      <c r="A450" s="1">
        <v>45758</v>
      </c>
      <c r="B450" t="s">
        <v>4683</v>
      </c>
      <c r="C450" t="s">
        <v>6001</v>
      </c>
      <c r="D450">
        <v>61215</v>
      </c>
      <c r="E450" t="s">
        <v>4188</v>
      </c>
      <c r="F450" s="5">
        <v>1100</v>
      </c>
      <c r="G450" t="s">
        <v>4686</v>
      </c>
      <c r="H450" t="s">
        <v>4687</v>
      </c>
      <c r="I450">
        <v>26650</v>
      </c>
      <c r="J450">
        <v>54422</v>
      </c>
      <c r="K450" t="s">
        <v>4191</v>
      </c>
      <c r="L450" t="str">
        <f>SUBSTITUTE(K450,"'","")</f>
        <v>320251020567758580</v>
      </c>
      <c r="M450">
        <v>61215</v>
      </c>
    </row>
    <row r="451" spans="1:13" x14ac:dyDescent="0.4">
      <c r="A451" s="1">
        <v>45758</v>
      </c>
      <c r="B451" t="s">
        <v>4683</v>
      </c>
      <c r="C451" t="s">
        <v>6173</v>
      </c>
      <c r="D451">
        <v>64100</v>
      </c>
      <c r="E451" t="s">
        <v>2265</v>
      </c>
      <c r="F451">
        <v>36.9</v>
      </c>
      <c r="G451" t="s">
        <v>4686</v>
      </c>
      <c r="H451" t="s">
        <v>4687</v>
      </c>
      <c r="I451">
        <v>26331</v>
      </c>
      <c r="J451">
        <v>53784</v>
      </c>
      <c r="K451" t="s">
        <v>4187</v>
      </c>
      <c r="L451" t="str">
        <f>SUBSTITUTE(K451,"'","")</f>
        <v>320251020572902742</v>
      </c>
      <c r="M451">
        <v>64100</v>
      </c>
    </row>
    <row r="452" spans="1:13" x14ac:dyDescent="0.4">
      <c r="A452" s="1">
        <v>45758</v>
      </c>
      <c r="B452" t="s">
        <v>4683</v>
      </c>
      <c r="C452" t="s">
        <v>6172</v>
      </c>
      <c r="D452">
        <v>64100</v>
      </c>
      <c r="E452" t="s">
        <v>2259</v>
      </c>
      <c r="F452">
        <v>21.39</v>
      </c>
      <c r="G452" t="s">
        <v>4686</v>
      </c>
      <c r="H452" t="s">
        <v>4687</v>
      </c>
      <c r="I452">
        <v>26330</v>
      </c>
      <c r="J452">
        <v>53782</v>
      </c>
      <c r="K452" t="s">
        <v>4185</v>
      </c>
      <c r="L452" t="str">
        <f>SUBSTITUTE(K452,"'","")</f>
        <v>320251020572902895</v>
      </c>
      <c r="M452">
        <v>64100</v>
      </c>
    </row>
    <row r="453" spans="1:13" x14ac:dyDescent="0.4">
      <c r="A453" s="1">
        <v>45758</v>
      </c>
      <c r="B453" t="s">
        <v>4683</v>
      </c>
      <c r="C453" t="s">
        <v>4851</v>
      </c>
      <c r="D453">
        <v>54820</v>
      </c>
      <c r="E453" t="s">
        <v>140</v>
      </c>
      <c r="F453">
        <v>21.71</v>
      </c>
      <c r="G453" t="s">
        <v>4686</v>
      </c>
      <c r="H453" t="s">
        <v>4687</v>
      </c>
      <c r="I453">
        <v>25702</v>
      </c>
      <c r="J453">
        <v>52526</v>
      </c>
      <c r="K453" t="s">
        <v>1496</v>
      </c>
      <c r="L453" t="str">
        <f>SUBSTITUTE(K453,"'","")</f>
        <v>320251020576721586</v>
      </c>
      <c r="M453">
        <v>54820</v>
      </c>
    </row>
    <row r="454" spans="1:13" x14ac:dyDescent="0.4">
      <c r="A454" s="1">
        <v>45758</v>
      </c>
      <c r="B454" t="s">
        <v>4683</v>
      </c>
      <c r="C454" t="s">
        <v>6375</v>
      </c>
      <c r="D454">
        <v>64200</v>
      </c>
      <c r="E454" t="s">
        <v>222</v>
      </c>
      <c r="F454">
        <v>533.5</v>
      </c>
      <c r="G454" t="s">
        <v>4686</v>
      </c>
      <c r="H454" t="s">
        <v>4687</v>
      </c>
      <c r="I454">
        <v>25861</v>
      </c>
      <c r="J454">
        <v>52844</v>
      </c>
      <c r="K454" t="s">
        <v>1498</v>
      </c>
      <c r="L454" t="str">
        <f>SUBSTITUTE(K454,"'","")</f>
        <v>320251020580925647</v>
      </c>
      <c r="M454">
        <v>64200</v>
      </c>
    </row>
    <row r="455" spans="1:13" x14ac:dyDescent="0.4">
      <c r="A455" s="1">
        <v>45759</v>
      </c>
      <c r="B455" t="s">
        <v>4683</v>
      </c>
      <c r="C455" t="s">
        <v>5681</v>
      </c>
      <c r="D455">
        <v>61130</v>
      </c>
      <c r="E455" t="s">
        <v>478</v>
      </c>
      <c r="F455">
        <v>29.33</v>
      </c>
      <c r="G455" t="s">
        <v>4686</v>
      </c>
      <c r="H455" t="s">
        <v>4687</v>
      </c>
      <c r="I455">
        <v>25415</v>
      </c>
      <c r="J455">
        <v>51952</v>
      </c>
      <c r="K455" t="s">
        <v>1494</v>
      </c>
      <c r="L455" t="str">
        <f>SUBSTITUTE(K455,"'","")</f>
        <v>320251020569455859</v>
      </c>
      <c r="M455">
        <v>61130</v>
      </c>
    </row>
    <row r="456" spans="1:13" x14ac:dyDescent="0.4">
      <c r="A456" s="1">
        <v>45759</v>
      </c>
      <c r="B456" t="s">
        <v>4683</v>
      </c>
      <c r="C456" t="s">
        <v>6174</v>
      </c>
      <c r="D456">
        <v>64100</v>
      </c>
      <c r="E456" t="s">
        <v>458</v>
      </c>
      <c r="F456">
        <v>16.04</v>
      </c>
      <c r="G456" t="s">
        <v>4686</v>
      </c>
      <c r="H456" t="s">
        <v>4687</v>
      </c>
      <c r="I456">
        <v>25537</v>
      </c>
      <c r="J456">
        <v>52196</v>
      </c>
      <c r="K456" t="s">
        <v>1492</v>
      </c>
      <c r="L456" t="str">
        <f>SUBSTITUTE(K456,"'","")</f>
        <v>320251020578877096</v>
      </c>
      <c r="M456">
        <v>64100</v>
      </c>
    </row>
    <row r="457" spans="1:13" x14ac:dyDescent="0.4">
      <c r="A457" s="1">
        <v>45759</v>
      </c>
      <c r="B457" t="s">
        <v>4683</v>
      </c>
      <c r="C457" t="s">
        <v>6002</v>
      </c>
      <c r="D457">
        <v>61215</v>
      </c>
      <c r="E457" t="s">
        <v>4175</v>
      </c>
      <c r="F457">
        <v>600</v>
      </c>
      <c r="G457" t="s">
        <v>4686</v>
      </c>
      <c r="H457" t="s">
        <v>4687</v>
      </c>
      <c r="I457">
        <v>26651</v>
      </c>
      <c r="J457">
        <v>54424</v>
      </c>
      <c r="K457" t="s">
        <v>4178</v>
      </c>
      <c r="L457" t="str">
        <f>SUBSTITUTE(K457,"'","")</f>
        <v>320251030591979739</v>
      </c>
      <c r="M457">
        <v>61215</v>
      </c>
    </row>
    <row r="458" spans="1:13" x14ac:dyDescent="0.4">
      <c r="A458" s="1">
        <v>45759</v>
      </c>
      <c r="B458" t="s">
        <v>4683</v>
      </c>
      <c r="C458" t="s">
        <v>5540</v>
      </c>
      <c r="D458">
        <v>61110</v>
      </c>
      <c r="E458" t="s">
        <v>1487</v>
      </c>
      <c r="F458">
        <v>140</v>
      </c>
      <c r="G458" t="s">
        <v>4686</v>
      </c>
      <c r="H458" t="s">
        <v>4687</v>
      </c>
      <c r="I458">
        <v>26006</v>
      </c>
      <c r="J458">
        <v>53134</v>
      </c>
      <c r="K458" t="s">
        <v>1490</v>
      </c>
      <c r="L458" t="str">
        <f>SUBSTITUTE(K458,"'","")</f>
        <v>320251030593900173</v>
      </c>
      <c r="M458">
        <v>61110</v>
      </c>
    </row>
    <row r="459" spans="1:13" x14ac:dyDescent="0.4">
      <c r="A459" s="1">
        <v>45759</v>
      </c>
      <c r="B459" t="s">
        <v>4683</v>
      </c>
      <c r="C459" t="s">
        <v>6003</v>
      </c>
      <c r="D459">
        <v>61215</v>
      </c>
      <c r="E459" t="s">
        <v>4179</v>
      </c>
      <c r="F459">
        <v>3.25</v>
      </c>
      <c r="G459" t="s">
        <v>4686</v>
      </c>
      <c r="H459" t="s">
        <v>4687</v>
      </c>
      <c r="I459">
        <v>26652</v>
      </c>
      <c r="J459">
        <v>54426</v>
      </c>
      <c r="K459" t="s">
        <v>4181</v>
      </c>
      <c r="L459" t="str">
        <f>SUBSTITUTE(K459,"'","")</f>
        <v>320251030600432833</v>
      </c>
      <c r="M459">
        <v>61215</v>
      </c>
    </row>
    <row r="460" spans="1:13" x14ac:dyDescent="0.4">
      <c r="A460" s="1">
        <v>45759</v>
      </c>
      <c r="B460" t="s">
        <v>4683</v>
      </c>
      <c r="C460" t="s">
        <v>4852</v>
      </c>
      <c r="D460">
        <v>54820</v>
      </c>
      <c r="E460" t="s">
        <v>2246</v>
      </c>
      <c r="F460">
        <v>11.99</v>
      </c>
      <c r="G460" t="s">
        <v>4686</v>
      </c>
      <c r="H460" t="s">
        <v>4687</v>
      </c>
      <c r="I460">
        <v>26300</v>
      </c>
      <c r="J460">
        <v>53722</v>
      </c>
      <c r="K460" t="s">
        <v>4183</v>
      </c>
      <c r="L460" t="str">
        <f>SUBSTITUTE(K460,"'","")</f>
        <v>320251030608643481</v>
      </c>
      <c r="M460">
        <v>54820</v>
      </c>
    </row>
    <row r="461" spans="1:13" x14ac:dyDescent="0.4">
      <c r="A461" s="1">
        <v>45760</v>
      </c>
      <c r="B461" t="s">
        <v>4683</v>
      </c>
      <c r="C461" t="s">
        <v>5522</v>
      </c>
      <c r="D461">
        <v>61100</v>
      </c>
      <c r="E461" t="s">
        <v>4172</v>
      </c>
      <c r="F461">
        <v>106.99</v>
      </c>
      <c r="G461" t="s">
        <v>4686</v>
      </c>
      <c r="H461" t="s">
        <v>4687</v>
      </c>
      <c r="I461">
        <v>26251</v>
      </c>
      <c r="J461">
        <v>53624</v>
      </c>
      <c r="K461" t="s">
        <v>4174</v>
      </c>
      <c r="L461" t="str">
        <f>SUBSTITUTE(K461,"'","")</f>
        <v>320251030590486946</v>
      </c>
      <c r="M461">
        <v>61100</v>
      </c>
    </row>
    <row r="462" spans="1:13" x14ac:dyDescent="0.4">
      <c r="A462" s="1">
        <v>45760</v>
      </c>
      <c r="B462" t="s">
        <v>4683</v>
      </c>
      <c r="C462" t="s">
        <v>4853</v>
      </c>
      <c r="D462">
        <v>54820</v>
      </c>
      <c r="E462" t="s">
        <v>4164</v>
      </c>
      <c r="F462">
        <v>56.63</v>
      </c>
      <c r="G462" t="s">
        <v>4686</v>
      </c>
      <c r="H462" t="s">
        <v>4687</v>
      </c>
      <c r="I462">
        <v>26653</v>
      </c>
      <c r="J462">
        <v>54428</v>
      </c>
      <c r="K462" t="s">
        <v>4167</v>
      </c>
      <c r="L462" t="str">
        <f>SUBSTITUTE(K462,"'","")</f>
        <v>320251040621690064</v>
      </c>
      <c r="M462">
        <v>54820</v>
      </c>
    </row>
    <row r="463" spans="1:13" x14ac:dyDescent="0.4">
      <c r="A463" s="1">
        <v>45760</v>
      </c>
      <c r="B463" t="s">
        <v>4683</v>
      </c>
      <c r="C463" t="s">
        <v>4854</v>
      </c>
      <c r="D463">
        <v>54820</v>
      </c>
      <c r="E463" t="s">
        <v>4168</v>
      </c>
      <c r="F463">
        <v>8</v>
      </c>
      <c r="G463" t="s">
        <v>4686</v>
      </c>
      <c r="H463" t="s">
        <v>4687</v>
      </c>
      <c r="I463">
        <v>26654</v>
      </c>
      <c r="J463">
        <v>54430</v>
      </c>
      <c r="K463" t="s">
        <v>4171</v>
      </c>
      <c r="L463" t="str">
        <f>SUBSTITUTE(K463,"'","")</f>
        <v>320251040621697338</v>
      </c>
      <c r="M463">
        <v>54820</v>
      </c>
    </row>
    <row r="464" spans="1:13" x14ac:dyDescent="0.4">
      <c r="A464" s="1">
        <v>45761</v>
      </c>
      <c r="B464" t="s">
        <v>4683</v>
      </c>
      <c r="C464" t="s">
        <v>4856</v>
      </c>
      <c r="D464">
        <v>54820</v>
      </c>
      <c r="E464" t="s">
        <v>2222</v>
      </c>
      <c r="F464">
        <v>20.18</v>
      </c>
      <c r="G464" t="s">
        <v>4686</v>
      </c>
      <c r="H464" t="s">
        <v>4687</v>
      </c>
      <c r="I464">
        <v>26451</v>
      </c>
      <c r="J464">
        <v>54024</v>
      </c>
      <c r="K464" t="s">
        <v>4163</v>
      </c>
      <c r="L464" t="str">
        <f>SUBSTITUTE(K464,"'","")</f>
        <v>320251040616890146</v>
      </c>
      <c r="M464">
        <v>54820</v>
      </c>
    </row>
    <row r="465" spans="1:13" x14ac:dyDescent="0.4">
      <c r="A465" s="1">
        <v>45761</v>
      </c>
      <c r="B465" t="s">
        <v>4683</v>
      </c>
      <c r="C465" t="s">
        <v>4855</v>
      </c>
      <c r="D465">
        <v>54820</v>
      </c>
      <c r="E465" t="s">
        <v>2217</v>
      </c>
      <c r="F465">
        <v>50.67</v>
      </c>
      <c r="G465" t="s">
        <v>4686</v>
      </c>
      <c r="H465" t="s">
        <v>4687</v>
      </c>
      <c r="I465">
        <v>26264</v>
      </c>
      <c r="J465">
        <v>53650</v>
      </c>
      <c r="K465" t="s">
        <v>4161</v>
      </c>
      <c r="L465" t="str">
        <f>SUBSTITUTE(K465,"'","")</f>
        <v>320251040616893232</v>
      </c>
      <c r="M465">
        <v>54820</v>
      </c>
    </row>
    <row r="466" spans="1:13" x14ac:dyDescent="0.4">
      <c r="A466" s="1">
        <v>45761</v>
      </c>
      <c r="B466" t="s">
        <v>4683</v>
      </c>
      <c r="C466" t="s">
        <v>4857</v>
      </c>
      <c r="D466">
        <v>54820</v>
      </c>
      <c r="E466" t="s">
        <v>3866</v>
      </c>
      <c r="F466">
        <v>14.7</v>
      </c>
      <c r="G466" t="s">
        <v>4686</v>
      </c>
      <c r="H466" t="s">
        <v>4687</v>
      </c>
      <c r="I466">
        <v>26655</v>
      </c>
      <c r="J466">
        <v>54432</v>
      </c>
      <c r="K466" t="s">
        <v>4159</v>
      </c>
      <c r="L466" t="str">
        <f>SUBSTITUTE(K466,"'","")</f>
        <v>320251040618894081</v>
      </c>
      <c r="M466">
        <v>54820</v>
      </c>
    </row>
    <row r="467" spans="1:13" x14ac:dyDescent="0.4">
      <c r="A467" s="1">
        <v>45761</v>
      </c>
      <c r="B467" t="s">
        <v>4683</v>
      </c>
      <c r="C467" t="s">
        <v>5683</v>
      </c>
      <c r="D467">
        <v>61130</v>
      </c>
      <c r="E467" t="s">
        <v>478</v>
      </c>
      <c r="F467">
        <v>205.39</v>
      </c>
      <c r="G467" t="s">
        <v>4686</v>
      </c>
      <c r="H467" t="s">
        <v>4687</v>
      </c>
      <c r="I467">
        <v>25417</v>
      </c>
      <c r="J467">
        <v>51956</v>
      </c>
      <c r="K467" t="s">
        <v>1481</v>
      </c>
      <c r="L467" t="str">
        <f>SUBSTITUTE(K467,"'","")</f>
        <v>320251040619488879</v>
      </c>
      <c r="M467">
        <v>61130</v>
      </c>
    </row>
    <row r="468" spans="1:13" x14ac:dyDescent="0.4">
      <c r="A468" s="1">
        <v>45761</v>
      </c>
      <c r="B468" t="s">
        <v>4683</v>
      </c>
      <c r="C468" t="s">
        <v>5682</v>
      </c>
      <c r="D468">
        <v>61130</v>
      </c>
      <c r="E468" t="s">
        <v>478</v>
      </c>
      <c r="F468">
        <v>32.69</v>
      </c>
      <c r="G468" t="s">
        <v>4686</v>
      </c>
      <c r="H468" t="s">
        <v>4687</v>
      </c>
      <c r="I468">
        <v>25416</v>
      </c>
      <c r="J468">
        <v>51954</v>
      </c>
      <c r="K468" t="s">
        <v>1479</v>
      </c>
      <c r="L468" t="str">
        <f>SUBSTITUTE(K468,"'","")</f>
        <v>320251040619867103</v>
      </c>
      <c r="M468">
        <v>61130</v>
      </c>
    </row>
    <row r="469" spans="1:13" x14ac:dyDescent="0.4">
      <c r="A469" s="1">
        <v>45761</v>
      </c>
      <c r="B469" t="s">
        <v>4683</v>
      </c>
      <c r="C469" t="s">
        <v>5541</v>
      </c>
      <c r="D469">
        <v>61110</v>
      </c>
      <c r="E469" t="s">
        <v>1482</v>
      </c>
      <c r="F469" s="5">
        <v>4138.93</v>
      </c>
      <c r="G469" t="s">
        <v>4686</v>
      </c>
      <c r="H469" t="s">
        <v>4687</v>
      </c>
      <c r="I469">
        <v>26007</v>
      </c>
      <c r="J469">
        <v>53136</v>
      </c>
      <c r="K469" t="s">
        <v>1486</v>
      </c>
      <c r="L469" t="str">
        <f>SUBSTITUTE(K469,"'","")</f>
        <v>320251040636338298</v>
      </c>
      <c r="M469">
        <v>61110</v>
      </c>
    </row>
    <row r="470" spans="1:13" x14ac:dyDescent="0.4">
      <c r="A470" s="1">
        <v>45761</v>
      </c>
      <c r="B470" t="s">
        <v>4683</v>
      </c>
      <c r="C470" t="s">
        <v>6421</v>
      </c>
      <c r="D470">
        <v>65700</v>
      </c>
      <c r="E470" t="s">
        <v>83</v>
      </c>
      <c r="F470">
        <v>104.4</v>
      </c>
      <c r="G470" t="s">
        <v>4686</v>
      </c>
      <c r="H470" t="s">
        <v>4687</v>
      </c>
      <c r="I470">
        <v>25547</v>
      </c>
      <c r="J470">
        <v>52216</v>
      </c>
      <c r="K470" t="s">
        <v>1477</v>
      </c>
      <c r="L470" t="str">
        <f>SUBSTITUTE(K470,"'","")</f>
        <v>320251050657151667</v>
      </c>
      <c r="M470">
        <v>65700</v>
      </c>
    </row>
    <row r="471" spans="1:13" x14ac:dyDescent="0.4">
      <c r="A471" s="1">
        <v>45762</v>
      </c>
      <c r="B471" t="s">
        <v>4683</v>
      </c>
      <c r="C471" t="s">
        <v>6468</v>
      </c>
      <c r="D471">
        <v>67500</v>
      </c>
      <c r="E471" t="s">
        <v>885</v>
      </c>
      <c r="F471">
        <v>55.35</v>
      </c>
      <c r="G471" t="s">
        <v>4686</v>
      </c>
      <c r="H471" t="s">
        <v>4687</v>
      </c>
      <c r="I471">
        <v>26359</v>
      </c>
      <c r="J471">
        <v>53840</v>
      </c>
      <c r="K471" t="s">
        <v>4155</v>
      </c>
      <c r="L471" t="str">
        <f>SUBSTITUTE(K471,"'","")</f>
        <v>320251050644554761</v>
      </c>
      <c r="M471">
        <v>67500</v>
      </c>
    </row>
    <row r="472" spans="1:13" x14ac:dyDescent="0.4">
      <c r="A472" s="1">
        <v>45762</v>
      </c>
      <c r="B472" t="s">
        <v>4683</v>
      </c>
      <c r="C472" t="s">
        <v>6400</v>
      </c>
      <c r="D472">
        <v>65600</v>
      </c>
      <c r="E472" t="s">
        <v>2208</v>
      </c>
      <c r="F472">
        <v>239</v>
      </c>
      <c r="G472" t="s">
        <v>4686</v>
      </c>
      <c r="H472" t="s">
        <v>4687</v>
      </c>
      <c r="I472">
        <v>26695</v>
      </c>
      <c r="J472">
        <v>54512</v>
      </c>
      <c r="K472" t="s">
        <v>4157</v>
      </c>
      <c r="L472" t="str">
        <f>SUBSTITUTE(K472,"'","")</f>
        <v>320251050665856093</v>
      </c>
      <c r="M472">
        <v>65600</v>
      </c>
    </row>
    <row r="473" spans="1:13" x14ac:dyDescent="0.4">
      <c r="A473" s="1">
        <v>45762</v>
      </c>
      <c r="B473" t="s">
        <v>4683</v>
      </c>
      <c r="C473" t="s">
        <v>4860</v>
      </c>
      <c r="D473">
        <v>54820</v>
      </c>
      <c r="E473" t="s">
        <v>2142</v>
      </c>
      <c r="F473">
        <v>49.82</v>
      </c>
      <c r="G473" t="s">
        <v>4686</v>
      </c>
      <c r="H473" t="s">
        <v>4687</v>
      </c>
      <c r="I473">
        <v>26588</v>
      </c>
      <c r="J473">
        <v>54298</v>
      </c>
      <c r="K473" t="s">
        <v>4149</v>
      </c>
      <c r="L473" t="str">
        <f>SUBSTITUTE(K473,"'","")</f>
        <v>320251060681142670</v>
      </c>
      <c r="M473">
        <v>54820</v>
      </c>
    </row>
    <row r="474" spans="1:13" x14ac:dyDescent="0.4">
      <c r="A474" s="1">
        <v>45762</v>
      </c>
      <c r="B474" t="s">
        <v>4683</v>
      </c>
      <c r="C474" t="s">
        <v>6175</v>
      </c>
      <c r="D474">
        <v>64100</v>
      </c>
      <c r="E474" t="s">
        <v>437</v>
      </c>
      <c r="F474">
        <v>10</v>
      </c>
      <c r="G474" t="s">
        <v>4686</v>
      </c>
      <c r="H474" t="s">
        <v>4687</v>
      </c>
      <c r="I474">
        <v>25572</v>
      </c>
      <c r="J474">
        <v>52266</v>
      </c>
      <c r="K474" t="s">
        <v>1475</v>
      </c>
      <c r="L474" t="str">
        <f>SUBSTITUTE(K474,"'","")</f>
        <v>320251060681514232</v>
      </c>
      <c r="M474">
        <v>64100</v>
      </c>
    </row>
    <row r="475" spans="1:13" x14ac:dyDescent="0.4">
      <c r="A475" s="1">
        <v>45762</v>
      </c>
      <c r="B475" t="s">
        <v>4683</v>
      </c>
      <c r="C475" t="s">
        <v>4859</v>
      </c>
      <c r="D475">
        <v>54820</v>
      </c>
      <c r="E475" t="s">
        <v>3151</v>
      </c>
      <c r="F475">
        <v>32.57</v>
      </c>
      <c r="G475" t="s">
        <v>4686</v>
      </c>
      <c r="H475" t="s">
        <v>4687</v>
      </c>
      <c r="I475">
        <v>26191</v>
      </c>
      <c r="J475">
        <v>53504</v>
      </c>
      <c r="K475" t="s">
        <v>4153</v>
      </c>
      <c r="L475" t="str">
        <f>SUBSTITUTE(K475,"'","")</f>
        <v>320251060684940527</v>
      </c>
      <c r="M475">
        <v>54820</v>
      </c>
    </row>
    <row r="476" spans="1:13" x14ac:dyDescent="0.4">
      <c r="A476" s="1">
        <v>45762</v>
      </c>
      <c r="B476" t="s">
        <v>4683</v>
      </c>
      <c r="C476" t="s">
        <v>4858</v>
      </c>
      <c r="D476">
        <v>54820</v>
      </c>
      <c r="E476" t="s">
        <v>2158</v>
      </c>
      <c r="F476">
        <v>200</v>
      </c>
      <c r="G476" t="s">
        <v>4686</v>
      </c>
      <c r="H476" t="s">
        <v>4687</v>
      </c>
      <c r="I476">
        <v>26180</v>
      </c>
      <c r="J476">
        <v>53482</v>
      </c>
      <c r="K476" t="s">
        <v>4151</v>
      </c>
      <c r="L476" t="str">
        <f>SUBSTITUTE(K476,"'","")</f>
        <v>320251070716746895</v>
      </c>
      <c r="M476">
        <v>54820</v>
      </c>
    </row>
    <row r="477" spans="1:13" x14ac:dyDescent="0.4">
      <c r="A477" s="1">
        <v>45763</v>
      </c>
      <c r="B477" t="s">
        <v>4683</v>
      </c>
      <c r="C477" t="s">
        <v>4861</v>
      </c>
      <c r="D477">
        <v>54820</v>
      </c>
      <c r="E477" t="s">
        <v>3894</v>
      </c>
      <c r="F477">
        <v>27.99</v>
      </c>
      <c r="G477" t="s">
        <v>4686</v>
      </c>
      <c r="H477" t="s">
        <v>4687</v>
      </c>
      <c r="I477">
        <v>26526</v>
      </c>
      <c r="J477">
        <v>54174</v>
      </c>
      <c r="K477" t="s">
        <v>4147</v>
      </c>
      <c r="L477" t="str">
        <f>SUBSTITUTE(K477,"'","")</f>
        <v>320251060671446179</v>
      </c>
      <c r="M477">
        <v>54820</v>
      </c>
    </row>
    <row r="478" spans="1:13" x14ac:dyDescent="0.4">
      <c r="A478" s="1">
        <v>45763</v>
      </c>
      <c r="B478" t="s">
        <v>4683</v>
      </c>
      <c r="C478" t="s">
        <v>6004</v>
      </c>
      <c r="D478">
        <v>61215</v>
      </c>
      <c r="E478" t="s">
        <v>1008</v>
      </c>
      <c r="F478">
        <v>128.47</v>
      </c>
      <c r="G478" t="s">
        <v>4686</v>
      </c>
      <c r="H478" t="s">
        <v>4687</v>
      </c>
      <c r="I478">
        <v>25965</v>
      </c>
      <c r="J478">
        <v>53052</v>
      </c>
      <c r="K478" t="s">
        <v>1471</v>
      </c>
      <c r="L478" t="str">
        <f>SUBSTITUTE(K478,"'","")</f>
        <v>320251070709450958</v>
      </c>
      <c r="M478">
        <v>61215</v>
      </c>
    </row>
    <row r="479" spans="1:13" x14ac:dyDescent="0.4">
      <c r="A479" s="1">
        <v>45763</v>
      </c>
      <c r="B479" t="s">
        <v>4683</v>
      </c>
      <c r="C479" t="s">
        <v>6005</v>
      </c>
      <c r="D479">
        <v>61215</v>
      </c>
      <c r="E479" t="s">
        <v>1008</v>
      </c>
      <c r="F479">
        <v>821</v>
      </c>
      <c r="G479" t="s">
        <v>4686</v>
      </c>
      <c r="H479" t="s">
        <v>4687</v>
      </c>
      <c r="I479">
        <v>25966</v>
      </c>
      <c r="J479">
        <v>53054</v>
      </c>
      <c r="K479" t="s">
        <v>1473</v>
      </c>
      <c r="L479" t="str">
        <f>SUBSTITUTE(K479,"'","")</f>
        <v>320251070709451326</v>
      </c>
      <c r="M479">
        <v>61215</v>
      </c>
    </row>
    <row r="480" spans="1:13" x14ac:dyDescent="0.4">
      <c r="A480" s="1">
        <v>45764</v>
      </c>
      <c r="B480" t="s">
        <v>4683</v>
      </c>
      <c r="C480" t="s">
        <v>5684</v>
      </c>
      <c r="D480">
        <v>61130</v>
      </c>
      <c r="E480" t="s">
        <v>478</v>
      </c>
      <c r="F480">
        <v>24.7</v>
      </c>
      <c r="G480" t="s">
        <v>4686</v>
      </c>
      <c r="H480" t="s">
        <v>4687</v>
      </c>
      <c r="I480">
        <v>25418</v>
      </c>
      <c r="J480">
        <v>51958</v>
      </c>
      <c r="K480" t="s">
        <v>1467</v>
      </c>
      <c r="L480" t="str">
        <f>SUBSTITUTE(K480,"'","")</f>
        <v>320251070701748843</v>
      </c>
      <c r="M480">
        <v>61130</v>
      </c>
    </row>
    <row r="481" spans="1:13" x14ac:dyDescent="0.4">
      <c r="A481" s="1">
        <v>45764</v>
      </c>
      <c r="B481" t="s">
        <v>4683</v>
      </c>
      <c r="C481" t="s">
        <v>5685</v>
      </c>
      <c r="D481">
        <v>61130</v>
      </c>
      <c r="E481" t="s">
        <v>478</v>
      </c>
      <c r="F481">
        <v>32.58</v>
      </c>
      <c r="G481" t="s">
        <v>4686</v>
      </c>
      <c r="H481" t="s">
        <v>4687</v>
      </c>
      <c r="I481">
        <v>25419</v>
      </c>
      <c r="J481">
        <v>51960</v>
      </c>
      <c r="K481" t="s">
        <v>1469</v>
      </c>
      <c r="L481" t="str">
        <f>SUBSTITUTE(K481,"'","")</f>
        <v>320251070702972226</v>
      </c>
      <c r="M481">
        <v>61130</v>
      </c>
    </row>
    <row r="482" spans="1:13" x14ac:dyDescent="0.4">
      <c r="A482" s="1">
        <v>45764</v>
      </c>
      <c r="B482" t="s">
        <v>4683</v>
      </c>
      <c r="C482" t="s">
        <v>4862</v>
      </c>
      <c r="D482">
        <v>54820</v>
      </c>
      <c r="E482" t="s">
        <v>2764</v>
      </c>
      <c r="F482">
        <v>18.57</v>
      </c>
      <c r="G482" t="s">
        <v>4686</v>
      </c>
      <c r="H482" t="s">
        <v>4687</v>
      </c>
      <c r="I482">
        <v>26730</v>
      </c>
      <c r="J482">
        <v>54582</v>
      </c>
      <c r="K482" t="s">
        <v>4145</v>
      </c>
      <c r="L482" t="str">
        <f>SUBSTITUTE(K482,"'","")</f>
        <v>320251080733549592</v>
      </c>
      <c r="M482">
        <v>54820</v>
      </c>
    </row>
    <row r="483" spans="1:13" x14ac:dyDescent="0.4">
      <c r="A483" s="1">
        <v>45765</v>
      </c>
      <c r="B483" t="s">
        <v>4683</v>
      </c>
      <c r="C483" t="s">
        <v>6469</v>
      </c>
      <c r="D483">
        <v>67500</v>
      </c>
      <c r="E483" t="s">
        <v>885</v>
      </c>
      <c r="F483">
        <v>48.65</v>
      </c>
      <c r="G483" t="s">
        <v>4686</v>
      </c>
      <c r="H483" t="s">
        <v>4687</v>
      </c>
      <c r="I483">
        <v>26360</v>
      </c>
      <c r="J483">
        <v>53842</v>
      </c>
      <c r="K483" t="s">
        <v>4141</v>
      </c>
      <c r="L483" t="str">
        <f>SUBSTITUTE(K483,"'","")</f>
        <v>320251080728304362</v>
      </c>
      <c r="M483">
        <v>67500</v>
      </c>
    </row>
    <row r="484" spans="1:13" x14ac:dyDescent="0.4">
      <c r="A484" s="1">
        <v>45765</v>
      </c>
      <c r="B484" t="s">
        <v>4683</v>
      </c>
      <c r="C484" t="s">
        <v>6056</v>
      </c>
      <c r="D484">
        <v>63100</v>
      </c>
      <c r="E484" t="s">
        <v>260</v>
      </c>
      <c r="F484">
        <v>37.049999999999997</v>
      </c>
      <c r="G484" t="s">
        <v>4686</v>
      </c>
      <c r="H484" t="s">
        <v>4687</v>
      </c>
      <c r="I484">
        <v>25693</v>
      </c>
      <c r="J484">
        <v>52508</v>
      </c>
      <c r="K484" t="s">
        <v>1465</v>
      </c>
      <c r="L484" t="str">
        <f>SUBSTITUTE(K484,"'","")</f>
        <v>320251090760192247</v>
      </c>
      <c r="M484">
        <v>63100</v>
      </c>
    </row>
    <row r="485" spans="1:13" x14ac:dyDescent="0.4">
      <c r="A485" s="1">
        <v>45765</v>
      </c>
      <c r="B485" t="s">
        <v>4683</v>
      </c>
      <c r="C485" t="s">
        <v>4864</v>
      </c>
      <c r="D485">
        <v>54820</v>
      </c>
      <c r="E485" t="s">
        <v>4137</v>
      </c>
      <c r="F485">
        <v>62.53</v>
      </c>
      <c r="G485" t="s">
        <v>4686</v>
      </c>
      <c r="H485" t="s">
        <v>4687</v>
      </c>
      <c r="I485">
        <v>26933</v>
      </c>
      <c r="J485">
        <v>54988</v>
      </c>
      <c r="K485" t="s">
        <v>4139</v>
      </c>
      <c r="L485" t="str">
        <f>SUBSTITUTE(K485,"'","")</f>
        <v>320251090765540306</v>
      </c>
      <c r="M485">
        <v>54820</v>
      </c>
    </row>
    <row r="486" spans="1:13" x14ac:dyDescent="0.4">
      <c r="A486" s="1">
        <v>45765</v>
      </c>
      <c r="B486" t="s">
        <v>4683</v>
      </c>
      <c r="C486" t="s">
        <v>5897</v>
      </c>
      <c r="D486">
        <v>61131</v>
      </c>
      <c r="E486" t="s">
        <v>1460</v>
      </c>
      <c r="F486">
        <v>6.08</v>
      </c>
      <c r="G486" t="s">
        <v>4686</v>
      </c>
      <c r="H486" t="s">
        <v>4687</v>
      </c>
      <c r="I486">
        <v>26094</v>
      </c>
      <c r="J486">
        <v>53310</v>
      </c>
      <c r="K486" t="s">
        <v>1463</v>
      </c>
      <c r="L486" t="str">
        <f>SUBSTITUTE(K486,"'","")</f>
        <v>320251090766513622</v>
      </c>
      <c r="M486">
        <v>61131</v>
      </c>
    </row>
    <row r="487" spans="1:13" x14ac:dyDescent="0.4">
      <c r="A487" s="1">
        <v>45765</v>
      </c>
      <c r="B487" t="s">
        <v>4683</v>
      </c>
      <c r="C487" t="s">
        <v>5896</v>
      </c>
      <c r="D487">
        <v>61131</v>
      </c>
      <c r="E487" t="s">
        <v>1455</v>
      </c>
      <c r="F487">
        <v>304.20999999999998</v>
      </c>
      <c r="G487" t="s">
        <v>4686</v>
      </c>
      <c r="H487" t="s">
        <v>4687</v>
      </c>
      <c r="I487">
        <v>26093</v>
      </c>
      <c r="J487">
        <v>53308</v>
      </c>
      <c r="K487" t="s">
        <v>1458</v>
      </c>
      <c r="L487" t="str">
        <f>SUBSTITUTE(K487,"'","")</f>
        <v>320251090768141186</v>
      </c>
      <c r="M487">
        <v>61131</v>
      </c>
    </row>
    <row r="488" spans="1:13" x14ac:dyDescent="0.4">
      <c r="A488" s="1">
        <v>45765</v>
      </c>
      <c r="B488" t="s">
        <v>4683</v>
      </c>
      <c r="C488" t="s">
        <v>4863</v>
      </c>
      <c r="D488">
        <v>54820</v>
      </c>
      <c r="E488" t="s">
        <v>2240</v>
      </c>
      <c r="F488">
        <v>39.619999999999997</v>
      </c>
      <c r="G488" t="s">
        <v>4686</v>
      </c>
      <c r="H488" t="s">
        <v>4687</v>
      </c>
      <c r="I488">
        <v>26129</v>
      </c>
      <c r="J488">
        <v>53380</v>
      </c>
      <c r="K488" t="s">
        <v>4143</v>
      </c>
      <c r="L488" t="str">
        <f>SUBSTITUTE(K488,"'","")</f>
        <v>320251090768713729</v>
      </c>
      <c r="M488">
        <v>54820</v>
      </c>
    </row>
    <row r="489" spans="1:13" x14ac:dyDescent="0.4">
      <c r="A489" s="1">
        <v>45766</v>
      </c>
      <c r="B489" t="s">
        <v>4683</v>
      </c>
      <c r="C489" t="s">
        <v>4866</v>
      </c>
      <c r="D489">
        <v>54820</v>
      </c>
      <c r="E489" t="s">
        <v>3884</v>
      </c>
      <c r="F489">
        <v>25.25</v>
      </c>
      <c r="G489" t="s">
        <v>4686</v>
      </c>
      <c r="H489" t="s">
        <v>4687</v>
      </c>
      <c r="I489">
        <v>26542</v>
      </c>
      <c r="J489">
        <v>54206</v>
      </c>
      <c r="K489" t="s">
        <v>4121</v>
      </c>
      <c r="L489" t="str">
        <f>SUBSTITUTE(K489,"'","")</f>
        <v>320251090755733879</v>
      </c>
      <c r="M489">
        <v>54820</v>
      </c>
    </row>
    <row r="490" spans="1:13" x14ac:dyDescent="0.4">
      <c r="A490" s="1">
        <v>45766</v>
      </c>
      <c r="B490" t="s">
        <v>4683</v>
      </c>
      <c r="C490" t="s">
        <v>4867</v>
      </c>
      <c r="D490">
        <v>54820</v>
      </c>
      <c r="E490" t="s">
        <v>3866</v>
      </c>
      <c r="F490">
        <v>8.35</v>
      </c>
      <c r="G490" t="s">
        <v>4686</v>
      </c>
      <c r="H490" t="s">
        <v>4687</v>
      </c>
      <c r="I490">
        <v>26656</v>
      </c>
      <c r="J490">
        <v>54434</v>
      </c>
      <c r="K490" t="s">
        <v>4123</v>
      </c>
      <c r="L490" t="str">
        <f>SUBSTITUTE(K490,"'","")</f>
        <v>320251090756957301</v>
      </c>
      <c r="M490">
        <v>54820</v>
      </c>
    </row>
    <row r="491" spans="1:13" x14ac:dyDescent="0.4">
      <c r="A491" s="1">
        <v>45766</v>
      </c>
      <c r="B491" t="s">
        <v>4683</v>
      </c>
      <c r="C491" t="s">
        <v>5564</v>
      </c>
      <c r="D491">
        <v>61120</v>
      </c>
      <c r="E491" t="s">
        <v>1243</v>
      </c>
      <c r="F491">
        <v>558.95000000000005</v>
      </c>
      <c r="G491" t="s">
        <v>4686</v>
      </c>
      <c r="H491" t="s">
        <v>4687</v>
      </c>
      <c r="I491">
        <v>25678</v>
      </c>
      <c r="J491">
        <v>52478</v>
      </c>
      <c r="K491" t="s">
        <v>1452</v>
      </c>
      <c r="L491" t="str">
        <f>SUBSTITUTE(K491,"'","")</f>
        <v>320251090769967148</v>
      </c>
      <c r="M491">
        <v>61120</v>
      </c>
    </row>
    <row r="492" spans="1:13" x14ac:dyDescent="0.4">
      <c r="A492" s="1">
        <v>45766</v>
      </c>
      <c r="B492" t="s">
        <v>4683</v>
      </c>
      <c r="C492" t="s">
        <v>5565</v>
      </c>
      <c r="D492">
        <v>61120</v>
      </c>
      <c r="E492" t="s">
        <v>1243</v>
      </c>
      <c r="F492">
        <v>558.95000000000005</v>
      </c>
      <c r="G492" t="s">
        <v>4686</v>
      </c>
      <c r="H492" t="s">
        <v>4687</v>
      </c>
      <c r="I492">
        <v>25679</v>
      </c>
      <c r="J492">
        <v>52480</v>
      </c>
      <c r="K492" t="s">
        <v>1454</v>
      </c>
      <c r="L492" t="str">
        <f>SUBSTITUTE(K492,"'","")</f>
        <v>320251090773821026</v>
      </c>
      <c r="M492">
        <v>61120</v>
      </c>
    </row>
    <row r="493" spans="1:13" x14ac:dyDescent="0.4">
      <c r="A493" s="1">
        <v>45766</v>
      </c>
      <c r="B493" t="s">
        <v>4683</v>
      </c>
      <c r="C493" t="s">
        <v>4868</v>
      </c>
      <c r="D493">
        <v>54820</v>
      </c>
      <c r="E493" t="s">
        <v>3154</v>
      </c>
      <c r="F493">
        <v>272.83</v>
      </c>
      <c r="G493" t="s">
        <v>4686</v>
      </c>
      <c r="H493" t="s">
        <v>4687</v>
      </c>
      <c r="I493">
        <v>26668</v>
      </c>
      <c r="J493">
        <v>54458</v>
      </c>
      <c r="K493" t="s">
        <v>4132</v>
      </c>
      <c r="L493" t="str">
        <f>SUBSTITUTE(K493,"'","")</f>
        <v>320251100789721100</v>
      </c>
      <c r="M493">
        <v>54820</v>
      </c>
    </row>
    <row r="494" spans="1:13" x14ac:dyDescent="0.4">
      <c r="A494" s="1">
        <v>45766</v>
      </c>
      <c r="B494" t="s">
        <v>4683</v>
      </c>
      <c r="C494" t="s">
        <v>4869</v>
      </c>
      <c r="D494">
        <v>54820</v>
      </c>
      <c r="E494" t="s">
        <v>4124</v>
      </c>
      <c r="F494">
        <v>68.599999999999994</v>
      </c>
      <c r="G494" t="s">
        <v>4686</v>
      </c>
      <c r="H494" t="s">
        <v>4687</v>
      </c>
      <c r="I494">
        <v>26934</v>
      </c>
      <c r="J494">
        <v>54990</v>
      </c>
      <c r="K494" t="s">
        <v>4128</v>
      </c>
      <c r="L494" t="str">
        <f>SUBSTITUTE(K494,"'","")</f>
        <v>320251100792820109</v>
      </c>
      <c r="M494">
        <v>54820</v>
      </c>
    </row>
    <row r="495" spans="1:13" x14ac:dyDescent="0.4">
      <c r="A495" s="1">
        <v>45766</v>
      </c>
      <c r="B495" t="s">
        <v>4683</v>
      </c>
      <c r="C495" t="s">
        <v>4870</v>
      </c>
      <c r="D495">
        <v>54820</v>
      </c>
      <c r="E495" t="s">
        <v>4133</v>
      </c>
      <c r="F495">
        <v>67.489999999999995</v>
      </c>
      <c r="G495" t="s">
        <v>4686</v>
      </c>
      <c r="H495" t="s">
        <v>4687</v>
      </c>
      <c r="I495">
        <v>26935</v>
      </c>
      <c r="J495">
        <v>54992</v>
      </c>
      <c r="K495" t="s">
        <v>4136</v>
      </c>
      <c r="L495" t="str">
        <f>SUBSTITUTE(K495,"'","")</f>
        <v>320251100798224697</v>
      </c>
      <c r="M495">
        <v>54820</v>
      </c>
    </row>
    <row r="496" spans="1:13" x14ac:dyDescent="0.4">
      <c r="A496" s="1">
        <v>45766</v>
      </c>
      <c r="B496" t="s">
        <v>4683</v>
      </c>
      <c r="C496" t="s">
        <v>4865</v>
      </c>
      <c r="D496">
        <v>54820</v>
      </c>
      <c r="E496" t="s">
        <v>140</v>
      </c>
      <c r="F496">
        <v>21.76</v>
      </c>
      <c r="G496" t="s">
        <v>4686</v>
      </c>
      <c r="H496" t="s">
        <v>4687</v>
      </c>
      <c r="I496">
        <v>25703</v>
      </c>
      <c r="J496">
        <v>52528</v>
      </c>
      <c r="K496" t="s">
        <v>1450</v>
      </c>
      <c r="L496" t="str">
        <f>SUBSTITUTE(K496,"'","")</f>
        <v>320251110810170510</v>
      </c>
      <c r="M496">
        <v>54820</v>
      </c>
    </row>
    <row r="497" spans="1:13" x14ac:dyDescent="0.4">
      <c r="A497" s="1">
        <v>45767</v>
      </c>
      <c r="B497" t="s">
        <v>4683</v>
      </c>
      <c r="C497" t="s">
        <v>4872</v>
      </c>
      <c r="D497">
        <v>54820</v>
      </c>
      <c r="E497" t="s">
        <v>3894</v>
      </c>
      <c r="F497">
        <v>13.9</v>
      </c>
      <c r="G497" t="s">
        <v>4686</v>
      </c>
      <c r="H497" t="s">
        <v>4687</v>
      </c>
      <c r="I497">
        <v>26527</v>
      </c>
      <c r="J497">
        <v>54176</v>
      </c>
      <c r="K497" t="s">
        <v>4113</v>
      </c>
      <c r="L497" t="str">
        <f>SUBSTITUTE(K497,"'","")</f>
        <v>320251100786439791</v>
      </c>
      <c r="M497">
        <v>54820</v>
      </c>
    </row>
    <row r="498" spans="1:13" x14ac:dyDescent="0.4">
      <c r="A498" s="1">
        <v>45767</v>
      </c>
      <c r="B498" t="s">
        <v>4683</v>
      </c>
      <c r="C498" t="s">
        <v>5570</v>
      </c>
      <c r="D498">
        <v>61120</v>
      </c>
      <c r="E498" t="s">
        <v>906</v>
      </c>
      <c r="F498">
        <v>9.9499999999999993</v>
      </c>
      <c r="G498" t="s">
        <v>4686</v>
      </c>
      <c r="H498" t="s">
        <v>4687</v>
      </c>
      <c r="I498">
        <v>25790</v>
      </c>
      <c r="J498">
        <v>52702</v>
      </c>
      <c r="K498" t="s">
        <v>1446</v>
      </c>
      <c r="L498" t="str">
        <f>SUBSTITUTE(K498,"'","")</f>
        <v>320251100802347302</v>
      </c>
      <c r="M498">
        <v>61120</v>
      </c>
    </row>
    <row r="499" spans="1:13" x14ac:dyDescent="0.4">
      <c r="A499" s="1">
        <v>45767</v>
      </c>
      <c r="B499" t="s">
        <v>4683</v>
      </c>
      <c r="C499" t="s">
        <v>5571</v>
      </c>
      <c r="D499">
        <v>61120</v>
      </c>
      <c r="E499" t="s">
        <v>906</v>
      </c>
      <c r="F499">
        <v>9.9499999999999993</v>
      </c>
      <c r="G499" t="s">
        <v>4686</v>
      </c>
      <c r="H499" t="s">
        <v>4687</v>
      </c>
      <c r="I499">
        <v>25791</v>
      </c>
      <c r="J499">
        <v>52704</v>
      </c>
      <c r="K499" t="s">
        <v>1448</v>
      </c>
      <c r="L499" t="str">
        <f>SUBSTITUTE(K499,"'","")</f>
        <v>320251100802347303</v>
      </c>
      <c r="M499">
        <v>61120</v>
      </c>
    </row>
    <row r="500" spans="1:13" x14ac:dyDescent="0.4">
      <c r="A500" s="1">
        <v>45767</v>
      </c>
      <c r="B500" t="s">
        <v>4683</v>
      </c>
      <c r="C500" t="s">
        <v>5566</v>
      </c>
      <c r="D500">
        <v>61120</v>
      </c>
      <c r="E500" t="s">
        <v>888</v>
      </c>
      <c r="F500">
        <v>14</v>
      </c>
      <c r="G500" t="s">
        <v>4686</v>
      </c>
      <c r="H500" t="s">
        <v>4687</v>
      </c>
      <c r="I500">
        <v>25766</v>
      </c>
      <c r="J500">
        <v>52654</v>
      </c>
      <c r="K500" t="s">
        <v>1436</v>
      </c>
      <c r="L500" t="str">
        <f>SUBSTITUTE(K500,"'","")</f>
        <v>320251100802347304</v>
      </c>
      <c r="M500">
        <v>61120</v>
      </c>
    </row>
    <row r="501" spans="1:13" x14ac:dyDescent="0.4">
      <c r="A501" s="1">
        <v>45767</v>
      </c>
      <c r="B501" t="s">
        <v>4683</v>
      </c>
      <c r="C501" t="s">
        <v>5567</v>
      </c>
      <c r="D501">
        <v>61120</v>
      </c>
      <c r="E501" t="s">
        <v>888</v>
      </c>
      <c r="F501">
        <v>14</v>
      </c>
      <c r="G501" t="s">
        <v>4686</v>
      </c>
      <c r="H501" t="s">
        <v>4687</v>
      </c>
      <c r="I501">
        <v>25767</v>
      </c>
      <c r="J501">
        <v>52656</v>
      </c>
      <c r="K501" t="s">
        <v>1438</v>
      </c>
      <c r="L501" t="str">
        <f>SUBSTITUTE(K501,"'","")</f>
        <v>320251100802347305</v>
      </c>
      <c r="M501">
        <v>61120</v>
      </c>
    </row>
    <row r="502" spans="1:13" x14ac:dyDescent="0.4">
      <c r="A502" s="1">
        <v>45767</v>
      </c>
      <c r="B502" t="s">
        <v>4683</v>
      </c>
      <c r="C502" t="s">
        <v>5568</v>
      </c>
      <c r="D502">
        <v>61120</v>
      </c>
      <c r="E502" t="s">
        <v>895</v>
      </c>
      <c r="F502">
        <v>9.9499999999999993</v>
      </c>
      <c r="G502" t="s">
        <v>4686</v>
      </c>
      <c r="H502" t="s">
        <v>4687</v>
      </c>
      <c r="I502">
        <v>25768</v>
      </c>
      <c r="J502">
        <v>52658</v>
      </c>
      <c r="K502" t="s">
        <v>1440</v>
      </c>
      <c r="L502" t="str">
        <f>SUBSTITUTE(K502,"'","")</f>
        <v>320251100802347306</v>
      </c>
      <c r="M502">
        <v>61120</v>
      </c>
    </row>
    <row r="503" spans="1:13" x14ac:dyDescent="0.4">
      <c r="A503" s="1">
        <v>45767</v>
      </c>
      <c r="B503" t="s">
        <v>4683</v>
      </c>
      <c r="C503" t="s">
        <v>5569</v>
      </c>
      <c r="D503">
        <v>61120</v>
      </c>
      <c r="E503" t="s">
        <v>895</v>
      </c>
      <c r="F503">
        <v>9.9499999999999993</v>
      </c>
      <c r="G503" t="s">
        <v>4686</v>
      </c>
      <c r="H503" t="s">
        <v>4687</v>
      </c>
      <c r="I503">
        <v>25769</v>
      </c>
      <c r="J503">
        <v>52660</v>
      </c>
      <c r="K503" t="s">
        <v>1442</v>
      </c>
      <c r="L503" t="str">
        <f>SUBSTITUTE(K503,"'","")</f>
        <v>320251100802347307</v>
      </c>
      <c r="M503">
        <v>61120</v>
      </c>
    </row>
    <row r="504" spans="1:13" x14ac:dyDescent="0.4">
      <c r="A504" s="1">
        <v>45767</v>
      </c>
      <c r="B504" t="s">
        <v>4683</v>
      </c>
      <c r="C504" t="s">
        <v>6057</v>
      </c>
      <c r="D504">
        <v>63100</v>
      </c>
      <c r="E504" t="s">
        <v>57</v>
      </c>
      <c r="F504">
        <v>19.14</v>
      </c>
      <c r="G504" t="s">
        <v>4686</v>
      </c>
      <c r="H504" t="s">
        <v>4687</v>
      </c>
      <c r="I504">
        <v>25664</v>
      </c>
      <c r="J504">
        <v>52450</v>
      </c>
      <c r="K504" t="s">
        <v>1444</v>
      </c>
      <c r="L504" t="str">
        <f>SUBSTITUTE(K504,"'","")</f>
        <v>320251110807302624</v>
      </c>
      <c r="M504">
        <v>63100</v>
      </c>
    </row>
    <row r="505" spans="1:13" x14ac:dyDescent="0.4">
      <c r="A505" s="1">
        <v>45767</v>
      </c>
      <c r="B505" t="s">
        <v>4683</v>
      </c>
      <c r="C505" t="s">
        <v>4873</v>
      </c>
      <c r="D505">
        <v>54820</v>
      </c>
      <c r="E505" t="s">
        <v>4114</v>
      </c>
      <c r="F505">
        <v>7.27</v>
      </c>
      <c r="G505" t="s">
        <v>4686</v>
      </c>
      <c r="H505" t="s">
        <v>4687</v>
      </c>
      <c r="I505">
        <v>26936</v>
      </c>
      <c r="J505">
        <v>54994</v>
      </c>
      <c r="K505" t="s">
        <v>4117</v>
      </c>
      <c r="L505" t="str">
        <f>SUBSTITUTE(K505,"'","")</f>
        <v>320251110812543555</v>
      </c>
      <c r="M505">
        <v>54820</v>
      </c>
    </row>
    <row r="506" spans="1:13" x14ac:dyDescent="0.4">
      <c r="A506" s="1">
        <v>45767</v>
      </c>
      <c r="B506" t="s">
        <v>4683</v>
      </c>
      <c r="C506" t="s">
        <v>4871</v>
      </c>
      <c r="D506">
        <v>54820</v>
      </c>
      <c r="E506" t="s">
        <v>2240</v>
      </c>
      <c r="F506">
        <v>51.15</v>
      </c>
      <c r="G506" t="s">
        <v>4686</v>
      </c>
      <c r="H506" t="s">
        <v>4687</v>
      </c>
      <c r="I506">
        <v>26130</v>
      </c>
      <c r="J506">
        <v>53382</v>
      </c>
      <c r="K506" t="s">
        <v>4119</v>
      </c>
      <c r="L506" t="str">
        <f>SUBSTITUTE(K506,"'","")</f>
        <v>320251110819305262</v>
      </c>
      <c r="M506">
        <v>54820</v>
      </c>
    </row>
    <row r="507" spans="1:13" x14ac:dyDescent="0.4">
      <c r="A507" s="1">
        <v>45768</v>
      </c>
      <c r="B507" t="s">
        <v>4683</v>
      </c>
      <c r="C507" t="s">
        <v>6176</v>
      </c>
      <c r="D507">
        <v>64100</v>
      </c>
      <c r="E507" t="s">
        <v>4104</v>
      </c>
      <c r="F507">
        <v>15</v>
      </c>
      <c r="G507" t="s">
        <v>4686</v>
      </c>
      <c r="H507" t="s">
        <v>4687</v>
      </c>
      <c r="I507">
        <v>26661</v>
      </c>
      <c r="J507">
        <v>54444</v>
      </c>
      <c r="K507" t="s">
        <v>4106</v>
      </c>
      <c r="L507" t="str">
        <f>SUBSTITUTE(K507,"'","")</f>
        <v>320251110807851792</v>
      </c>
      <c r="M507">
        <v>64100</v>
      </c>
    </row>
    <row r="508" spans="1:13" x14ac:dyDescent="0.4">
      <c r="A508" s="1">
        <v>45768</v>
      </c>
      <c r="B508" t="s">
        <v>4683</v>
      </c>
      <c r="C508" t="s">
        <v>5523</v>
      </c>
      <c r="D508">
        <v>61100</v>
      </c>
      <c r="E508" t="s">
        <v>1426</v>
      </c>
      <c r="F508" s="5">
        <v>1856.4</v>
      </c>
      <c r="G508" t="s">
        <v>4686</v>
      </c>
      <c r="H508" t="s">
        <v>4687</v>
      </c>
      <c r="I508">
        <v>25887</v>
      </c>
      <c r="J508">
        <v>52896</v>
      </c>
      <c r="K508" t="s">
        <v>1428</v>
      </c>
      <c r="L508" t="str">
        <f>SUBSTITUTE(K508,"'","")</f>
        <v>320251110814395515</v>
      </c>
      <c r="M508">
        <v>61100</v>
      </c>
    </row>
    <row r="509" spans="1:13" x14ac:dyDescent="0.4">
      <c r="A509" s="1">
        <v>45768</v>
      </c>
      <c r="B509" t="s">
        <v>4683</v>
      </c>
      <c r="C509" t="s">
        <v>4874</v>
      </c>
      <c r="D509">
        <v>54820</v>
      </c>
      <c r="E509" t="s">
        <v>4107</v>
      </c>
      <c r="F509">
        <v>82.01</v>
      </c>
      <c r="G509" t="s">
        <v>4686</v>
      </c>
      <c r="H509" t="s">
        <v>4687</v>
      </c>
      <c r="I509">
        <v>26670</v>
      </c>
      <c r="J509">
        <v>54462</v>
      </c>
      <c r="K509" t="s">
        <v>4110</v>
      </c>
      <c r="L509" t="str">
        <f>SUBSTITUTE(K509,"'","")</f>
        <v>320251120838278911</v>
      </c>
      <c r="M509">
        <v>54820</v>
      </c>
    </row>
    <row r="510" spans="1:13" x14ac:dyDescent="0.4">
      <c r="A510" s="1">
        <v>45768</v>
      </c>
      <c r="B510" t="s">
        <v>4683</v>
      </c>
      <c r="C510" t="s">
        <v>6006</v>
      </c>
      <c r="D510">
        <v>61215</v>
      </c>
      <c r="E510" t="s">
        <v>1431</v>
      </c>
      <c r="F510" s="5">
        <v>1080</v>
      </c>
      <c r="G510" t="s">
        <v>4686</v>
      </c>
      <c r="H510" t="s">
        <v>4687</v>
      </c>
      <c r="I510">
        <v>25967</v>
      </c>
      <c r="J510">
        <v>53056</v>
      </c>
      <c r="K510" t="s">
        <v>1434</v>
      </c>
      <c r="L510" t="str">
        <f>SUBSTITUTE(K510,"'","")</f>
        <v>320251120839186464</v>
      </c>
      <c r="M510">
        <v>61215</v>
      </c>
    </row>
    <row r="511" spans="1:13" x14ac:dyDescent="0.4">
      <c r="A511" s="1">
        <v>45768</v>
      </c>
      <c r="B511" t="s">
        <v>4683</v>
      </c>
      <c r="C511" t="s">
        <v>5898</v>
      </c>
      <c r="D511">
        <v>61131</v>
      </c>
      <c r="E511" t="s">
        <v>38</v>
      </c>
      <c r="F511">
        <v>931.67</v>
      </c>
      <c r="G511" t="s">
        <v>4686</v>
      </c>
      <c r="H511" t="s">
        <v>4687</v>
      </c>
      <c r="I511">
        <v>25630</v>
      </c>
      <c r="J511">
        <v>52382</v>
      </c>
      <c r="K511" t="s">
        <v>1430</v>
      </c>
      <c r="L511" t="str">
        <f>SUBSTITUTE(K511,"'","")</f>
        <v>320251120845875199</v>
      </c>
      <c r="M511">
        <v>61131</v>
      </c>
    </row>
    <row r="512" spans="1:13" x14ac:dyDescent="0.4">
      <c r="A512" s="1">
        <v>45769</v>
      </c>
      <c r="B512" t="s">
        <v>4683</v>
      </c>
      <c r="C512" t="s">
        <v>6179</v>
      </c>
      <c r="D512">
        <v>64100</v>
      </c>
      <c r="E512" t="s">
        <v>213</v>
      </c>
      <c r="F512">
        <v>192.6</v>
      </c>
      <c r="G512" t="s">
        <v>4686</v>
      </c>
      <c r="H512" t="s">
        <v>4687</v>
      </c>
      <c r="I512">
        <v>25923</v>
      </c>
      <c r="J512">
        <v>52968</v>
      </c>
      <c r="K512" t="s">
        <v>1419</v>
      </c>
      <c r="L512" t="str">
        <f>SUBSTITUTE(K512,"'","")</f>
        <v>320251120831122898</v>
      </c>
      <c r="M512">
        <v>64100</v>
      </c>
    </row>
    <row r="513" spans="1:13" x14ac:dyDescent="0.4">
      <c r="A513" s="1">
        <v>45769</v>
      </c>
      <c r="B513" t="s">
        <v>4683</v>
      </c>
      <c r="C513" t="s">
        <v>6177</v>
      </c>
      <c r="D513">
        <v>64100</v>
      </c>
      <c r="E513" t="s">
        <v>32</v>
      </c>
      <c r="F513">
        <v>21.4</v>
      </c>
      <c r="G513" t="s">
        <v>4686</v>
      </c>
      <c r="H513" t="s">
        <v>4687</v>
      </c>
      <c r="I513">
        <v>25562</v>
      </c>
      <c r="J513">
        <v>52246</v>
      </c>
      <c r="K513" t="s">
        <v>1421</v>
      </c>
      <c r="L513" t="str">
        <f>SUBSTITUTE(K513,"'","")</f>
        <v>320251120833740747</v>
      </c>
      <c r="M513">
        <v>64100</v>
      </c>
    </row>
    <row r="514" spans="1:13" x14ac:dyDescent="0.4">
      <c r="A514" s="1">
        <v>45769</v>
      </c>
      <c r="B514" t="s">
        <v>4683</v>
      </c>
      <c r="C514" t="s">
        <v>4875</v>
      </c>
      <c r="D514">
        <v>54820</v>
      </c>
      <c r="E514" t="s">
        <v>4100</v>
      </c>
      <c r="F514">
        <v>249.01</v>
      </c>
      <c r="G514" t="s">
        <v>4686</v>
      </c>
      <c r="H514" t="s">
        <v>4687</v>
      </c>
      <c r="I514">
        <v>26937</v>
      </c>
      <c r="J514">
        <v>54996</v>
      </c>
      <c r="K514" t="s">
        <v>4103</v>
      </c>
      <c r="L514" t="str">
        <f>SUBSTITUTE(K514,"'","")</f>
        <v>320251120852350785</v>
      </c>
      <c r="M514">
        <v>54820</v>
      </c>
    </row>
    <row r="515" spans="1:13" x14ac:dyDescent="0.4">
      <c r="A515" s="1">
        <v>45769</v>
      </c>
      <c r="B515" t="s">
        <v>4683</v>
      </c>
      <c r="C515" t="s">
        <v>6178</v>
      </c>
      <c r="D515">
        <v>64100</v>
      </c>
      <c r="E515" t="s">
        <v>1422</v>
      </c>
      <c r="F515">
        <v>243.96</v>
      </c>
      <c r="G515" t="s">
        <v>4686</v>
      </c>
      <c r="H515" t="s">
        <v>4687</v>
      </c>
      <c r="I515">
        <v>25716</v>
      </c>
      <c r="J515">
        <v>52554</v>
      </c>
      <c r="K515" t="s">
        <v>1425</v>
      </c>
      <c r="L515" t="str">
        <f>SUBSTITUTE(K515,"'","")</f>
        <v>320251130860503262</v>
      </c>
      <c r="M515">
        <v>64100</v>
      </c>
    </row>
    <row r="516" spans="1:13" x14ac:dyDescent="0.4">
      <c r="A516" s="1">
        <v>45770</v>
      </c>
      <c r="B516" t="s">
        <v>4683</v>
      </c>
      <c r="C516" t="s">
        <v>4876</v>
      </c>
      <c r="D516">
        <v>54820</v>
      </c>
      <c r="E516" t="s">
        <v>3866</v>
      </c>
      <c r="F516">
        <v>10.79</v>
      </c>
      <c r="G516" t="s">
        <v>4686</v>
      </c>
      <c r="H516" t="s">
        <v>4687</v>
      </c>
      <c r="I516">
        <v>26657</v>
      </c>
      <c r="J516">
        <v>54436</v>
      </c>
      <c r="K516" t="s">
        <v>4099</v>
      </c>
      <c r="L516" t="str">
        <f>SUBSTITUTE(K516,"'","")</f>
        <v>320251130860991446</v>
      </c>
      <c r="M516">
        <v>54820</v>
      </c>
    </row>
    <row r="517" spans="1:13" x14ac:dyDescent="0.4">
      <c r="A517" s="1">
        <v>45770</v>
      </c>
      <c r="B517" t="s">
        <v>4683</v>
      </c>
      <c r="C517" t="s">
        <v>6470</v>
      </c>
      <c r="D517">
        <v>67500</v>
      </c>
      <c r="E517" t="s">
        <v>885</v>
      </c>
      <c r="F517">
        <v>72</v>
      </c>
      <c r="G517" t="s">
        <v>4686</v>
      </c>
      <c r="H517" t="s">
        <v>4687</v>
      </c>
      <c r="I517">
        <v>25871</v>
      </c>
      <c r="J517">
        <v>52864</v>
      </c>
      <c r="K517" t="s">
        <v>1417</v>
      </c>
      <c r="L517" t="str">
        <f>SUBSTITUTE(K517,"'","")</f>
        <v>320251130862153169</v>
      </c>
      <c r="M517">
        <v>67500</v>
      </c>
    </row>
    <row r="518" spans="1:13" x14ac:dyDescent="0.4">
      <c r="A518" s="1">
        <v>45770</v>
      </c>
      <c r="B518" t="s">
        <v>4683</v>
      </c>
      <c r="C518" t="s">
        <v>6007</v>
      </c>
      <c r="D518">
        <v>61215</v>
      </c>
      <c r="E518" t="s">
        <v>1412</v>
      </c>
      <c r="F518">
        <v>650</v>
      </c>
      <c r="G518" t="s">
        <v>4686</v>
      </c>
      <c r="H518" t="s">
        <v>4687</v>
      </c>
      <c r="I518">
        <v>25968</v>
      </c>
      <c r="J518">
        <v>53058</v>
      </c>
      <c r="K518" t="s">
        <v>1415</v>
      </c>
      <c r="L518" t="str">
        <f>SUBSTITUTE(K518,"'","")</f>
        <v>320251140905938230</v>
      </c>
      <c r="M518">
        <v>61215</v>
      </c>
    </row>
    <row r="519" spans="1:13" x14ac:dyDescent="0.4">
      <c r="A519" s="1">
        <v>45771</v>
      </c>
      <c r="B519" t="s">
        <v>4683</v>
      </c>
      <c r="C519" t="s">
        <v>5686</v>
      </c>
      <c r="D519">
        <v>61130</v>
      </c>
      <c r="E519" t="s">
        <v>478</v>
      </c>
      <c r="F519">
        <v>38.83</v>
      </c>
      <c r="G519" t="s">
        <v>4686</v>
      </c>
      <c r="H519" t="s">
        <v>4687</v>
      </c>
      <c r="I519">
        <v>25420</v>
      </c>
      <c r="J519">
        <v>51962</v>
      </c>
      <c r="K519" t="s">
        <v>1407</v>
      </c>
      <c r="L519" t="str">
        <f>SUBSTITUTE(K519,"'","")</f>
        <v>320251140885867416</v>
      </c>
      <c r="M519">
        <v>61130</v>
      </c>
    </row>
    <row r="520" spans="1:13" x14ac:dyDescent="0.4">
      <c r="A520" s="1">
        <v>45771</v>
      </c>
      <c r="B520" t="s">
        <v>4683</v>
      </c>
      <c r="C520" t="s">
        <v>5688</v>
      </c>
      <c r="D520">
        <v>61130</v>
      </c>
      <c r="E520" t="s">
        <v>478</v>
      </c>
      <c r="F520">
        <v>70.510000000000005</v>
      </c>
      <c r="G520" t="s">
        <v>4686</v>
      </c>
      <c r="H520" t="s">
        <v>4687</v>
      </c>
      <c r="I520">
        <v>25422</v>
      </c>
      <c r="J520">
        <v>51966</v>
      </c>
      <c r="K520" t="s">
        <v>1411</v>
      </c>
      <c r="L520" t="str">
        <f>SUBSTITUTE(K520,"'","")</f>
        <v>320251140885905870</v>
      </c>
      <c r="M520">
        <v>61130</v>
      </c>
    </row>
    <row r="521" spans="1:13" x14ac:dyDescent="0.4">
      <c r="A521" s="1">
        <v>45771</v>
      </c>
      <c r="B521" t="s">
        <v>4683</v>
      </c>
      <c r="C521" t="s">
        <v>5687</v>
      </c>
      <c r="D521">
        <v>61130</v>
      </c>
      <c r="E521" t="s">
        <v>478</v>
      </c>
      <c r="F521">
        <v>63.73</v>
      </c>
      <c r="G521" t="s">
        <v>4686</v>
      </c>
      <c r="H521" t="s">
        <v>4687</v>
      </c>
      <c r="I521">
        <v>25421</v>
      </c>
      <c r="J521">
        <v>51964</v>
      </c>
      <c r="K521" t="s">
        <v>1409</v>
      </c>
      <c r="L521" t="str">
        <f>SUBSTITUTE(K521,"'","")</f>
        <v>320251140886365100</v>
      </c>
      <c r="M521">
        <v>61130</v>
      </c>
    </row>
    <row r="522" spans="1:13" x14ac:dyDescent="0.4">
      <c r="A522" s="1">
        <v>45771</v>
      </c>
      <c r="B522" t="s">
        <v>4683</v>
      </c>
      <c r="C522" t="s">
        <v>6471</v>
      </c>
      <c r="D522">
        <v>67500</v>
      </c>
      <c r="E522" t="s">
        <v>885</v>
      </c>
      <c r="F522">
        <v>77.760000000000005</v>
      </c>
      <c r="G522" t="s">
        <v>4686</v>
      </c>
      <c r="H522" t="s">
        <v>4687</v>
      </c>
      <c r="I522">
        <v>26361</v>
      </c>
      <c r="J522">
        <v>53844</v>
      </c>
      <c r="K522" t="s">
        <v>4097</v>
      </c>
      <c r="L522" t="str">
        <f>SUBSTITUTE(K522,"'","")</f>
        <v>320251140888688715</v>
      </c>
      <c r="M522">
        <v>67500</v>
      </c>
    </row>
    <row r="523" spans="1:13" x14ac:dyDescent="0.4">
      <c r="A523" s="1">
        <v>45771</v>
      </c>
      <c r="B523" t="s">
        <v>4683</v>
      </c>
      <c r="C523" t="s">
        <v>4877</v>
      </c>
      <c r="D523">
        <v>54820</v>
      </c>
      <c r="E523" t="s">
        <v>977</v>
      </c>
      <c r="F523">
        <v>10</v>
      </c>
      <c r="G523" t="s">
        <v>4686</v>
      </c>
      <c r="H523" t="s">
        <v>4687</v>
      </c>
      <c r="I523">
        <v>26462</v>
      </c>
      <c r="J523">
        <v>54046</v>
      </c>
      <c r="K523" t="s">
        <v>4093</v>
      </c>
      <c r="L523" t="str">
        <f>SUBSTITUTE(K523,"'","")</f>
        <v>320251140903731314</v>
      </c>
      <c r="M523">
        <v>54820</v>
      </c>
    </row>
    <row r="524" spans="1:13" x14ac:dyDescent="0.4">
      <c r="A524" s="1">
        <v>45771</v>
      </c>
      <c r="B524" t="s">
        <v>4683</v>
      </c>
      <c r="C524" t="s">
        <v>4878</v>
      </c>
      <c r="D524">
        <v>54820</v>
      </c>
      <c r="E524" t="s">
        <v>2142</v>
      </c>
      <c r="F524">
        <v>21.52</v>
      </c>
      <c r="G524" t="s">
        <v>4686</v>
      </c>
      <c r="H524" t="s">
        <v>4687</v>
      </c>
      <c r="I524">
        <v>26589</v>
      </c>
      <c r="J524">
        <v>54300</v>
      </c>
      <c r="K524" t="s">
        <v>4095</v>
      </c>
      <c r="L524" t="str">
        <f>SUBSTITUTE(K524,"'","")</f>
        <v>320251150924857769</v>
      </c>
      <c r="M524">
        <v>54820</v>
      </c>
    </row>
    <row r="525" spans="1:13" x14ac:dyDescent="0.4">
      <c r="A525" s="1">
        <v>45772</v>
      </c>
      <c r="B525" t="s">
        <v>4683</v>
      </c>
      <c r="C525" t="s">
        <v>5693</v>
      </c>
      <c r="D525">
        <v>61130</v>
      </c>
      <c r="E525" t="s">
        <v>478</v>
      </c>
      <c r="F525">
        <v>69.11</v>
      </c>
      <c r="G525" t="s">
        <v>4686</v>
      </c>
      <c r="H525" t="s">
        <v>4687</v>
      </c>
      <c r="I525">
        <v>25427</v>
      </c>
      <c r="J525">
        <v>51976</v>
      </c>
      <c r="K525" t="s">
        <v>1403</v>
      </c>
      <c r="L525" t="str">
        <f>SUBSTITUTE(K525,"'","")</f>
        <v>320251150916188882</v>
      </c>
      <c r="M525">
        <v>61130</v>
      </c>
    </row>
    <row r="526" spans="1:13" x14ac:dyDescent="0.4">
      <c r="A526" s="1">
        <v>45772</v>
      </c>
      <c r="B526" t="s">
        <v>4683</v>
      </c>
      <c r="C526" t="s">
        <v>5691</v>
      </c>
      <c r="D526">
        <v>61130</v>
      </c>
      <c r="E526" t="s">
        <v>478</v>
      </c>
      <c r="F526">
        <v>49.77</v>
      </c>
      <c r="G526" t="s">
        <v>4686</v>
      </c>
      <c r="H526" t="s">
        <v>4687</v>
      </c>
      <c r="I526">
        <v>25425</v>
      </c>
      <c r="J526">
        <v>51972</v>
      </c>
      <c r="K526" t="s">
        <v>1399</v>
      </c>
      <c r="L526" t="str">
        <f>SUBSTITUTE(K526,"'","")</f>
        <v>320251150917032176</v>
      </c>
      <c r="M526">
        <v>61130</v>
      </c>
    </row>
    <row r="527" spans="1:13" x14ac:dyDescent="0.4">
      <c r="A527" s="1">
        <v>45772</v>
      </c>
      <c r="B527" t="s">
        <v>4683</v>
      </c>
      <c r="C527" t="s">
        <v>5692</v>
      </c>
      <c r="D527">
        <v>61130</v>
      </c>
      <c r="E527" t="s">
        <v>478</v>
      </c>
      <c r="F527">
        <v>53.05</v>
      </c>
      <c r="G527" t="s">
        <v>4686</v>
      </c>
      <c r="H527" t="s">
        <v>4687</v>
      </c>
      <c r="I527">
        <v>25426</v>
      </c>
      <c r="J527">
        <v>51974</v>
      </c>
      <c r="K527" t="s">
        <v>1401</v>
      </c>
      <c r="L527" t="str">
        <f>SUBSTITUTE(K527,"'","")</f>
        <v>320251150917234148</v>
      </c>
      <c r="M527">
        <v>61130</v>
      </c>
    </row>
    <row r="528" spans="1:13" x14ac:dyDescent="0.4">
      <c r="A528" s="1">
        <v>45772</v>
      </c>
      <c r="B528" t="s">
        <v>4683</v>
      </c>
      <c r="C528" t="s">
        <v>5690</v>
      </c>
      <c r="D528">
        <v>61130</v>
      </c>
      <c r="E528" t="s">
        <v>478</v>
      </c>
      <c r="F528">
        <v>48.8</v>
      </c>
      <c r="G528" t="s">
        <v>4686</v>
      </c>
      <c r="H528" t="s">
        <v>4687</v>
      </c>
      <c r="I528">
        <v>25424</v>
      </c>
      <c r="J528">
        <v>51970</v>
      </c>
      <c r="K528" t="s">
        <v>1397</v>
      </c>
      <c r="L528" t="str">
        <f>SUBSTITUTE(K528,"'","")</f>
        <v>320251150917412351</v>
      </c>
      <c r="M528">
        <v>61130</v>
      </c>
    </row>
    <row r="529" spans="1:13" x14ac:dyDescent="0.4">
      <c r="A529" s="1">
        <v>45772</v>
      </c>
      <c r="B529" t="s">
        <v>4683</v>
      </c>
      <c r="C529" t="s">
        <v>5694</v>
      </c>
      <c r="D529">
        <v>61130</v>
      </c>
      <c r="E529" t="s">
        <v>478</v>
      </c>
      <c r="F529">
        <v>120.41</v>
      </c>
      <c r="G529" t="s">
        <v>4686</v>
      </c>
      <c r="H529" t="s">
        <v>4687</v>
      </c>
      <c r="I529">
        <v>25428</v>
      </c>
      <c r="J529">
        <v>51978</v>
      </c>
      <c r="K529" t="s">
        <v>1405</v>
      </c>
      <c r="L529" t="str">
        <f>SUBSTITUTE(K529,"'","")</f>
        <v>320251160944238379</v>
      </c>
      <c r="M529">
        <v>61130</v>
      </c>
    </row>
    <row r="530" spans="1:13" x14ac:dyDescent="0.4">
      <c r="A530" s="1">
        <v>45772</v>
      </c>
      <c r="B530" t="s">
        <v>4683</v>
      </c>
      <c r="C530" t="s">
        <v>5689</v>
      </c>
      <c r="D530">
        <v>61130</v>
      </c>
      <c r="E530" t="s">
        <v>478</v>
      </c>
      <c r="F530">
        <v>18.059999999999999</v>
      </c>
      <c r="G530" t="s">
        <v>4686</v>
      </c>
      <c r="H530" t="s">
        <v>4687</v>
      </c>
      <c r="I530">
        <v>25423</v>
      </c>
      <c r="J530">
        <v>51968</v>
      </c>
      <c r="K530" t="s">
        <v>1395</v>
      </c>
      <c r="L530" t="str">
        <f>SUBSTITUTE(K530,"'","")</f>
        <v>320251160945204984</v>
      </c>
      <c r="M530">
        <v>61130</v>
      </c>
    </row>
    <row r="531" spans="1:13" x14ac:dyDescent="0.4">
      <c r="A531" s="1">
        <v>45772</v>
      </c>
      <c r="B531" t="s">
        <v>4683</v>
      </c>
      <c r="C531" t="s">
        <v>4879</v>
      </c>
      <c r="D531">
        <v>54820</v>
      </c>
      <c r="E531" t="s">
        <v>1385</v>
      </c>
      <c r="F531">
        <v>19.670000000000002</v>
      </c>
      <c r="G531" t="s">
        <v>4686</v>
      </c>
      <c r="H531" t="s">
        <v>4687</v>
      </c>
      <c r="I531">
        <v>26077</v>
      </c>
      <c r="J531">
        <v>53276</v>
      </c>
      <c r="K531" t="s">
        <v>1389</v>
      </c>
      <c r="L531" t="str">
        <f>SUBSTITUTE(K531,"'","")</f>
        <v>320251160951482442</v>
      </c>
      <c r="M531">
        <v>54820</v>
      </c>
    </row>
    <row r="532" spans="1:13" x14ac:dyDescent="0.4">
      <c r="A532" s="1">
        <v>45772</v>
      </c>
      <c r="B532" t="s">
        <v>4683</v>
      </c>
      <c r="C532" t="s">
        <v>6376</v>
      </c>
      <c r="D532">
        <v>64200</v>
      </c>
      <c r="E532" t="s">
        <v>222</v>
      </c>
      <c r="F532">
        <v>436.5</v>
      </c>
      <c r="G532" t="s">
        <v>4686</v>
      </c>
      <c r="H532" t="s">
        <v>4687</v>
      </c>
      <c r="I532">
        <v>25862</v>
      </c>
      <c r="J532">
        <v>52846</v>
      </c>
      <c r="K532" t="s">
        <v>1393</v>
      </c>
      <c r="L532" t="str">
        <f>SUBSTITUTE(K532,"'","")</f>
        <v>320251160956018143</v>
      </c>
      <c r="M532">
        <v>64200</v>
      </c>
    </row>
    <row r="533" spans="1:13" x14ac:dyDescent="0.4">
      <c r="A533" s="1">
        <v>45772</v>
      </c>
      <c r="B533" t="s">
        <v>4683</v>
      </c>
      <c r="C533" t="s">
        <v>6008</v>
      </c>
      <c r="D533">
        <v>61215</v>
      </c>
      <c r="E533" t="s">
        <v>1380</v>
      </c>
      <c r="F533">
        <v>245.2</v>
      </c>
      <c r="G533" t="s">
        <v>4686</v>
      </c>
      <c r="H533" t="s">
        <v>4687</v>
      </c>
      <c r="I533">
        <v>25969</v>
      </c>
      <c r="J533">
        <v>53060</v>
      </c>
      <c r="K533" t="s">
        <v>1384</v>
      </c>
      <c r="L533" t="str">
        <f>SUBSTITUTE(K533,"'","")</f>
        <v>320251170979483865</v>
      </c>
      <c r="M533">
        <v>61215</v>
      </c>
    </row>
    <row r="534" spans="1:13" x14ac:dyDescent="0.4">
      <c r="A534" s="1">
        <v>45773</v>
      </c>
      <c r="B534" t="s">
        <v>4683</v>
      </c>
      <c r="C534" t="s">
        <v>4881</v>
      </c>
      <c r="D534">
        <v>54820</v>
      </c>
      <c r="E534" t="s">
        <v>1373</v>
      </c>
      <c r="F534">
        <v>80</v>
      </c>
      <c r="G534" t="s">
        <v>4686</v>
      </c>
      <c r="H534" t="s">
        <v>4687</v>
      </c>
      <c r="I534">
        <v>26057</v>
      </c>
      <c r="J534">
        <v>53236</v>
      </c>
      <c r="K534" t="s">
        <v>1377</v>
      </c>
      <c r="L534" t="str">
        <f>SUBSTITUTE(K534,"'","")</f>
        <v>320251160938649305</v>
      </c>
      <c r="M534">
        <v>54820</v>
      </c>
    </row>
    <row r="535" spans="1:13" x14ac:dyDescent="0.4">
      <c r="A535" s="1">
        <v>45773</v>
      </c>
      <c r="B535" t="s">
        <v>4683</v>
      </c>
      <c r="C535" t="s">
        <v>4880</v>
      </c>
      <c r="D535">
        <v>54820</v>
      </c>
      <c r="E535" t="s">
        <v>1370</v>
      </c>
      <c r="F535">
        <v>10.99</v>
      </c>
      <c r="G535" t="s">
        <v>4686</v>
      </c>
      <c r="H535" t="s">
        <v>4687</v>
      </c>
      <c r="I535">
        <v>25704</v>
      </c>
      <c r="J535">
        <v>52530</v>
      </c>
      <c r="K535" t="s">
        <v>1372</v>
      </c>
      <c r="L535" t="str">
        <f>SUBSTITUTE(K535,"'","")</f>
        <v>320251160941689250</v>
      </c>
      <c r="M535">
        <v>54820</v>
      </c>
    </row>
    <row r="536" spans="1:13" x14ac:dyDescent="0.4">
      <c r="A536" s="1">
        <v>45773</v>
      </c>
      <c r="B536" t="s">
        <v>4683</v>
      </c>
      <c r="C536" t="s">
        <v>5695</v>
      </c>
      <c r="D536">
        <v>61130</v>
      </c>
      <c r="E536" t="s">
        <v>478</v>
      </c>
      <c r="F536">
        <v>249.92</v>
      </c>
      <c r="G536" t="s">
        <v>4686</v>
      </c>
      <c r="H536" t="s">
        <v>4687</v>
      </c>
      <c r="I536">
        <v>25429</v>
      </c>
      <c r="J536">
        <v>51980</v>
      </c>
      <c r="K536" t="s">
        <v>1379</v>
      </c>
      <c r="L536" t="str">
        <f>SUBSTITUTE(K536,"'","")</f>
        <v>320251160944961249</v>
      </c>
      <c r="M536">
        <v>61130</v>
      </c>
    </row>
    <row r="537" spans="1:13" x14ac:dyDescent="0.4">
      <c r="A537" s="1">
        <v>45773</v>
      </c>
      <c r="B537" t="s">
        <v>4683</v>
      </c>
      <c r="C537" t="s">
        <v>4882</v>
      </c>
      <c r="D537">
        <v>54820</v>
      </c>
      <c r="E537" t="s">
        <v>4083</v>
      </c>
      <c r="F537">
        <v>535.34</v>
      </c>
      <c r="G537" t="s">
        <v>4686</v>
      </c>
      <c r="H537" t="s">
        <v>4687</v>
      </c>
      <c r="I537">
        <v>26718</v>
      </c>
      <c r="J537">
        <v>54558</v>
      </c>
      <c r="K537" t="s">
        <v>4086</v>
      </c>
      <c r="L537" t="str">
        <f>SUBSTITUTE(K537,"'","")</f>
        <v>320251170978889697</v>
      </c>
      <c r="M537">
        <v>54820</v>
      </c>
    </row>
    <row r="538" spans="1:13" x14ac:dyDescent="0.4">
      <c r="A538" s="1">
        <v>45773</v>
      </c>
      <c r="B538" t="s">
        <v>4683</v>
      </c>
      <c r="C538" t="s">
        <v>4883</v>
      </c>
      <c r="D538">
        <v>54820</v>
      </c>
      <c r="E538" t="s">
        <v>4079</v>
      </c>
      <c r="F538">
        <v>236.64</v>
      </c>
      <c r="G538" t="s">
        <v>4686</v>
      </c>
      <c r="H538" t="s">
        <v>4687</v>
      </c>
      <c r="I538">
        <v>26938</v>
      </c>
      <c r="J538">
        <v>54998</v>
      </c>
      <c r="K538" t="s">
        <v>4082</v>
      </c>
      <c r="L538" t="str">
        <f>SUBSTITUTE(K538,"'","")</f>
        <v>320251170982812028</v>
      </c>
      <c r="M538">
        <v>54820</v>
      </c>
    </row>
    <row r="539" spans="1:13" x14ac:dyDescent="0.4">
      <c r="A539" s="1">
        <v>45773</v>
      </c>
      <c r="B539" t="s">
        <v>4683</v>
      </c>
      <c r="C539" t="s">
        <v>4884</v>
      </c>
      <c r="D539">
        <v>54820</v>
      </c>
      <c r="E539" t="s">
        <v>4087</v>
      </c>
      <c r="F539">
        <v>90.26</v>
      </c>
      <c r="G539" t="s">
        <v>4686</v>
      </c>
      <c r="H539" t="s">
        <v>4687</v>
      </c>
      <c r="I539">
        <v>26939</v>
      </c>
      <c r="J539">
        <v>55000</v>
      </c>
      <c r="K539" t="s">
        <v>4091</v>
      </c>
      <c r="L539" t="str">
        <f>SUBSTITUTE(K539,"'","")</f>
        <v>320251170984615501</v>
      </c>
      <c r="M539">
        <v>54820</v>
      </c>
    </row>
    <row r="540" spans="1:13" x14ac:dyDescent="0.4">
      <c r="A540" s="1">
        <v>45773</v>
      </c>
      <c r="B540" t="s">
        <v>4683</v>
      </c>
      <c r="C540" t="s">
        <v>6180</v>
      </c>
      <c r="D540">
        <v>64100</v>
      </c>
      <c r="E540" t="s">
        <v>1792</v>
      </c>
      <c r="F540">
        <v>16.05</v>
      </c>
      <c r="G540" t="s">
        <v>4686</v>
      </c>
      <c r="H540" t="s">
        <v>4687</v>
      </c>
      <c r="I540">
        <v>26409</v>
      </c>
      <c r="J540">
        <v>53940</v>
      </c>
      <c r="K540" t="s">
        <v>4078</v>
      </c>
      <c r="L540" t="str">
        <f>SUBSTITUTE(K540,"'","")</f>
        <v>320251170984861903</v>
      </c>
      <c r="M540">
        <v>64100</v>
      </c>
    </row>
    <row r="541" spans="1:13" x14ac:dyDescent="0.4">
      <c r="A541" s="1">
        <v>45774</v>
      </c>
      <c r="B541" t="s">
        <v>4683</v>
      </c>
      <c r="C541" t="s">
        <v>4885</v>
      </c>
      <c r="D541">
        <v>54820</v>
      </c>
      <c r="E541" t="s">
        <v>4070</v>
      </c>
      <c r="F541">
        <v>6.12</v>
      </c>
      <c r="G541" t="s">
        <v>4686</v>
      </c>
      <c r="H541" t="s">
        <v>4687</v>
      </c>
      <c r="I541">
        <v>26671</v>
      </c>
      <c r="J541">
        <v>54464</v>
      </c>
      <c r="K541" t="s">
        <v>4074</v>
      </c>
      <c r="L541" t="str">
        <f>SUBSTITUTE(K541,"'","")</f>
        <v>320251180004881969</v>
      </c>
      <c r="M541">
        <v>54820</v>
      </c>
    </row>
    <row r="542" spans="1:13" x14ac:dyDescent="0.4">
      <c r="A542" s="1">
        <v>45774</v>
      </c>
      <c r="B542" t="s">
        <v>4683</v>
      </c>
      <c r="C542" t="s">
        <v>4886</v>
      </c>
      <c r="D542">
        <v>54820</v>
      </c>
      <c r="E542" t="s">
        <v>4070</v>
      </c>
      <c r="F542">
        <v>7.34</v>
      </c>
      <c r="G542" t="s">
        <v>4686</v>
      </c>
      <c r="H542" t="s">
        <v>4687</v>
      </c>
      <c r="I542">
        <v>26672</v>
      </c>
      <c r="J542">
        <v>54466</v>
      </c>
      <c r="K542" t="s">
        <v>4076</v>
      </c>
      <c r="L542" t="str">
        <f>SUBSTITUTE(K542,"'","")</f>
        <v>320251180007683068</v>
      </c>
      <c r="M542">
        <v>54820</v>
      </c>
    </row>
    <row r="543" spans="1:13" x14ac:dyDescent="0.4">
      <c r="A543" s="1">
        <v>45774</v>
      </c>
      <c r="B543" t="s">
        <v>4683</v>
      </c>
      <c r="C543" t="s">
        <v>4887</v>
      </c>
      <c r="D543">
        <v>54820</v>
      </c>
      <c r="E543" t="s">
        <v>4065</v>
      </c>
      <c r="F543">
        <v>32.82</v>
      </c>
      <c r="G543" t="s">
        <v>4686</v>
      </c>
      <c r="H543" t="s">
        <v>4687</v>
      </c>
      <c r="I543">
        <v>26940</v>
      </c>
      <c r="J543">
        <v>55002</v>
      </c>
      <c r="K543" t="s">
        <v>4069</v>
      </c>
      <c r="L543" t="str">
        <f>SUBSTITUTE(K543,"'","")</f>
        <v>320251180007729167</v>
      </c>
      <c r="M543">
        <v>54820</v>
      </c>
    </row>
    <row r="544" spans="1:13" x14ac:dyDescent="0.4">
      <c r="A544" s="1">
        <v>45774</v>
      </c>
      <c r="B544" t="s">
        <v>4683</v>
      </c>
      <c r="C544" t="s">
        <v>6009</v>
      </c>
      <c r="D544">
        <v>61215</v>
      </c>
      <c r="E544" t="s">
        <v>1365</v>
      </c>
      <c r="F544">
        <v>270.8</v>
      </c>
      <c r="G544" t="s">
        <v>4686</v>
      </c>
      <c r="H544" t="s">
        <v>4687</v>
      </c>
      <c r="I544">
        <v>25970</v>
      </c>
      <c r="J544">
        <v>53062</v>
      </c>
      <c r="K544" t="s">
        <v>1369</v>
      </c>
      <c r="L544" t="str">
        <f>SUBSTITUTE(K544,"'","")</f>
        <v>320251190037664887</v>
      </c>
      <c r="M544">
        <v>61215</v>
      </c>
    </row>
    <row r="545" spans="1:13" x14ac:dyDescent="0.4">
      <c r="A545" s="1">
        <v>45775</v>
      </c>
      <c r="B545" t="s">
        <v>4683</v>
      </c>
      <c r="C545" t="s">
        <v>5697</v>
      </c>
      <c r="D545">
        <v>61130</v>
      </c>
      <c r="E545" t="s">
        <v>478</v>
      </c>
      <c r="F545">
        <v>30.58</v>
      </c>
      <c r="G545" t="s">
        <v>4686</v>
      </c>
      <c r="H545" t="s">
        <v>4687</v>
      </c>
      <c r="I545">
        <v>25431</v>
      </c>
      <c r="J545">
        <v>51984</v>
      </c>
      <c r="K545" t="s">
        <v>1364</v>
      </c>
      <c r="L545" t="str">
        <f>SUBSTITUTE(K545,"'","")</f>
        <v>320251180996081086</v>
      </c>
      <c r="M545">
        <v>61130</v>
      </c>
    </row>
    <row r="546" spans="1:13" x14ac:dyDescent="0.4">
      <c r="A546" s="1">
        <v>45775</v>
      </c>
      <c r="B546" t="s">
        <v>4683</v>
      </c>
      <c r="C546" t="s">
        <v>5696</v>
      </c>
      <c r="D546">
        <v>61130</v>
      </c>
      <c r="E546" t="s">
        <v>478</v>
      </c>
      <c r="F546">
        <v>29.47</v>
      </c>
      <c r="G546" t="s">
        <v>4686</v>
      </c>
      <c r="H546" t="s">
        <v>4687</v>
      </c>
      <c r="I546">
        <v>25430</v>
      </c>
      <c r="J546">
        <v>51982</v>
      </c>
      <c r="K546" t="s">
        <v>1362</v>
      </c>
      <c r="L546" t="str">
        <f>SUBSTITUTE(K546,"'","")</f>
        <v>320251180996162488</v>
      </c>
      <c r="M546">
        <v>61130</v>
      </c>
    </row>
    <row r="547" spans="1:13" x14ac:dyDescent="0.4">
      <c r="A547" s="1">
        <v>45775</v>
      </c>
      <c r="B547" t="s">
        <v>4683</v>
      </c>
      <c r="C547" t="s">
        <v>6010</v>
      </c>
      <c r="D547">
        <v>61215</v>
      </c>
      <c r="E547" t="s">
        <v>1355</v>
      </c>
      <c r="F547" s="5">
        <v>1036.9000000000001</v>
      </c>
      <c r="G547" t="s">
        <v>4686</v>
      </c>
      <c r="H547" t="s">
        <v>4687</v>
      </c>
      <c r="I547">
        <v>25971</v>
      </c>
      <c r="J547">
        <v>53064</v>
      </c>
      <c r="K547" t="s">
        <v>1359</v>
      </c>
      <c r="L547" t="str">
        <f>SUBSTITUTE(K547,"'","")</f>
        <v>320251200061926414</v>
      </c>
      <c r="M547">
        <v>61215</v>
      </c>
    </row>
    <row r="548" spans="1:13" x14ac:dyDescent="0.4">
      <c r="A548" s="1">
        <v>45776</v>
      </c>
      <c r="B548" t="s">
        <v>4683</v>
      </c>
      <c r="C548" t="s">
        <v>5698</v>
      </c>
      <c r="D548">
        <v>61130</v>
      </c>
      <c r="E548" t="s">
        <v>478</v>
      </c>
      <c r="F548">
        <v>18.559999999999999</v>
      </c>
      <c r="G548" t="s">
        <v>4686</v>
      </c>
      <c r="H548" t="s">
        <v>4687</v>
      </c>
      <c r="I548">
        <v>25432</v>
      </c>
      <c r="J548">
        <v>51986</v>
      </c>
      <c r="K548" t="s">
        <v>1352</v>
      </c>
      <c r="L548" t="str">
        <f>SUBSTITUTE(K548,"'","")</f>
        <v>320251190023973376</v>
      </c>
      <c r="M548">
        <v>61130</v>
      </c>
    </row>
    <row r="549" spans="1:13" x14ac:dyDescent="0.4">
      <c r="A549" s="1">
        <v>45776</v>
      </c>
      <c r="B549" t="s">
        <v>4683</v>
      </c>
      <c r="C549" t="s">
        <v>5699</v>
      </c>
      <c r="D549">
        <v>61130</v>
      </c>
      <c r="E549" t="s">
        <v>478</v>
      </c>
      <c r="F549">
        <v>25.79</v>
      </c>
      <c r="G549" t="s">
        <v>4686</v>
      </c>
      <c r="H549" t="s">
        <v>4687</v>
      </c>
      <c r="I549">
        <v>25433</v>
      </c>
      <c r="J549">
        <v>51988</v>
      </c>
      <c r="K549" t="s">
        <v>1354</v>
      </c>
      <c r="L549" t="str">
        <f>SUBSTITUTE(K549,"'","")</f>
        <v>320251200050835890</v>
      </c>
      <c r="M549">
        <v>61130</v>
      </c>
    </row>
    <row r="550" spans="1:13" x14ac:dyDescent="0.4">
      <c r="A550" s="1">
        <v>45776</v>
      </c>
      <c r="B550" t="s">
        <v>4683</v>
      </c>
      <c r="C550" t="s">
        <v>4889</v>
      </c>
      <c r="D550">
        <v>54820</v>
      </c>
      <c r="E550" t="s">
        <v>4047</v>
      </c>
      <c r="F550">
        <v>115.3</v>
      </c>
      <c r="G550" t="s">
        <v>4686</v>
      </c>
      <c r="H550" t="s">
        <v>4687</v>
      </c>
      <c r="I550">
        <v>26941</v>
      </c>
      <c r="J550">
        <v>55004</v>
      </c>
      <c r="K550" t="s">
        <v>4051</v>
      </c>
      <c r="L550" t="str">
        <f>SUBSTITUTE(K550,"'","")</f>
        <v>320251200053397338</v>
      </c>
      <c r="M550">
        <v>54820</v>
      </c>
    </row>
    <row r="551" spans="1:13" x14ac:dyDescent="0.4">
      <c r="A551" s="1">
        <v>45776</v>
      </c>
      <c r="B551" t="s">
        <v>4683</v>
      </c>
      <c r="C551" t="s">
        <v>4888</v>
      </c>
      <c r="D551">
        <v>54820</v>
      </c>
      <c r="E551" t="s">
        <v>4061</v>
      </c>
      <c r="F551">
        <v>168.43</v>
      </c>
      <c r="G551" t="s">
        <v>4686</v>
      </c>
      <c r="H551" t="s">
        <v>4687</v>
      </c>
      <c r="I551">
        <v>26678</v>
      </c>
      <c r="J551">
        <v>54478</v>
      </c>
      <c r="K551" t="s">
        <v>4063</v>
      </c>
      <c r="L551" t="str">
        <f>SUBSTITUTE(K551,"'","")</f>
        <v>320251200063903250</v>
      </c>
      <c r="M551">
        <v>54820</v>
      </c>
    </row>
    <row r="552" spans="1:13" x14ac:dyDescent="0.4">
      <c r="A552" s="1">
        <v>45776</v>
      </c>
      <c r="B552" t="s">
        <v>4683</v>
      </c>
      <c r="C552" t="s">
        <v>4891</v>
      </c>
      <c r="D552">
        <v>54820</v>
      </c>
      <c r="E552" t="s">
        <v>4057</v>
      </c>
      <c r="F552">
        <v>5.55</v>
      </c>
      <c r="G552" t="s">
        <v>4686</v>
      </c>
      <c r="H552" t="s">
        <v>4687</v>
      </c>
      <c r="I552">
        <v>26943</v>
      </c>
      <c r="J552">
        <v>55008</v>
      </c>
      <c r="K552" t="s">
        <v>4060</v>
      </c>
      <c r="L552" t="str">
        <f>SUBSTITUTE(K552,"'","")</f>
        <v>320251200064932595</v>
      </c>
      <c r="M552">
        <v>54820</v>
      </c>
    </row>
    <row r="553" spans="1:13" x14ac:dyDescent="0.4">
      <c r="A553" s="1">
        <v>45776</v>
      </c>
      <c r="B553" t="s">
        <v>4683</v>
      </c>
      <c r="C553" t="s">
        <v>4890</v>
      </c>
      <c r="D553">
        <v>54820</v>
      </c>
      <c r="E553" t="s">
        <v>4052</v>
      </c>
      <c r="F553">
        <v>41.2</v>
      </c>
      <c r="G553" t="s">
        <v>4686</v>
      </c>
      <c r="H553" t="s">
        <v>4687</v>
      </c>
      <c r="I553">
        <v>26942</v>
      </c>
      <c r="J553">
        <v>55006</v>
      </c>
      <c r="K553" t="s">
        <v>4056</v>
      </c>
      <c r="L553" t="str">
        <f>SUBSTITUTE(K553,"'","")</f>
        <v>320251200068145691</v>
      </c>
      <c r="M553">
        <v>54820</v>
      </c>
    </row>
    <row r="554" spans="1:13" x14ac:dyDescent="0.4">
      <c r="A554" s="1">
        <v>45777</v>
      </c>
      <c r="B554" t="s">
        <v>4683</v>
      </c>
      <c r="C554" t="s">
        <v>5700</v>
      </c>
      <c r="D554">
        <v>61130</v>
      </c>
      <c r="E554" t="s">
        <v>478</v>
      </c>
      <c r="F554">
        <v>120.67</v>
      </c>
      <c r="G554" t="s">
        <v>4686</v>
      </c>
      <c r="H554" t="s">
        <v>4687</v>
      </c>
      <c r="I554">
        <v>25434</v>
      </c>
      <c r="J554">
        <v>51990</v>
      </c>
      <c r="K554" t="s">
        <v>1350</v>
      </c>
      <c r="L554" t="str">
        <f>SUBSTITUTE(K554,"'","")</f>
        <v>320251200046952575</v>
      </c>
      <c r="M554">
        <v>61130</v>
      </c>
    </row>
    <row r="555" spans="1:13" x14ac:dyDescent="0.4">
      <c r="A555" s="1">
        <v>45777</v>
      </c>
      <c r="B555" t="s">
        <v>4683</v>
      </c>
      <c r="C555" t="s">
        <v>4894</v>
      </c>
      <c r="D555">
        <v>54820</v>
      </c>
      <c r="E555" t="s">
        <v>4042</v>
      </c>
      <c r="F555">
        <v>9.23</v>
      </c>
      <c r="G555" t="s">
        <v>4686</v>
      </c>
      <c r="H555" t="s">
        <v>4687</v>
      </c>
      <c r="I555">
        <v>26945</v>
      </c>
      <c r="J555">
        <v>55012</v>
      </c>
      <c r="K555" t="s">
        <v>4046</v>
      </c>
      <c r="L555" t="str">
        <f>SUBSTITUTE(K555,"'","")</f>
        <v>320251210084906083</v>
      </c>
      <c r="M555">
        <v>54820</v>
      </c>
    </row>
    <row r="556" spans="1:13" x14ac:dyDescent="0.4">
      <c r="A556" s="1">
        <v>45777</v>
      </c>
      <c r="B556" t="s">
        <v>4683</v>
      </c>
      <c r="C556" t="s">
        <v>4892</v>
      </c>
      <c r="D556">
        <v>54820</v>
      </c>
      <c r="E556" t="s">
        <v>4036</v>
      </c>
      <c r="F556">
        <v>103.48</v>
      </c>
      <c r="G556" t="s">
        <v>4686</v>
      </c>
      <c r="H556" t="s">
        <v>4687</v>
      </c>
      <c r="I556">
        <v>26747</v>
      </c>
      <c r="J556">
        <v>54616</v>
      </c>
      <c r="K556" t="s">
        <v>4041</v>
      </c>
      <c r="L556" t="str">
        <f>SUBSTITUTE(K556,"'","")</f>
        <v>320251210085681538</v>
      </c>
      <c r="M556">
        <v>54820</v>
      </c>
    </row>
    <row r="557" spans="1:13" x14ac:dyDescent="0.4">
      <c r="A557" s="1">
        <v>45777</v>
      </c>
      <c r="B557" t="s">
        <v>4683</v>
      </c>
      <c r="C557" t="s">
        <v>4893</v>
      </c>
      <c r="D557">
        <v>54820</v>
      </c>
      <c r="E557" t="s">
        <v>4032</v>
      </c>
      <c r="F557">
        <v>5.57</v>
      </c>
      <c r="G557" t="s">
        <v>4686</v>
      </c>
      <c r="H557" t="s">
        <v>4687</v>
      </c>
      <c r="I557">
        <v>26944</v>
      </c>
      <c r="J557">
        <v>55010</v>
      </c>
      <c r="K557" t="s">
        <v>4035</v>
      </c>
      <c r="L557" t="str">
        <f>SUBSTITUTE(K557,"'","")</f>
        <v>320251210094355903</v>
      </c>
      <c r="M557">
        <v>54820</v>
      </c>
    </row>
    <row r="558" spans="1:13" x14ac:dyDescent="0.4">
      <c r="A558" s="1">
        <v>45778</v>
      </c>
      <c r="B558" t="s">
        <v>4683</v>
      </c>
      <c r="C558" t="s">
        <v>6181</v>
      </c>
      <c r="D558">
        <v>64100</v>
      </c>
      <c r="E558" t="s">
        <v>213</v>
      </c>
      <c r="F558">
        <v>21.4</v>
      </c>
      <c r="G558" t="s">
        <v>4686</v>
      </c>
      <c r="H558" t="s">
        <v>4687</v>
      </c>
      <c r="I558">
        <v>25924</v>
      </c>
      <c r="J558">
        <v>52970</v>
      </c>
      <c r="K558" t="s">
        <v>1327</v>
      </c>
      <c r="L558" t="str">
        <f>SUBSTITUTE(K558,"'","")</f>
        <v>320251210077025876</v>
      </c>
      <c r="M558">
        <v>64100</v>
      </c>
    </row>
    <row r="559" spans="1:13" x14ac:dyDescent="0.4">
      <c r="A559" s="1">
        <v>45778</v>
      </c>
      <c r="B559" t="s">
        <v>4683</v>
      </c>
      <c r="C559" t="s">
        <v>5701</v>
      </c>
      <c r="D559">
        <v>61130</v>
      </c>
      <c r="E559" t="s">
        <v>478</v>
      </c>
      <c r="F559">
        <v>222.02</v>
      </c>
      <c r="G559" t="s">
        <v>4686</v>
      </c>
      <c r="H559" t="s">
        <v>4687</v>
      </c>
      <c r="I559">
        <v>25435</v>
      </c>
      <c r="J559">
        <v>51992</v>
      </c>
      <c r="K559" t="s">
        <v>1336</v>
      </c>
      <c r="L559" t="str">
        <f>SUBSTITUTE(K559,"'","")</f>
        <v>320251210079057780</v>
      </c>
      <c r="M559">
        <v>61130</v>
      </c>
    </row>
    <row r="560" spans="1:13" x14ac:dyDescent="0.4">
      <c r="A560" s="1">
        <v>45778</v>
      </c>
      <c r="B560" t="s">
        <v>4683</v>
      </c>
      <c r="C560" t="s">
        <v>5542</v>
      </c>
      <c r="D560">
        <v>61110</v>
      </c>
      <c r="E560" t="s">
        <v>1339</v>
      </c>
      <c r="F560">
        <v>22.92</v>
      </c>
      <c r="G560" t="s">
        <v>4686</v>
      </c>
      <c r="H560" t="s">
        <v>4687</v>
      </c>
      <c r="I560">
        <v>26047</v>
      </c>
      <c r="J560">
        <v>53216</v>
      </c>
      <c r="K560" t="s">
        <v>1344</v>
      </c>
      <c r="L560" t="str">
        <f>SUBSTITUTE(K560,"'","")</f>
        <v>320251210086570352</v>
      </c>
      <c r="M560">
        <v>61110</v>
      </c>
    </row>
    <row r="561" spans="1:13" x14ac:dyDescent="0.4">
      <c r="A561" s="1">
        <v>45778</v>
      </c>
      <c r="B561" t="s">
        <v>4683</v>
      </c>
      <c r="C561" t="s">
        <v>6422</v>
      </c>
      <c r="D561">
        <v>65700</v>
      </c>
      <c r="E561" t="s">
        <v>234</v>
      </c>
      <c r="F561">
        <v>226.6</v>
      </c>
      <c r="G561" t="s">
        <v>4686</v>
      </c>
      <c r="H561" t="s">
        <v>4687</v>
      </c>
      <c r="I561">
        <v>25814</v>
      </c>
      <c r="J561">
        <v>52750</v>
      </c>
      <c r="K561" t="s">
        <v>1338</v>
      </c>
      <c r="L561" t="str">
        <f>SUBSTITUTE(K561,"'","")</f>
        <v>320251210086660039</v>
      </c>
      <c r="M561">
        <v>65700</v>
      </c>
    </row>
    <row r="562" spans="1:13" x14ac:dyDescent="0.4">
      <c r="A562" s="1">
        <v>45778</v>
      </c>
      <c r="B562" t="s">
        <v>4683</v>
      </c>
      <c r="C562" t="s">
        <v>5544</v>
      </c>
      <c r="D562">
        <v>61110</v>
      </c>
      <c r="E562" t="s">
        <v>1339</v>
      </c>
      <c r="F562" s="5">
        <v>4871.5600000000004</v>
      </c>
      <c r="G562" t="s">
        <v>4686</v>
      </c>
      <c r="H562" t="s">
        <v>4687</v>
      </c>
      <c r="I562">
        <v>26049</v>
      </c>
      <c r="J562">
        <v>53220</v>
      </c>
      <c r="K562" t="s">
        <v>1348</v>
      </c>
      <c r="L562" t="str">
        <f>SUBSTITUTE(K562,"'","")</f>
        <v>320251210087377169</v>
      </c>
      <c r="M562">
        <v>61110</v>
      </c>
    </row>
    <row r="563" spans="1:13" x14ac:dyDescent="0.4">
      <c r="A563" s="1">
        <v>45778</v>
      </c>
      <c r="B563" t="s">
        <v>4683</v>
      </c>
      <c r="C563" t="s">
        <v>5543</v>
      </c>
      <c r="D563">
        <v>61110</v>
      </c>
      <c r="E563" t="s">
        <v>1339</v>
      </c>
      <c r="F563">
        <v>28.98</v>
      </c>
      <c r="G563" t="s">
        <v>4686</v>
      </c>
      <c r="H563" t="s">
        <v>4687</v>
      </c>
      <c r="I563">
        <v>26048</v>
      </c>
      <c r="J563">
        <v>53218</v>
      </c>
      <c r="K563" t="s">
        <v>1346</v>
      </c>
      <c r="L563" t="str">
        <f>SUBSTITUTE(K563,"'","")</f>
        <v>320251210087752218</v>
      </c>
      <c r="M563">
        <v>61110</v>
      </c>
    </row>
    <row r="564" spans="1:13" x14ac:dyDescent="0.4">
      <c r="A564" s="1">
        <v>45778</v>
      </c>
      <c r="B564" t="s">
        <v>4683</v>
      </c>
      <c r="C564" t="s">
        <v>6394</v>
      </c>
      <c r="D564">
        <v>65505</v>
      </c>
      <c r="E564" t="s">
        <v>1328</v>
      </c>
      <c r="F564">
        <v>750</v>
      </c>
      <c r="G564" t="s">
        <v>4686</v>
      </c>
      <c r="H564" t="s">
        <v>4687</v>
      </c>
      <c r="I564">
        <v>26056</v>
      </c>
      <c r="J564">
        <v>53234</v>
      </c>
      <c r="K564" t="s">
        <v>1333</v>
      </c>
      <c r="L564" t="str">
        <f>SUBSTITUTE(K564,"'","")</f>
        <v>320251220121571621</v>
      </c>
      <c r="M564">
        <v>65505</v>
      </c>
    </row>
    <row r="565" spans="1:13" x14ac:dyDescent="0.4">
      <c r="A565" s="1">
        <v>45778</v>
      </c>
      <c r="B565" t="s">
        <v>4683</v>
      </c>
      <c r="C565" t="s">
        <v>6362</v>
      </c>
      <c r="D565">
        <v>64101</v>
      </c>
      <c r="E565" t="s">
        <v>2429</v>
      </c>
      <c r="F565" s="5">
        <v>1540.61</v>
      </c>
      <c r="G565" t="s">
        <v>4686</v>
      </c>
      <c r="H565" t="s">
        <v>4687</v>
      </c>
      <c r="I565">
        <v>26387</v>
      </c>
      <c r="J565">
        <v>53896</v>
      </c>
      <c r="K565" t="s">
        <v>4027</v>
      </c>
      <c r="L565" t="str">
        <f>SUBSTITUTE(K565,"'","")</f>
        <v>320251220122632419</v>
      </c>
      <c r="M565">
        <v>64101</v>
      </c>
    </row>
    <row r="566" spans="1:13" x14ac:dyDescent="0.4">
      <c r="A566" s="1">
        <v>45778</v>
      </c>
      <c r="B566" t="s">
        <v>4683</v>
      </c>
      <c r="C566" t="s">
        <v>6423</v>
      </c>
      <c r="D566">
        <v>65700</v>
      </c>
      <c r="E566" t="s">
        <v>2340</v>
      </c>
      <c r="F566">
        <v>16.96</v>
      </c>
      <c r="G566" t="s">
        <v>4686</v>
      </c>
      <c r="H566" t="s">
        <v>4687</v>
      </c>
      <c r="I566">
        <v>26419</v>
      </c>
      <c r="J566">
        <v>53960</v>
      </c>
      <c r="K566" t="s">
        <v>4031</v>
      </c>
      <c r="L566" t="str">
        <f>SUBSTITUTE(K566,"'","")</f>
        <v>320251220127508029</v>
      </c>
      <c r="M566">
        <v>65700</v>
      </c>
    </row>
    <row r="567" spans="1:13" x14ac:dyDescent="0.4">
      <c r="A567" s="1">
        <v>45778</v>
      </c>
      <c r="B567" t="s">
        <v>4683</v>
      </c>
      <c r="C567" t="s">
        <v>6472</v>
      </c>
      <c r="D567">
        <v>67500</v>
      </c>
      <c r="E567" t="s">
        <v>3499</v>
      </c>
      <c r="F567">
        <v>385.42</v>
      </c>
      <c r="G567" t="s">
        <v>4686</v>
      </c>
      <c r="H567" t="s">
        <v>4687</v>
      </c>
      <c r="I567">
        <v>26362</v>
      </c>
      <c r="J567">
        <v>53846</v>
      </c>
      <c r="K567" t="s">
        <v>4029</v>
      </c>
      <c r="L567" t="str">
        <f>SUBSTITUTE(K567,"'","")</f>
        <v>320251240170465884</v>
      </c>
      <c r="M567">
        <v>67500</v>
      </c>
    </row>
    <row r="568" spans="1:13" x14ac:dyDescent="0.4">
      <c r="A568" s="1">
        <v>45779</v>
      </c>
      <c r="B568" t="s">
        <v>4683</v>
      </c>
      <c r="C568" t="s">
        <v>5703</v>
      </c>
      <c r="D568">
        <v>61130</v>
      </c>
      <c r="E568" t="s">
        <v>478</v>
      </c>
      <c r="F568">
        <v>40.26</v>
      </c>
      <c r="G568" t="s">
        <v>4686</v>
      </c>
      <c r="H568" t="s">
        <v>4687</v>
      </c>
      <c r="I568">
        <v>25437</v>
      </c>
      <c r="J568">
        <v>51996</v>
      </c>
      <c r="K568" t="s">
        <v>1325</v>
      </c>
      <c r="L568" t="str">
        <f>SUBSTITUTE(K568,"'","")</f>
        <v>320251220104990848</v>
      </c>
      <c r="M568">
        <v>61130</v>
      </c>
    </row>
    <row r="569" spans="1:13" x14ac:dyDescent="0.4">
      <c r="A569" s="1">
        <v>45779</v>
      </c>
      <c r="B569" t="s">
        <v>4683</v>
      </c>
      <c r="C569" t="s">
        <v>6473</v>
      </c>
      <c r="D569">
        <v>67500</v>
      </c>
      <c r="E569" t="s">
        <v>885</v>
      </c>
      <c r="F569">
        <v>48.83</v>
      </c>
      <c r="G569" t="s">
        <v>4686</v>
      </c>
      <c r="H569" t="s">
        <v>4687</v>
      </c>
      <c r="I569">
        <v>26363</v>
      </c>
      <c r="J569">
        <v>53848</v>
      </c>
      <c r="K569" t="s">
        <v>4023</v>
      </c>
      <c r="L569" t="str">
        <f>SUBSTITUTE(K569,"'","")</f>
        <v>320251220106062894</v>
      </c>
      <c r="M569">
        <v>67500</v>
      </c>
    </row>
    <row r="570" spans="1:13" x14ac:dyDescent="0.4">
      <c r="A570" s="1">
        <v>45779</v>
      </c>
      <c r="B570" t="s">
        <v>4683</v>
      </c>
      <c r="C570" t="s">
        <v>4895</v>
      </c>
      <c r="D570">
        <v>54820</v>
      </c>
      <c r="E570" t="s">
        <v>1316</v>
      </c>
      <c r="F570">
        <v>148.59</v>
      </c>
      <c r="G570" t="s">
        <v>4686</v>
      </c>
      <c r="H570" t="s">
        <v>4687</v>
      </c>
      <c r="I570">
        <v>25365</v>
      </c>
      <c r="J570">
        <v>51852</v>
      </c>
      <c r="K570" t="s">
        <v>1320</v>
      </c>
      <c r="L570" t="str">
        <f>SUBSTITUTE(K570,"'","")</f>
        <v>320251220108719842</v>
      </c>
      <c r="M570">
        <v>54820</v>
      </c>
    </row>
    <row r="571" spans="1:13" x14ac:dyDescent="0.4">
      <c r="A571" s="1">
        <v>45779</v>
      </c>
      <c r="B571" t="s">
        <v>4683</v>
      </c>
      <c r="C571" t="s">
        <v>5702</v>
      </c>
      <c r="D571">
        <v>61130</v>
      </c>
      <c r="E571" t="s">
        <v>1321</v>
      </c>
      <c r="F571">
        <v>22.55</v>
      </c>
      <c r="G571" t="s">
        <v>4686</v>
      </c>
      <c r="H571" t="s">
        <v>4687</v>
      </c>
      <c r="I571">
        <v>25436</v>
      </c>
      <c r="J571">
        <v>51994</v>
      </c>
      <c r="K571" t="s">
        <v>1323</v>
      </c>
      <c r="L571" t="str">
        <f>SUBSTITUTE(K571,"'","")</f>
        <v>320251230143441468</v>
      </c>
      <c r="M571">
        <v>61130</v>
      </c>
    </row>
    <row r="572" spans="1:13" x14ac:dyDescent="0.4">
      <c r="A572" s="1">
        <v>45779</v>
      </c>
      <c r="B572" t="s">
        <v>4683</v>
      </c>
      <c r="C572" t="s">
        <v>6377</v>
      </c>
      <c r="D572">
        <v>64200</v>
      </c>
      <c r="E572" t="s">
        <v>222</v>
      </c>
      <c r="F572">
        <v>79</v>
      </c>
      <c r="G572" t="s">
        <v>4686</v>
      </c>
      <c r="H572" t="s">
        <v>4687</v>
      </c>
      <c r="I572">
        <v>25863</v>
      </c>
      <c r="J572">
        <v>52848</v>
      </c>
      <c r="K572" t="s">
        <v>1315</v>
      </c>
      <c r="L572" t="str">
        <f>SUBSTITUTE(K572,"'","")</f>
        <v>320251230149340118</v>
      </c>
      <c r="M572">
        <v>64200</v>
      </c>
    </row>
    <row r="573" spans="1:13" x14ac:dyDescent="0.4">
      <c r="A573" s="1">
        <v>45779</v>
      </c>
      <c r="B573" t="s">
        <v>4683</v>
      </c>
      <c r="C573" t="s">
        <v>4896</v>
      </c>
      <c r="D573">
        <v>54820</v>
      </c>
      <c r="E573" t="s">
        <v>2240</v>
      </c>
      <c r="F573">
        <v>93.61</v>
      </c>
      <c r="G573" t="s">
        <v>4686</v>
      </c>
      <c r="H573" t="s">
        <v>4687</v>
      </c>
      <c r="I573">
        <v>26131</v>
      </c>
      <c r="J573">
        <v>53384</v>
      </c>
      <c r="K573" t="s">
        <v>4025</v>
      </c>
      <c r="L573" t="str">
        <f>SUBSTITUTE(K573,"'","")</f>
        <v>320251230150449716</v>
      </c>
      <c r="M573">
        <v>54820</v>
      </c>
    </row>
    <row r="574" spans="1:13" x14ac:dyDescent="0.4">
      <c r="A574" s="1">
        <v>45779</v>
      </c>
      <c r="B574" t="s">
        <v>4683</v>
      </c>
      <c r="C574" t="s">
        <v>6474</v>
      </c>
      <c r="D574">
        <v>67500</v>
      </c>
      <c r="E574" t="s">
        <v>2146</v>
      </c>
      <c r="F574">
        <v>41.72</v>
      </c>
      <c r="G574" t="s">
        <v>4686</v>
      </c>
      <c r="H574" t="s">
        <v>4687</v>
      </c>
      <c r="I574">
        <v>26432</v>
      </c>
      <c r="J574">
        <v>53986</v>
      </c>
      <c r="K574" t="s">
        <v>4021</v>
      </c>
      <c r="L574" t="str">
        <f>SUBSTITUTE(K574,"'","")</f>
        <v>320251230153954031</v>
      </c>
      <c r="M574">
        <v>67500</v>
      </c>
    </row>
    <row r="575" spans="1:13" x14ac:dyDescent="0.4">
      <c r="A575" s="1">
        <v>45780</v>
      </c>
      <c r="B575" t="s">
        <v>4683</v>
      </c>
      <c r="C575" t="s">
        <v>4898</v>
      </c>
      <c r="D575">
        <v>54820</v>
      </c>
      <c r="E575" t="s">
        <v>977</v>
      </c>
      <c r="F575">
        <v>20</v>
      </c>
      <c r="G575" t="s">
        <v>4686</v>
      </c>
      <c r="H575" t="s">
        <v>4687</v>
      </c>
      <c r="I575">
        <v>26463</v>
      </c>
      <c r="J575">
        <v>54048</v>
      </c>
      <c r="K575" t="s">
        <v>4008</v>
      </c>
      <c r="L575" t="str">
        <f>SUBSTITUTE(K575,"'","")</f>
        <v>320251230134375003</v>
      </c>
      <c r="M575">
        <v>54820</v>
      </c>
    </row>
    <row r="576" spans="1:13" x14ac:dyDescent="0.4">
      <c r="A576" s="1">
        <v>45780</v>
      </c>
      <c r="B576" t="s">
        <v>4683</v>
      </c>
      <c r="C576" t="s">
        <v>5704</v>
      </c>
      <c r="D576">
        <v>61130</v>
      </c>
      <c r="E576" t="s">
        <v>478</v>
      </c>
      <c r="F576">
        <v>37.869999999999997</v>
      </c>
      <c r="G576" t="s">
        <v>4686</v>
      </c>
      <c r="H576" t="s">
        <v>4687</v>
      </c>
      <c r="I576">
        <v>25438</v>
      </c>
      <c r="J576">
        <v>51998</v>
      </c>
      <c r="K576" t="s">
        <v>1311</v>
      </c>
      <c r="L576" t="str">
        <f>SUBSTITUTE(K576,"'","")</f>
        <v>320251230142367989</v>
      </c>
      <c r="M576">
        <v>61130</v>
      </c>
    </row>
    <row r="577" spans="1:13" x14ac:dyDescent="0.4">
      <c r="A577" s="1">
        <v>45780</v>
      </c>
      <c r="B577" t="s">
        <v>4683</v>
      </c>
      <c r="C577" t="s">
        <v>6182</v>
      </c>
      <c r="D577">
        <v>64100</v>
      </c>
      <c r="E577" t="s">
        <v>153</v>
      </c>
      <c r="F577">
        <v>25.84</v>
      </c>
      <c r="G577" t="s">
        <v>4686</v>
      </c>
      <c r="H577" t="s">
        <v>4687</v>
      </c>
      <c r="I577">
        <v>25592</v>
      </c>
      <c r="J577">
        <v>52306</v>
      </c>
      <c r="K577" t="s">
        <v>1308</v>
      </c>
      <c r="L577" t="str">
        <f>SUBSTITUTE(K577,"'","")</f>
        <v>320251230154785236</v>
      </c>
      <c r="M577">
        <v>64100</v>
      </c>
    </row>
    <row r="578" spans="1:13" x14ac:dyDescent="0.4">
      <c r="A578" s="1">
        <v>45780</v>
      </c>
      <c r="B578" t="s">
        <v>4683</v>
      </c>
      <c r="C578" t="s">
        <v>5705</v>
      </c>
      <c r="D578">
        <v>61130</v>
      </c>
      <c r="E578" t="s">
        <v>478</v>
      </c>
      <c r="F578">
        <v>42.13</v>
      </c>
      <c r="G578" t="s">
        <v>4686</v>
      </c>
      <c r="H578" t="s">
        <v>4687</v>
      </c>
      <c r="I578">
        <v>25439</v>
      </c>
      <c r="J578">
        <v>52000</v>
      </c>
      <c r="K578" t="s">
        <v>1313</v>
      </c>
      <c r="L578" t="str">
        <f>SUBSTITUTE(K578,"'","")</f>
        <v>320251240165554382</v>
      </c>
      <c r="M578">
        <v>61130</v>
      </c>
    </row>
    <row r="579" spans="1:13" x14ac:dyDescent="0.4">
      <c r="A579" s="1">
        <v>45780</v>
      </c>
      <c r="B579" t="s">
        <v>4683</v>
      </c>
      <c r="C579" t="s">
        <v>6475</v>
      </c>
      <c r="D579">
        <v>67500</v>
      </c>
      <c r="E579" t="s">
        <v>2400</v>
      </c>
      <c r="F579">
        <v>21.39</v>
      </c>
      <c r="G579" t="s">
        <v>4686</v>
      </c>
      <c r="H579" t="s">
        <v>4687</v>
      </c>
      <c r="I579">
        <v>26280</v>
      </c>
      <c r="J579">
        <v>53682</v>
      </c>
      <c r="K579" t="s">
        <v>4009</v>
      </c>
      <c r="L579" t="str">
        <f>SUBSTITUTE(K579,"'","")</f>
        <v>320251240170457278</v>
      </c>
      <c r="M579">
        <v>67500</v>
      </c>
    </row>
    <row r="580" spans="1:13" x14ac:dyDescent="0.4">
      <c r="A580" s="1">
        <v>45780</v>
      </c>
      <c r="B580" t="s">
        <v>4683</v>
      </c>
      <c r="C580" t="s">
        <v>5899</v>
      </c>
      <c r="D580">
        <v>61131</v>
      </c>
      <c r="E580" t="s">
        <v>327</v>
      </c>
      <c r="F580">
        <v>21.15</v>
      </c>
      <c r="G580" t="s">
        <v>4686</v>
      </c>
      <c r="H580" t="s">
        <v>4687</v>
      </c>
      <c r="I580">
        <v>25732</v>
      </c>
      <c r="J580">
        <v>52586</v>
      </c>
      <c r="K580" t="s">
        <v>1306</v>
      </c>
      <c r="L580" t="str">
        <f>SUBSTITUTE(K580,"'","")</f>
        <v>320251240172798339</v>
      </c>
      <c r="M580">
        <v>61131</v>
      </c>
    </row>
    <row r="581" spans="1:13" x14ac:dyDescent="0.4">
      <c r="A581" s="1">
        <v>45780</v>
      </c>
      <c r="B581" t="s">
        <v>4683</v>
      </c>
      <c r="C581" t="s">
        <v>4897</v>
      </c>
      <c r="D581">
        <v>54820</v>
      </c>
      <c r="E581" t="s">
        <v>1300</v>
      </c>
      <c r="F581">
        <v>228.2</v>
      </c>
      <c r="G581" t="s">
        <v>4686</v>
      </c>
      <c r="H581" t="s">
        <v>4687</v>
      </c>
      <c r="I581">
        <v>26058</v>
      </c>
      <c r="J581">
        <v>53238</v>
      </c>
      <c r="K581" t="s">
        <v>1303</v>
      </c>
      <c r="L581" t="str">
        <f>SUBSTITUTE(K581,"'","")</f>
        <v>320251240174586688</v>
      </c>
      <c r="M581">
        <v>54820</v>
      </c>
    </row>
    <row r="582" spans="1:13" x14ac:dyDescent="0.4">
      <c r="A582" s="1">
        <v>45780</v>
      </c>
      <c r="B582" t="s">
        <v>4683</v>
      </c>
      <c r="C582" t="s">
        <v>4900</v>
      </c>
      <c r="D582">
        <v>54820</v>
      </c>
      <c r="E582" t="s">
        <v>2670</v>
      </c>
      <c r="F582">
        <v>355.3</v>
      </c>
      <c r="G582" t="s">
        <v>4686</v>
      </c>
      <c r="H582" t="s">
        <v>4687</v>
      </c>
      <c r="I582">
        <v>26946</v>
      </c>
      <c r="J582">
        <v>55014</v>
      </c>
      <c r="K582" t="s">
        <v>4006</v>
      </c>
      <c r="L582" t="str">
        <f>SUBSTITUTE(K582,"'","")</f>
        <v>320251240176633998</v>
      </c>
      <c r="M582">
        <v>54820</v>
      </c>
    </row>
    <row r="583" spans="1:13" x14ac:dyDescent="0.4">
      <c r="A583" s="1">
        <v>45780</v>
      </c>
      <c r="B583" t="s">
        <v>4683</v>
      </c>
      <c r="C583" t="s">
        <v>4899</v>
      </c>
      <c r="D583">
        <v>54820</v>
      </c>
      <c r="E583" t="s">
        <v>4015</v>
      </c>
      <c r="F583">
        <v>37.17</v>
      </c>
      <c r="G583" t="s">
        <v>4686</v>
      </c>
      <c r="H583" t="s">
        <v>4687</v>
      </c>
      <c r="I583">
        <v>26748</v>
      </c>
      <c r="J583">
        <v>54618</v>
      </c>
      <c r="K583" t="s">
        <v>4019</v>
      </c>
      <c r="L583" t="str">
        <f>SUBSTITUTE(K583,"'","")</f>
        <v>320251240184035599</v>
      </c>
      <c r="M583">
        <v>54820</v>
      </c>
    </row>
    <row r="584" spans="1:13" x14ac:dyDescent="0.4">
      <c r="A584" s="1">
        <v>45780</v>
      </c>
      <c r="B584" t="s">
        <v>4683</v>
      </c>
      <c r="C584" t="s">
        <v>4901</v>
      </c>
      <c r="D584">
        <v>54820</v>
      </c>
      <c r="E584" t="s">
        <v>4010</v>
      </c>
      <c r="F584">
        <v>9.0500000000000007</v>
      </c>
      <c r="G584" t="s">
        <v>4686</v>
      </c>
      <c r="H584" t="s">
        <v>4687</v>
      </c>
      <c r="I584">
        <v>26947</v>
      </c>
      <c r="J584">
        <v>55016</v>
      </c>
      <c r="K584" t="s">
        <v>4013</v>
      </c>
      <c r="L584" t="str">
        <f>SUBSTITUTE(K584,"'","")</f>
        <v>320251250209515470</v>
      </c>
      <c r="M584">
        <v>54820</v>
      </c>
    </row>
    <row r="585" spans="1:13" x14ac:dyDescent="0.4">
      <c r="A585" s="1">
        <v>45781</v>
      </c>
      <c r="B585" t="s">
        <v>4683</v>
      </c>
      <c r="C585" t="s">
        <v>4902</v>
      </c>
      <c r="D585">
        <v>54820</v>
      </c>
      <c r="E585" t="s">
        <v>196</v>
      </c>
      <c r="F585">
        <v>7.99</v>
      </c>
      <c r="G585" t="s">
        <v>4686</v>
      </c>
      <c r="H585" t="s">
        <v>4687</v>
      </c>
      <c r="I585">
        <v>25881</v>
      </c>
      <c r="J585">
        <v>52884</v>
      </c>
      <c r="K585" t="s">
        <v>1299</v>
      </c>
      <c r="L585" t="str">
        <f>SUBSTITUTE(K585,"'","")</f>
        <v>320251240164997016</v>
      </c>
      <c r="M585">
        <v>54820</v>
      </c>
    </row>
    <row r="586" spans="1:13" x14ac:dyDescent="0.4">
      <c r="A586" s="1">
        <v>45781</v>
      </c>
      <c r="B586" t="s">
        <v>4683</v>
      </c>
      <c r="C586" t="s">
        <v>4903</v>
      </c>
      <c r="D586">
        <v>54820</v>
      </c>
      <c r="E586" t="s">
        <v>2393</v>
      </c>
      <c r="F586">
        <v>9.9499999999999993</v>
      </c>
      <c r="G586" t="s">
        <v>4686</v>
      </c>
      <c r="H586" t="s">
        <v>4687</v>
      </c>
      <c r="I586">
        <v>26948</v>
      </c>
      <c r="J586">
        <v>55018</v>
      </c>
      <c r="K586" t="s">
        <v>4000</v>
      </c>
      <c r="L586" t="str">
        <f>SUBSTITUTE(K586,"'","")</f>
        <v>320251240168823767</v>
      </c>
      <c r="M586">
        <v>54820</v>
      </c>
    </row>
    <row r="587" spans="1:13" x14ac:dyDescent="0.4">
      <c r="A587" s="1">
        <v>45781</v>
      </c>
      <c r="B587" t="s">
        <v>4683</v>
      </c>
      <c r="C587" t="s">
        <v>6183</v>
      </c>
      <c r="D587">
        <v>64100</v>
      </c>
      <c r="E587" t="s">
        <v>153</v>
      </c>
      <c r="F587">
        <v>25.84</v>
      </c>
      <c r="G587" t="s">
        <v>4686</v>
      </c>
      <c r="H587" t="s">
        <v>4687</v>
      </c>
      <c r="I587">
        <v>25593</v>
      </c>
      <c r="J587">
        <v>52308</v>
      </c>
      <c r="K587" t="s">
        <v>1298</v>
      </c>
      <c r="L587" t="str">
        <f>SUBSTITUTE(K587,"'","")</f>
        <v>320251240178872768</v>
      </c>
      <c r="M587">
        <v>64100</v>
      </c>
    </row>
    <row r="588" spans="1:13" x14ac:dyDescent="0.4">
      <c r="A588" s="1">
        <v>45781</v>
      </c>
      <c r="B588" t="s">
        <v>4683</v>
      </c>
      <c r="C588" t="s">
        <v>6184</v>
      </c>
      <c r="D588">
        <v>64100</v>
      </c>
      <c r="E588" t="s">
        <v>165</v>
      </c>
      <c r="F588">
        <v>25.68</v>
      </c>
      <c r="G588" t="s">
        <v>4686</v>
      </c>
      <c r="H588" t="s">
        <v>4687</v>
      </c>
      <c r="I588">
        <v>26217</v>
      </c>
      <c r="J588">
        <v>53556</v>
      </c>
      <c r="K588" t="s">
        <v>3988</v>
      </c>
      <c r="L588" t="str">
        <f>SUBSTITUTE(K588,"'","")</f>
        <v>320251240180854746</v>
      </c>
      <c r="M588">
        <v>64100</v>
      </c>
    </row>
    <row r="589" spans="1:13" x14ac:dyDescent="0.4">
      <c r="A589" s="1">
        <v>45781</v>
      </c>
      <c r="B589" t="s">
        <v>4683</v>
      </c>
      <c r="C589" t="s">
        <v>6186</v>
      </c>
      <c r="D589">
        <v>64100</v>
      </c>
      <c r="E589" t="s">
        <v>165</v>
      </c>
      <c r="F589">
        <v>32.1</v>
      </c>
      <c r="G589" t="s">
        <v>4686</v>
      </c>
      <c r="H589" t="s">
        <v>4687</v>
      </c>
      <c r="I589">
        <v>26219</v>
      </c>
      <c r="J589">
        <v>53560</v>
      </c>
      <c r="K589" t="s">
        <v>3992</v>
      </c>
      <c r="L589" t="str">
        <f>SUBSTITUTE(K589,"'","")</f>
        <v>320251240180855216</v>
      </c>
      <c r="M589">
        <v>64100</v>
      </c>
    </row>
    <row r="590" spans="1:13" x14ac:dyDescent="0.4">
      <c r="A590" s="1">
        <v>45781</v>
      </c>
      <c r="B590" t="s">
        <v>4683</v>
      </c>
      <c r="C590" t="s">
        <v>6188</v>
      </c>
      <c r="D590">
        <v>64100</v>
      </c>
      <c r="E590" t="s">
        <v>165</v>
      </c>
      <c r="F590">
        <v>289.06</v>
      </c>
      <c r="G590" t="s">
        <v>4686</v>
      </c>
      <c r="H590" t="s">
        <v>4687</v>
      </c>
      <c r="I590">
        <v>26221</v>
      </c>
      <c r="J590">
        <v>53564</v>
      </c>
      <c r="K590" t="s">
        <v>3996</v>
      </c>
      <c r="L590" t="str">
        <f>SUBSTITUTE(K590,"'","")</f>
        <v>320251240180857812</v>
      </c>
      <c r="M590">
        <v>64100</v>
      </c>
    </row>
    <row r="591" spans="1:13" x14ac:dyDescent="0.4">
      <c r="A591" s="1">
        <v>45781</v>
      </c>
      <c r="B591" t="s">
        <v>4683</v>
      </c>
      <c r="C591" t="s">
        <v>6185</v>
      </c>
      <c r="D591">
        <v>64100</v>
      </c>
      <c r="E591" t="s">
        <v>165</v>
      </c>
      <c r="F591">
        <v>32.07</v>
      </c>
      <c r="G591" t="s">
        <v>4686</v>
      </c>
      <c r="H591" t="s">
        <v>4687</v>
      </c>
      <c r="I591">
        <v>26218</v>
      </c>
      <c r="J591">
        <v>53558</v>
      </c>
      <c r="K591" t="s">
        <v>3990</v>
      </c>
      <c r="L591" t="str">
        <f>SUBSTITUTE(K591,"'","")</f>
        <v>320251240182507602</v>
      </c>
      <c r="M591">
        <v>64100</v>
      </c>
    </row>
    <row r="592" spans="1:13" x14ac:dyDescent="0.4">
      <c r="A592" s="1">
        <v>45781</v>
      </c>
      <c r="B592" t="s">
        <v>4683</v>
      </c>
      <c r="C592" t="s">
        <v>6187</v>
      </c>
      <c r="D592">
        <v>64100</v>
      </c>
      <c r="E592" t="s">
        <v>165</v>
      </c>
      <c r="F592">
        <v>59.92</v>
      </c>
      <c r="G592" t="s">
        <v>4686</v>
      </c>
      <c r="H592" t="s">
        <v>4687</v>
      </c>
      <c r="I592">
        <v>26220</v>
      </c>
      <c r="J592">
        <v>53562</v>
      </c>
      <c r="K592" t="s">
        <v>3994</v>
      </c>
      <c r="L592" t="str">
        <f>SUBSTITUTE(K592,"'","")</f>
        <v>320251240182511590</v>
      </c>
      <c r="M592">
        <v>64100</v>
      </c>
    </row>
    <row r="593" spans="1:13" x14ac:dyDescent="0.4">
      <c r="A593" s="1">
        <v>45781</v>
      </c>
      <c r="B593" t="s">
        <v>4683</v>
      </c>
      <c r="C593" t="s">
        <v>6189</v>
      </c>
      <c r="D593">
        <v>64100</v>
      </c>
      <c r="E593" t="s">
        <v>2390</v>
      </c>
      <c r="F593">
        <v>21.4</v>
      </c>
      <c r="G593" t="s">
        <v>4686</v>
      </c>
      <c r="H593" t="s">
        <v>4687</v>
      </c>
      <c r="I593">
        <v>26701</v>
      </c>
      <c r="J593">
        <v>54524</v>
      </c>
      <c r="K593" t="s">
        <v>3998</v>
      </c>
      <c r="L593" t="str">
        <f>SUBSTITUTE(K593,"'","")</f>
        <v>320251240182551716</v>
      </c>
      <c r="M593">
        <v>64100</v>
      </c>
    </row>
    <row r="594" spans="1:13" x14ac:dyDescent="0.4">
      <c r="A594" s="1">
        <v>45781</v>
      </c>
      <c r="B594" t="s">
        <v>4683</v>
      </c>
      <c r="C594" t="s">
        <v>4905</v>
      </c>
      <c r="D594">
        <v>54820</v>
      </c>
      <c r="E594" t="s">
        <v>2442</v>
      </c>
      <c r="F594">
        <v>92.98</v>
      </c>
      <c r="G594" t="s">
        <v>4686</v>
      </c>
      <c r="H594" t="s">
        <v>4687</v>
      </c>
      <c r="I594">
        <v>26950</v>
      </c>
      <c r="J594">
        <v>55022</v>
      </c>
      <c r="K594" t="s">
        <v>4004</v>
      </c>
      <c r="L594" t="str">
        <f>SUBSTITUTE(K594,"'","")</f>
        <v>320251240184451864</v>
      </c>
      <c r="M594">
        <v>54820</v>
      </c>
    </row>
    <row r="595" spans="1:13" x14ac:dyDescent="0.4">
      <c r="A595" s="1">
        <v>45781</v>
      </c>
      <c r="B595" t="s">
        <v>4683</v>
      </c>
      <c r="C595" t="s">
        <v>4904</v>
      </c>
      <c r="D595">
        <v>54820</v>
      </c>
      <c r="E595" t="s">
        <v>3682</v>
      </c>
      <c r="F595">
        <v>102.5</v>
      </c>
      <c r="G595" t="s">
        <v>4686</v>
      </c>
      <c r="H595" t="s">
        <v>4687</v>
      </c>
      <c r="I595">
        <v>26949</v>
      </c>
      <c r="J595">
        <v>55020</v>
      </c>
      <c r="K595" t="s">
        <v>4002</v>
      </c>
      <c r="L595" t="str">
        <f>SUBSTITUTE(K595,"'","")</f>
        <v>320251250199330640</v>
      </c>
      <c r="M595">
        <v>54820</v>
      </c>
    </row>
    <row r="596" spans="1:13" x14ac:dyDescent="0.4">
      <c r="A596" s="1">
        <v>45782</v>
      </c>
      <c r="B596" t="s">
        <v>4683</v>
      </c>
      <c r="C596" t="s">
        <v>6190</v>
      </c>
      <c r="D596">
        <v>64100</v>
      </c>
      <c r="E596" t="s">
        <v>517</v>
      </c>
      <c r="F596">
        <v>4</v>
      </c>
      <c r="G596" t="s">
        <v>4686</v>
      </c>
      <c r="H596" t="s">
        <v>4687</v>
      </c>
      <c r="I596">
        <v>25657</v>
      </c>
      <c r="J596">
        <v>52436</v>
      </c>
      <c r="K596" t="s">
        <v>1295</v>
      </c>
      <c r="L596" t="str">
        <f>SUBSTITUTE(K596,"'","")</f>
        <v>320251250191565904</v>
      </c>
      <c r="M596">
        <v>64100</v>
      </c>
    </row>
    <row r="597" spans="1:13" x14ac:dyDescent="0.4">
      <c r="A597" s="1">
        <v>45782</v>
      </c>
      <c r="B597" t="s">
        <v>4683</v>
      </c>
      <c r="C597" t="s">
        <v>4906</v>
      </c>
      <c r="D597">
        <v>54820</v>
      </c>
      <c r="E597" t="s">
        <v>3866</v>
      </c>
      <c r="F597">
        <v>16.63</v>
      </c>
      <c r="G597" t="s">
        <v>4686</v>
      </c>
      <c r="H597" t="s">
        <v>4687</v>
      </c>
      <c r="I597">
        <v>26658</v>
      </c>
      <c r="J597">
        <v>54438</v>
      </c>
      <c r="K597" t="s">
        <v>3984</v>
      </c>
      <c r="L597" t="str">
        <f>SUBSTITUTE(K597,"'","")</f>
        <v>320251250193853407</v>
      </c>
      <c r="M597">
        <v>54820</v>
      </c>
    </row>
    <row r="598" spans="1:13" x14ac:dyDescent="0.4">
      <c r="A598" s="1">
        <v>45782</v>
      </c>
      <c r="B598" t="s">
        <v>4683</v>
      </c>
      <c r="C598" t="s">
        <v>4907</v>
      </c>
      <c r="D598">
        <v>54820</v>
      </c>
      <c r="E598" t="s">
        <v>2448</v>
      </c>
      <c r="F598">
        <v>51.45</v>
      </c>
      <c r="G598" t="s">
        <v>4686</v>
      </c>
      <c r="H598" t="s">
        <v>4687</v>
      </c>
      <c r="I598">
        <v>26951</v>
      </c>
      <c r="J598">
        <v>55024</v>
      </c>
      <c r="K598" t="s">
        <v>3986</v>
      </c>
      <c r="L598" t="str">
        <f>SUBSTITUTE(K598,"'","")</f>
        <v>320251250196712066</v>
      </c>
      <c r="M598">
        <v>54820</v>
      </c>
    </row>
    <row r="599" spans="1:13" x14ac:dyDescent="0.4">
      <c r="A599" s="1">
        <v>45782</v>
      </c>
      <c r="B599" t="s">
        <v>4730</v>
      </c>
      <c r="C599" t="s">
        <v>5572</v>
      </c>
      <c r="D599">
        <v>61120</v>
      </c>
      <c r="E599" t="s">
        <v>1292</v>
      </c>
      <c r="F599">
        <v>-700</v>
      </c>
      <c r="G599" t="s">
        <v>4686</v>
      </c>
      <c r="H599" t="s">
        <v>4687</v>
      </c>
      <c r="I599">
        <v>25680</v>
      </c>
      <c r="J599">
        <v>52482</v>
      </c>
      <c r="K599" t="s">
        <v>1293</v>
      </c>
      <c r="L599" t="str">
        <f>SUBSTITUTE(K599,"'","")</f>
        <v>320251250212590630</v>
      </c>
      <c r="M599">
        <v>61120</v>
      </c>
    </row>
    <row r="600" spans="1:13" x14ac:dyDescent="0.4">
      <c r="A600" s="1">
        <v>45783</v>
      </c>
      <c r="B600" t="s">
        <v>4683</v>
      </c>
      <c r="C600" t="s">
        <v>4912</v>
      </c>
      <c r="D600">
        <v>54820</v>
      </c>
      <c r="E600" t="s">
        <v>3073</v>
      </c>
      <c r="F600">
        <v>65.37</v>
      </c>
      <c r="G600" t="s">
        <v>4686</v>
      </c>
      <c r="H600" t="s">
        <v>4687</v>
      </c>
      <c r="I600">
        <v>26513</v>
      </c>
      <c r="J600">
        <v>54148</v>
      </c>
      <c r="K600" t="s">
        <v>3963</v>
      </c>
      <c r="L600" t="str">
        <f>SUBSTITUTE(K600,"'","")</f>
        <v>320251260218002056</v>
      </c>
      <c r="M600">
        <v>54820</v>
      </c>
    </row>
    <row r="601" spans="1:13" x14ac:dyDescent="0.4">
      <c r="A601" s="1">
        <v>45783</v>
      </c>
      <c r="B601" t="s">
        <v>4683</v>
      </c>
      <c r="C601" t="s">
        <v>4908</v>
      </c>
      <c r="D601">
        <v>54820</v>
      </c>
      <c r="E601" t="s">
        <v>2217</v>
      </c>
      <c r="F601">
        <v>11.37</v>
      </c>
      <c r="G601" t="s">
        <v>4686</v>
      </c>
      <c r="H601" t="s">
        <v>4687</v>
      </c>
      <c r="I601">
        <v>26265</v>
      </c>
      <c r="J601">
        <v>53652</v>
      </c>
      <c r="K601" t="s">
        <v>3978</v>
      </c>
      <c r="L601" t="str">
        <f>SUBSTITUTE(K601,"'","")</f>
        <v>320251260219110459</v>
      </c>
      <c r="M601">
        <v>54820</v>
      </c>
    </row>
    <row r="602" spans="1:13" x14ac:dyDescent="0.4">
      <c r="A602" s="1">
        <v>45783</v>
      </c>
      <c r="B602" t="s">
        <v>4683</v>
      </c>
      <c r="C602" t="s">
        <v>4909</v>
      </c>
      <c r="D602">
        <v>54820</v>
      </c>
      <c r="E602" t="s">
        <v>3971</v>
      </c>
      <c r="F602">
        <v>4.57</v>
      </c>
      <c r="G602" t="s">
        <v>4686</v>
      </c>
      <c r="H602" t="s">
        <v>4687</v>
      </c>
      <c r="I602">
        <v>26301</v>
      </c>
      <c r="J602">
        <v>53724</v>
      </c>
      <c r="K602" t="s">
        <v>3973</v>
      </c>
      <c r="L602" t="str">
        <f>SUBSTITUTE(K602,"'","")</f>
        <v>320251260220306751</v>
      </c>
      <c r="M602">
        <v>54820</v>
      </c>
    </row>
    <row r="603" spans="1:13" x14ac:dyDescent="0.4">
      <c r="A603" s="1">
        <v>45783</v>
      </c>
      <c r="B603" t="s">
        <v>4683</v>
      </c>
      <c r="C603" t="s">
        <v>4911</v>
      </c>
      <c r="D603">
        <v>54820</v>
      </c>
      <c r="E603" t="s">
        <v>3428</v>
      </c>
      <c r="F603">
        <v>16.02</v>
      </c>
      <c r="G603" t="s">
        <v>4686</v>
      </c>
      <c r="H603" t="s">
        <v>4687</v>
      </c>
      <c r="I603">
        <v>26427</v>
      </c>
      <c r="J603">
        <v>53976</v>
      </c>
      <c r="K603" t="s">
        <v>3970</v>
      </c>
      <c r="L603" t="str">
        <f>SUBSTITUTE(K603,"'","")</f>
        <v>320251260220648205</v>
      </c>
      <c r="M603">
        <v>54820</v>
      </c>
    </row>
    <row r="604" spans="1:13" x14ac:dyDescent="0.4">
      <c r="A604" s="1">
        <v>45783</v>
      </c>
      <c r="B604" t="s">
        <v>4683</v>
      </c>
      <c r="C604" t="s">
        <v>6424</v>
      </c>
      <c r="D604">
        <v>65700</v>
      </c>
      <c r="E604" t="s">
        <v>2354</v>
      </c>
      <c r="F604">
        <v>109.99</v>
      </c>
      <c r="G604" t="s">
        <v>4686</v>
      </c>
      <c r="H604" t="s">
        <v>4687</v>
      </c>
      <c r="I604">
        <v>26289</v>
      </c>
      <c r="J604">
        <v>53700</v>
      </c>
      <c r="K604" t="s">
        <v>3982</v>
      </c>
      <c r="L604" t="str">
        <f>SUBSTITUTE(K604,"'","")</f>
        <v>320251260223613636</v>
      </c>
      <c r="M604">
        <v>65700</v>
      </c>
    </row>
    <row r="605" spans="1:13" x14ac:dyDescent="0.4">
      <c r="A605" s="1">
        <v>45783</v>
      </c>
      <c r="B605" t="s">
        <v>4683</v>
      </c>
      <c r="C605" t="s">
        <v>4910</v>
      </c>
      <c r="D605">
        <v>54820</v>
      </c>
      <c r="E605" t="s">
        <v>3974</v>
      </c>
      <c r="F605">
        <v>12.88</v>
      </c>
      <c r="G605" t="s">
        <v>4686</v>
      </c>
      <c r="H605" t="s">
        <v>4687</v>
      </c>
      <c r="I605">
        <v>26302</v>
      </c>
      <c r="J605">
        <v>53726</v>
      </c>
      <c r="K605" t="s">
        <v>3976</v>
      </c>
      <c r="L605" t="str">
        <f>SUBSTITUTE(K605,"'","")</f>
        <v>320251260225023327</v>
      </c>
      <c r="M605">
        <v>54820</v>
      </c>
    </row>
    <row r="606" spans="1:13" x14ac:dyDescent="0.4">
      <c r="A606" s="1">
        <v>45783</v>
      </c>
      <c r="B606" t="s">
        <v>4683</v>
      </c>
      <c r="C606" t="s">
        <v>5573</v>
      </c>
      <c r="D606">
        <v>61120</v>
      </c>
      <c r="E606" t="s">
        <v>1243</v>
      </c>
      <c r="F606" s="5">
        <v>2431.81</v>
      </c>
      <c r="G606" t="s">
        <v>4686</v>
      </c>
      <c r="H606" t="s">
        <v>4687</v>
      </c>
      <c r="I606">
        <v>25681</v>
      </c>
      <c r="J606">
        <v>52484</v>
      </c>
      <c r="K606" t="s">
        <v>1286</v>
      </c>
      <c r="L606" t="str">
        <f>SUBSTITUTE(K606,"'","")</f>
        <v>320251260231047972</v>
      </c>
      <c r="M606">
        <v>61120</v>
      </c>
    </row>
    <row r="607" spans="1:13" x14ac:dyDescent="0.4">
      <c r="A607" s="1">
        <v>45783</v>
      </c>
      <c r="B607" t="s">
        <v>4683</v>
      </c>
      <c r="C607" t="s">
        <v>5575</v>
      </c>
      <c r="D607">
        <v>61120</v>
      </c>
      <c r="E607" t="s">
        <v>1243</v>
      </c>
      <c r="F607" s="5">
        <v>3965.81</v>
      </c>
      <c r="G607" t="s">
        <v>4686</v>
      </c>
      <c r="H607" t="s">
        <v>4687</v>
      </c>
      <c r="I607">
        <v>25683</v>
      </c>
      <c r="J607">
        <v>52488</v>
      </c>
      <c r="K607" t="s">
        <v>1290</v>
      </c>
      <c r="L607" t="str">
        <f>SUBSTITUTE(K607,"'","")</f>
        <v>320251260231049130</v>
      </c>
      <c r="M607">
        <v>61120</v>
      </c>
    </row>
    <row r="608" spans="1:13" x14ac:dyDescent="0.4">
      <c r="A608" s="1">
        <v>45783</v>
      </c>
      <c r="B608" t="s">
        <v>4683</v>
      </c>
      <c r="C608" t="s">
        <v>5574</v>
      </c>
      <c r="D608">
        <v>61120</v>
      </c>
      <c r="E608" t="s">
        <v>816</v>
      </c>
      <c r="F608" s="5">
        <v>2536.41</v>
      </c>
      <c r="G608" t="s">
        <v>4686</v>
      </c>
      <c r="H608" t="s">
        <v>4687</v>
      </c>
      <c r="I608">
        <v>25682</v>
      </c>
      <c r="J608">
        <v>52486</v>
      </c>
      <c r="K608" t="s">
        <v>1288</v>
      </c>
      <c r="L608" t="str">
        <f>SUBSTITUTE(K608,"'","")</f>
        <v>320251260234195886</v>
      </c>
      <c r="M608">
        <v>61120</v>
      </c>
    </row>
    <row r="609" spans="1:13" x14ac:dyDescent="0.4">
      <c r="A609" s="1">
        <v>45783</v>
      </c>
      <c r="B609" t="s">
        <v>4683</v>
      </c>
      <c r="C609" t="s">
        <v>4913</v>
      </c>
      <c r="D609">
        <v>54820</v>
      </c>
      <c r="E609" t="s">
        <v>3964</v>
      </c>
      <c r="F609">
        <v>65.239999999999995</v>
      </c>
      <c r="G609" t="s">
        <v>4686</v>
      </c>
      <c r="H609" t="s">
        <v>4687</v>
      </c>
      <c r="I609">
        <v>26952</v>
      </c>
      <c r="J609">
        <v>55026</v>
      </c>
      <c r="K609" t="s">
        <v>3967</v>
      </c>
      <c r="L609" t="str">
        <f>SUBSTITUTE(K609,"'","")</f>
        <v>320251270249517319</v>
      </c>
      <c r="M609">
        <v>54820</v>
      </c>
    </row>
    <row r="610" spans="1:13" x14ac:dyDescent="0.4">
      <c r="A610" s="1">
        <v>45783</v>
      </c>
      <c r="B610" t="s">
        <v>4683</v>
      </c>
      <c r="C610" t="s">
        <v>4914</v>
      </c>
      <c r="D610">
        <v>54820</v>
      </c>
      <c r="E610" t="s">
        <v>2690</v>
      </c>
      <c r="F610">
        <v>100</v>
      </c>
      <c r="G610" t="s">
        <v>4686</v>
      </c>
      <c r="H610" t="s">
        <v>4687</v>
      </c>
      <c r="I610">
        <v>26953</v>
      </c>
      <c r="J610">
        <v>55028</v>
      </c>
      <c r="K610" t="s">
        <v>3980</v>
      </c>
      <c r="L610" t="str">
        <f>SUBSTITUTE(K610,"'","")</f>
        <v>320251270251306334</v>
      </c>
      <c r="M610">
        <v>54820</v>
      </c>
    </row>
    <row r="611" spans="1:13" x14ac:dyDescent="0.4">
      <c r="A611" s="1">
        <v>45784</v>
      </c>
      <c r="B611" t="s">
        <v>4683</v>
      </c>
      <c r="C611" t="s">
        <v>5577</v>
      </c>
      <c r="D611">
        <v>61120</v>
      </c>
      <c r="E611" t="s">
        <v>816</v>
      </c>
      <c r="F611" s="5">
        <v>2536.41</v>
      </c>
      <c r="G611" t="s">
        <v>4686</v>
      </c>
      <c r="H611" t="s">
        <v>4687</v>
      </c>
      <c r="I611">
        <v>25685</v>
      </c>
      <c r="J611">
        <v>52492</v>
      </c>
      <c r="K611" t="s">
        <v>1278</v>
      </c>
      <c r="L611" t="str">
        <f>SUBSTITUTE(K611,"'","")</f>
        <v>320251270258520388</v>
      </c>
      <c r="M611">
        <v>61120</v>
      </c>
    </row>
    <row r="612" spans="1:13" x14ac:dyDescent="0.4">
      <c r="A612" s="1">
        <v>45784</v>
      </c>
      <c r="B612" t="s">
        <v>4683</v>
      </c>
      <c r="C612" t="s">
        <v>5576</v>
      </c>
      <c r="D612">
        <v>61120</v>
      </c>
      <c r="E612" t="s">
        <v>816</v>
      </c>
      <c r="F612">
        <v>609</v>
      </c>
      <c r="G612" t="s">
        <v>4686</v>
      </c>
      <c r="H612" t="s">
        <v>4687</v>
      </c>
      <c r="I612">
        <v>25684</v>
      </c>
      <c r="J612">
        <v>52490</v>
      </c>
      <c r="K612" t="s">
        <v>1276</v>
      </c>
      <c r="L612" t="str">
        <f>SUBSTITUTE(K612,"'","")</f>
        <v>320251270258541585</v>
      </c>
      <c r="M612">
        <v>61120</v>
      </c>
    </row>
    <row r="613" spans="1:13" x14ac:dyDescent="0.4">
      <c r="A613" s="1">
        <v>45784</v>
      </c>
      <c r="B613" t="s">
        <v>4683</v>
      </c>
      <c r="C613" t="s">
        <v>6191</v>
      </c>
      <c r="D613">
        <v>64100</v>
      </c>
      <c r="E613" t="s">
        <v>165</v>
      </c>
      <c r="F613">
        <v>21.38</v>
      </c>
      <c r="G613" t="s">
        <v>4686</v>
      </c>
      <c r="H613" t="s">
        <v>4687</v>
      </c>
      <c r="I613">
        <v>25594</v>
      </c>
      <c r="J613">
        <v>52310</v>
      </c>
      <c r="K613" t="s">
        <v>1260</v>
      </c>
      <c r="L613" t="str">
        <f>SUBSTITUTE(K613,"'","")</f>
        <v>320251270262638391</v>
      </c>
      <c r="M613">
        <v>64100</v>
      </c>
    </row>
    <row r="614" spans="1:13" x14ac:dyDescent="0.4">
      <c r="A614" s="1">
        <v>45784</v>
      </c>
      <c r="B614" t="s">
        <v>4683</v>
      </c>
      <c r="C614" t="s">
        <v>5578</v>
      </c>
      <c r="D614">
        <v>61120</v>
      </c>
      <c r="E614" t="s">
        <v>888</v>
      </c>
      <c r="F614">
        <v>14</v>
      </c>
      <c r="G614" t="s">
        <v>4686</v>
      </c>
      <c r="H614" t="s">
        <v>4687</v>
      </c>
      <c r="I614">
        <v>25770</v>
      </c>
      <c r="J614">
        <v>52662</v>
      </c>
      <c r="K614" t="s">
        <v>1262</v>
      </c>
      <c r="L614" t="str">
        <f>SUBSTITUTE(K614,"'","")</f>
        <v>320251270263582861</v>
      </c>
      <c r="M614">
        <v>61120</v>
      </c>
    </row>
    <row r="615" spans="1:13" x14ac:dyDescent="0.4">
      <c r="A615" s="1">
        <v>45784</v>
      </c>
      <c r="B615" t="s">
        <v>4683</v>
      </c>
      <c r="C615" t="s">
        <v>5579</v>
      </c>
      <c r="D615">
        <v>61120</v>
      </c>
      <c r="E615" t="s">
        <v>888</v>
      </c>
      <c r="F615">
        <v>14</v>
      </c>
      <c r="G615" t="s">
        <v>4686</v>
      </c>
      <c r="H615" t="s">
        <v>4687</v>
      </c>
      <c r="I615">
        <v>25771</v>
      </c>
      <c r="J615">
        <v>52664</v>
      </c>
      <c r="K615" t="s">
        <v>1264</v>
      </c>
      <c r="L615" t="str">
        <f>SUBSTITUTE(K615,"'","")</f>
        <v>320251270263582862</v>
      </c>
      <c r="M615">
        <v>61120</v>
      </c>
    </row>
    <row r="616" spans="1:13" x14ac:dyDescent="0.4">
      <c r="A616" s="1">
        <v>45784</v>
      </c>
      <c r="B616" t="s">
        <v>4683</v>
      </c>
      <c r="C616" t="s">
        <v>5584</v>
      </c>
      <c r="D616">
        <v>61120</v>
      </c>
      <c r="E616" t="s">
        <v>906</v>
      </c>
      <c r="F616">
        <v>9.9499999999999993</v>
      </c>
      <c r="G616" t="s">
        <v>4686</v>
      </c>
      <c r="H616" t="s">
        <v>4687</v>
      </c>
      <c r="I616">
        <v>25792</v>
      </c>
      <c r="J616">
        <v>52706</v>
      </c>
      <c r="K616" t="s">
        <v>1280</v>
      </c>
      <c r="L616" t="str">
        <f>SUBSTITUTE(K616,"'","")</f>
        <v>320251270263582863</v>
      </c>
      <c r="M616">
        <v>61120</v>
      </c>
    </row>
    <row r="617" spans="1:13" x14ac:dyDescent="0.4">
      <c r="A617" s="1">
        <v>45784</v>
      </c>
      <c r="B617" t="s">
        <v>4683</v>
      </c>
      <c r="C617" t="s">
        <v>5585</v>
      </c>
      <c r="D617">
        <v>61120</v>
      </c>
      <c r="E617" t="s">
        <v>906</v>
      </c>
      <c r="F617">
        <v>9.9499999999999993</v>
      </c>
      <c r="G617" t="s">
        <v>4686</v>
      </c>
      <c r="H617" t="s">
        <v>4687</v>
      </c>
      <c r="I617">
        <v>25793</v>
      </c>
      <c r="J617">
        <v>52708</v>
      </c>
      <c r="K617" t="s">
        <v>1282</v>
      </c>
      <c r="L617" t="str">
        <f>SUBSTITUTE(K617,"'","")</f>
        <v>320251270263582864</v>
      </c>
      <c r="M617">
        <v>61120</v>
      </c>
    </row>
    <row r="618" spans="1:13" x14ac:dyDescent="0.4">
      <c r="A618" s="1">
        <v>45784</v>
      </c>
      <c r="B618" t="s">
        <v>4683</v>
      </c>
      <c r="C618" t="s">
        <v>5581</v>
      </c>
      <c r="D618">
        <v>61120</v>
      </c>
      <c r="E618" t="s">
        <v>895</v>
      </c>
      <c r="F618">
        <v>9.9499999999999993</v>
      </c>
      <c r="G618" t="s">
        <v>4686</v>
      </c>
      <c r="H618" t="s">
        <v>4687</v>
      </c>
      <c r="I618">
        <v>25773</v>
      </c>
      <c r="J618">
        <v>52668</v>
      </c>
      <c r="K618" t="s">
        <v>1270</v>
      </c>
      <c r="L618" t="str">
        <f>SUBSTITUTE(K618,"'","")</f>
        <v>320251270263582865</v>
      </c>
      <c r="M618">
        <v>61120</v>
      </c>
    </row>
    <row r="619" spans="1:13" x14ac:dyDescent="0.4">
      <c r="A619" s="1">
        <v>45784</v>
      </c>
      <c r="B619" t="s">
        <v>4683</v>
      </c>
      <c r="C619" t="s">
        <v>5582</v>
      </c>
      <c r="D619">
        <v>61120</v>
      </c>
      <c r="E619" t="s">
        <v>895</v>
      </c>
      <c r="F619">
        <v>9.9499999999999993</v>
      </c>
      <c r="G619" t="s">
        <v>4686</v>
      </c>
      <c r="H619" t="s">
        <v>4687</v>
      </c>
      <c r="I619">
        <v>25774</v>
      </c>
      <c r="J619">
        <v>52670</v>
      </c>
      <c r="K619" t="s">
        <v>1272</v>
      </c>
      <c r="L619" t="str">
        <f>SUBSTITUTE(K619,"'","")</f>
        <v>320251270263582866</v>
      </c>
      <c r="M619">
        <v>61120</v>
      </c>
    </row>
    <row r="620" spans="1:13" x14ac:dyDescent="0.4">
      <c r="A620" s="1">
        <v>45784</v>
      </c>
      <c r="B620" t="s">
        <v>4683</v>
      </c>
      <c r="C620" t="s">
        <v>5583</v>
      </c>
      <c r="D620">
        <v>61120</v>
      </c>
      <c r="E620" t="s">
        <v>895</v>
      </c>
      <c r="F620">
        <v>9.9499999999999993</v>
      </c>
      <c r="G620" t="s">
        <v>4686</v>
      </c>
      <c r="H620" t="s">
        <v>4687</v>
      </c>
      <c r="I620">
        <v>25775</v>
      </c>
      <c r="J620">
        <v>52672</v>
      </c>
      <c r="K620" t="s">
        <v>1274</v>
      </c>
      <c r="L620" t="str">
        <f>SUBSTITUTE(K620,"'","")</f>
        <v>320251270263582867</v>
      </c>
      <c r="M620">
        <v>61120</v>
      </c>
    </row>
    <row r="621" spans="1:13" x14ac:dyDescent="0.4">
      <c r="A621" s="1">
        <v>45784</v>
      </c>
      <c r="B621" t="s">
        <v>4683</v>
      </c>
      <c r="C621" t="s">
        <v>5586</v>
      </c>
      <c r="D621">
        <v>61120</v>
      </c>
      <c r="E621" t="s">
        <v>906</v>
      </c>
      <c r="F621">
        <v>9.9499999999999993</v>
      </c>
      <c r="G621" t="s">
        <v>4686</v>
      </c>
      <c r="H621" t="s">
        <v>4687</v>
      </c>
      <c r="I621">
        <v>25794</v>
      </c>
      <c r="J621">
        <v>52710</v>
      </c>
      <c r="K621" t="s">
        <v>1284</v>
      </c>
      <c r="L621" t="str">
        <f>SUBSTITUTE(K621,"'","")</f>
        <v>320251270263582868</v>
      </c>
      <c r="M621">
        <v>61120</v>
      </c>
    </row>
    <row r="622" spans="1:13" x14ac:dyDescent="0.4">
      <c r="A622" s="1">
        <v>45784</v>
      </c>
      <c r="B622" t="s">
        <v>4683</v>
      </c>
      <c r="C622" t="s">
        <v>5580</v>
      </c>
      <c r="D622">
        <v>61120</v>
      </c>
      <c r="E622" t="s">
        <v>888</v>
      </c>
      <c r="F622">
        <v>14</v>
      </c>
      <c r="G622" t="s">
        <v>4686</v>
      </c>
      <c r="H622" t="s">
        <v>4687</v>
      </c>
      <c r="I622">
        <v>25772</v>
      </c>
      <c r="J622">
        <v>52666</v>
      </c>
      <c r="K622" t="s">
        <v>1266</v>
      </c>
      <c r="L622" t="str">
        <f>SUBSTITUTE(K622,"'","")</f>
        <v>320251270263582869</v>
      </c>
      <c r="M622">
        <v>61120</v>
      </c>
    </row>
    <row r="623" spans="1:13" x14ac:dyDescent="0.4">
      <c r="A623" s="1">
        <v>45784</v>
      </c>
      <c r="B623" t="s">
        <v>4683</v>
      </c>
      <c r="C623" t="s">
        <v>6193</v>
      </c>
      <c r="D623">
        <v>64100</v>
      </c>
      <c r="E623" t="s">
        <v>2311</v>
      </c>
      <c r="F623">
        <v>41.12</v>
      </c>
      <c r="G623" t="s">
        <v>4686</v>
      </c>
      <c r="H623" t="s">
        <v>4687</v>
      </c>
      <c r="I623">
        <v>26442</v>
      </c>
      <c r="J623">
        <v>54006</v>
      </c>
      <c r="K623" t="s">
        <v>3961</v>
      </c>
      <c r="L623" t="str">
        <f>SUBSTITUTE(K623,"'","")</f>
        <v>320251280287006052</v>
      </c>
      <c r="M623">
        <v>64100</v>
      </c>
    </row>
    <row r="624" spans="1:13" x14ac:dyDescent="0.4">
      <c r="A624" s="1">
        <v>45784</v>
      </c>
      <c r="B624" t="s">
        <v>4683</v>
      </c>
      <c r="C624" t="s">
        <v>6192</v>
      </c>
      <c r="D624">
        <v>64100</v>
      </c>
      <c r="E624" t="s">
        <v>169</v>
      </c>
      <c r="F624">
        <v>21.39</v>
      </c>
      <c r="G624" t="s">
        <v>4686</v>
      </c>
      <c r="H624" t="s">
        <v>4687</v>
      </c>
      <c r="I624">
        <v>25804</v>
      </c>
      <c r="J624">
        <v>52730</v>
      </c>
      <c r="K624" t="s">
        <v>1268</v>
      </c>
      <c r="L624" t="str">
        <f>SUBSTITUTE(K624,"'","")</f>
        <v>320251290302447135</v>
      </c>
      <c r="M624">
        <v>64100</v>
      </c>
    </row>
    <row r="625" spans="1:13" x14ac:dyDescent="0.4">
      <c r="A625" s="1">
        <v>45785</v>
      </c>
      <c r="B625" t="s">
        <v>4683</v>
      </c>
      <c r="C625" t="s">
        <v>6524</v>
      </c>
      <c r="D625">
        <v>80100</v>
      </c>
      <c r="E625" t="s">
        <v>2303</v>
      </c>
      <c r="F625">
        <v>354.98</v>
      </c>
      <c r="G625" t="s">
        <v>4686</v>
      </c>
      <c r="H625" t="s">
        <v>4687</v>
      </c>
      <c r="I625">
        <v>26346</v>
      </c>
      <c r="J625">
        <v>53814</v>
      </c>
      <c r="K625" t="s">
        <v>3959</v>
      </c>
      <c r="L625" t="str">
        <f>SUBSTITUTE(K625,"'","")</f>
        <v>150509060000494440</v>
      </c>
      <c r="M625">
        <v>80100</v>
      </c>
    </row>
    <row r="626" spans="1:13" x14ac:dyDescent="0.4">
      <c r="A626" s="1">
        <v>45785</v>
      </c>
      <c r="B626" t="s">
        <v>4683</v>
      </c>
      <c r="C626" t="s">
        <v>5589</v>
      </c>
      <c r="D626">
        <v>61120</v>
      </c>
      <c r="E626" t="s">
        <v>906</v>
      </c>
      <c r="F626">
        <v>9.9499999999999993</v>
      </c>
      <c r="G626" t="s">
        <v>4686</v>
      </c>
      <c r="H626" t="s">
        <v>4687</v>
      </c>
      <c r="I626">
        <v>25795</v>
      </c>
      <c r="J626">
        <v>52712</v>
      </c>
      <c r="K626" t="s">
        <v>1258</v>
      </c>
      <c r="L626" t="str">
        <f>SUBSTITUTE(K626,"'","")</f>
        <v>320251280291568037</v>
      </c>
      <c r="M626">
        <v>61120</v>
      </c>
    </row>
    <row r="627" spans="1:13" x14ac:dyDescent="0.4">
      <c r="A627" s="1">
        <v>45785</v>
      </c>
      <c r="B627" t="s">
        <v>4683</v>
      </c>
      <c r="C627" t="s">
        <v>5588</v>
      </c>
      <c r="D627">
        <v>61120</v>
      </c>
      <c r="E627" t="s">
        <v>895</v>
      </c>
      <c r="F627">
        <v>9.9499999999999993</v>
      </c>
      <c r="G627" t="s">
        <v>4686</v>
      </c>
      <c r="H627" t="s">
        <v>4687</v>
      </c>
      <c r="I627">
        <v>25777</v>
      </c>
      <c r="J627">
        <v>52676</v>
      </c>
      <c r="K627" t="s">
        <v>1256</v>
      </c>
      <c r="L627" t="str">
        <f>SUBSTITUTE(K627,"'","")</f>
        <v>320251280291568038</v>
      </c>
      <c r="M627">
        <v>61120</v>
      </c>
    </row>
    <row r="628" spans="1:13" x14ac:dyDescent="0.4">
      <c r="A628" s="1">
        <v>45785</v>
      </c>
      <c r="B628" t="s">
        <v>4683</v>
      </c>
      <c r="C628" t="s">
        <v>5587</v>
      </c>
      <c r="D628">
        <v>61120</v>
      </c>
      <c r="E628" t="s">
        <v>888</v>
      </c>
      <c r="F628">
        <v>14</v>
      </c>
      <c r="G628" t="s">
        <v>4686</v>
      </c>
      <c r="H628" t="s">
        <v>4687</v>
      </c>
      <c r="I628">
        <v>25776</v>
      </c>
      <c r="J628">
        <v>52674</v>
      </c>
      <c r="K628" t="s">
        <v>1254</v>
      </c>
      <c r="L628" t="str">
        <f>SUBSTITUTE(K628,"'","")</f>
        <v>320251280291568039</v>
      </c>
      <c r="M628">
        <v>61120</v>
      </c>
    </row>
    <row r="629" spans="1:13" x14ac:dyDescent="0.4">
      <c r="A629" s="1">
        <v>45785</v>
      </c>
      <c r="B629" t="s">
        <v>4683</v>
      </c>
      <c r="C629" t="s">
        <v>4917</v>
      </c>
      <c r="D629">
        <v>54820</v>
      </c>
      <c r="E629" t="s">
        <v>2764</v>
      </c>
      <c r="F629">
        <v>9.25</v>
      </c>
      <c r="G629" t="s">
        <v>4686</v>
      </c>
      <c r="H629" t="s">
        <v>4687</v>
      </c>
      <c r="I629">
        <v>26731</v>
      </c>
      <c r="J629">
        <v>54584</v>
      </c>
      <c r="K629" t="s">
        <v>3954</v>
      </c>
      <c r="L629" t="str">
        <f>SUBSTITUTE(K629,"'","")</f>
        <v>320251290316604411</v>
      </c>
      <c r="M629">
        <v>54820</v>
      </c>
    </row>
    <row r="630" spans="1:13" x14ac:dyDescent="0.4">
      <c r="A630" s="1">
        <v>45785</v>
      </c>
      <c r="B630" t="s">
        <v>4683</v>
      </c>
      <c r="C630" t="s">
        <v>4915</v>
      </c>
      <c r="D630">
        <v>54820</v>
      </c>
      <c r="E630" t="s">
        <v>977</v>
      </c>
      <c r="F630">
        <v>20</v>
      </c>
      <c r="G630" t="s">
        <v>4686</v>
      </c>
      <c r="H630" t="s">
        <v>4687</v>
      </c>
      <c r="I630">
        <v>26464</v>
      </c>
      <c r="J630">
        <v>54050</v>
      </c>
      <c r="K630" t="s">
        <v>3958</v>
      </c>
      <c r="L630" t="str">
        <f>SUBSTITUTE(K630,"'","")</f>
        <v>320251290319089935</v>
      </c>
      <c r="M630">
        <v>54820</v>
      </c>
    </row>
    <row r="631" spans="1:13" x14ac:dyDescent="0.4">
      <c r="A631" s="1">
        <v>45785</v>
      </c>
      <c r="B631" t="s">
        <v>4683</v>
      </c>
      <c r="C631" t="s">
        <v>4916</v>
      </c>
      <c r="D631">
        <v>54820</v>
      </c>
      <c r="E631" t="s">
        <v>3073</v>
      </c>
      <c r="F631">
        <v>26.99</v>
      </c>
      <c r="G631" t="s">
        <v>4686</v>
      </c>
      <c r="H631" t="s">
        <v>4687</v>
      </c>
      <c r="I631">
        <v>26514</v>
      </c>
      <c r="J631">
        <v>54150</v>
      </c>
      <c r="K631" t="s">
        <v>3956</v>
      </c>
      <c r="L631" t="str">
        <f>SUBSTITUTE(K631,"'","")</f>
        <v>320251290319461444</v>
      </c>
      <c r="M631">
        <v>54820</v>
      </c>
    </row>
    <row r="632" spans="1:13" x14ac:dyDescent="0.4">
      <c r="A632" s="1">
        <v>45786</v>
      </c>
      <c r="B632" t="s">
        <v>4683</v>
      </c>
      <c r="C632" t="s">
        <v>6476</v>
      </c>
      <c r="D632">
        <v>67500</v>
      </c>
      <c r="E632" t="s">
        <v>885</v>
      </c>
      <c r="F632">
        <v>92.94</v>
      </c>
      <c r="G632" t="s">
        <v>4686</v>
      </c>
      <c r="H632" t="s">
        <v>4687</v>
      </c>
      <c r="I632">
        <v>26364</v>
      </c>
      <c r="J632">
        <v>53850</v>
      </c>
      <c r="K632" t="s">
        <v>3950</v>
      </c>
      <c r="L632" t="str">
        <f>SUBSTITUTE(K632,"'","")</f>
        <v>320251290304662129</v>
      </c>
      <c r="M632">
        <v>67500</v>
      </c>
    </row>
    <row r="633" spans="1:13" x14ac:dyDescent="0.4">
      <c r="A633" s="1">
        <v>45786</v>
      </c>
      <c r="B633" t="s">
        <v>4683</v>
      </c>
      <c r="C633" t="s">
        <v>6195</v>
      </c>
      <c r="D633">
        <v>64100</v>
      </c>
      <c r="E633" t="s">
        <v>153</v>
      </c>
      <c r="F633">
        <v>160.72</v>
      </c>
      <c r="G633" t="s">
        <v>4686</v>
      </c>
      <c r="H633" t="s">
        <v>4687</v>
      </c>
      <c r="I633">
        <v>26222</v>
      </c>
      <c r="J633">
        <v>53566</v>
      </c>
      <c r="K633" t="s">
        <v>3948</v>
      </c>
      <c r="L633" t="str">
        <f>SUBSTITUTE(K633,"'","")</f>
        <v>320251290307880463</v>
      </c>
      <c r="M633">
        <v>64100</v>
      </c>
    </row>
    <row r="634" spans="1:13" x14ac:dyDescent="0.4">
      <c r="A634" s="1">
        <v>45786</v>
      </c>
      <c r="B634" t="s">
        <v>4683</v>
      </c>
      <c r="C634" t="s">
        <v>6194</v>
      </c>
      <c r="D634">
        <v>64100</v>
      </c>
      <c r="E634" t="s">
        <v>153</v>
      </c>
      <c r="F634">
        <v>216.13</v>
      </c>
      <c r="G634" t="s">
        <v>4686</v>
      </c>
      <c r="H634" t="s">
        <v>4687</v>
      </c>
      <c r="I634">
        <v>25595</v>
      </c>
      <c r="J634">
        <v>52312</v>
      </c>
      <c r="K634" t="s">
        <v>1252</v>
      </c>
      <c r="L634" t="str">
        <f>SUBSTITUTE(K634,"'","")</f>
        <v>320251290308045406</v>
      </c>
      <c r="M634">
        <v>64100</v>
      </c>
    </row>
    <row r="635" spans="1:13" x14ac:dyDescent="0.4">
      <c r="A635" s="1">
        <v>45786</v>
      </c>
      <c r="B635" t="s">
        <v>4730</v>
      </c>
      <c r="C635" t="s">
        <v>5590</v>
      </c>
      <c r="D635">
        <v>61120</v>
      </c>
      <c r="E635" t="s">
        <v>816</v>
      </c>
      <c r="F635" s="5">
        <v>-2536.41</v>
      </c>
      <c r="G635" t="s">
        <v>4686</v>
      </c>
      <c r="H635" t="s">
        <v>4687</v>
      </c>
      <c r="I635">
        <v>25686</v>
      </c>
      <c r="J635">
        <v>52494</v>
      </c>
      <c r="K635" t="s">
        <v>1250</v>
      </c>
      <c r="L635" t="str">
        <f>SUBSTITUTE(K635,"'","")</f>
        <v>320251290317928978</v>
      </c>
      <c r="M635">
        <v>61120</v>
      </c>
    </row>
    <row r="636" spans="1:13" x14ac:dyDescent="0.4">
      <c r="A636" s="1">
        <v>45786</v>
      </c>
      <c r="B636" t="s">
        <v>4683</v>
      </c>
      <c r="C636" t="s">
        <v>4918</v>
      </c>
      <c r="D636">
        <v>54820</v>
      </c>
      <c r="E636" t="s">
        <v>2240</v>
      </c>
      <c r="F636">
        <v>155.71</v>
      </c>
      <c r="G636" t="s">
        <v>4686</v>
      </c>
      <c r="H636" t="s">
        <v>4687</v>
      </c>
      <c r="I636">
        <v>26132</v>
      </c>
      <c r="J636">
        <v>53386</v>
      </c>
      <c r="K636" t="s">
        <v>3952</v>
      </c>
      <c r="L636" t="str">
        <f>SUBSTITUTE(K636,"'","")</f>
        <v>320251300343125369</v>
      </c>
      <c r="M636">
        <v>54820</v>
      </c>
    </row>
    <row r="637" spans="1:13" x14ac:dyDescent="0.4">
      <c r="A637" s="1">
        <v>45787</v>
      </c>
      <c r="B637" t="s">
        <v>4683</v>
      </c>
      <c r="C637" t="s">
        <v>4919</v>
      </c>
      <c r="D637">
        <v>54820</v>
      </c>
      <c r="E637" t="s">
        <v>977</v>
      </c>
      <c r="F637">
        <v>10</v>
      </c>
      <c r="G637" t="s">
        <v>4686</v>
      </c>
      <c r="H637" t="s">
        <v>4687</v>
      </c>
      <c r="I637">
        <v>26465</v>
      </c>
      <c r="J637">
        <v>54052</v>
      </c>
      <c r="K637" t="s">
        <v>3942</v>
      </c>
      <c r="L637" t="str">
        <f>SUBSTITUTE(K637,"'","")</f>
        <v>320251300327013209</v>
      </c>
      <c r="M637">
        <v>54820</v>
      </c>
    </row>
    <row r="638" spans="1:13" x14ac:dyDescent="0.4">
      <c r="A638" s="1">
        <v>45787</v>
      </c>
      <c r="B638" t="s">
        <v>4683</v>
      </c>
      <c r="C638" t="s">
        <v>5706</v>
      </c>
      <c r="D638">
        <v>61130</v>
      </c>
      <c r="E638" t="s">
        <v>478</v>
      </c>
      <c r="F638">
        <v>38.32</v>
      </c>
      <c r="G638" t="s">
        <v>4686</v>
      </c>
      <c r="H638" t="s">
        <v>4687</v>
      </c>
      <c r="I638">
        <v>25440</v>
      </c>
      <c r="J638">
        <v>52002</v>
      </c>
      <c r="K638" t="s">
        <v>1248</v>
      </c>
      <c r="L638" t="str">
        <f>SUBSTITUTE(K638,"'","")</f>
        <v>320251300334373491</v>
      </c>
      <c r="M638">
        <v>61130</v>
      </c>
    </row>
    <row r="639" spans="1:13" x14ac:dyDescent="0.4">
      <c r="A639" s="1">
        <v>45787</v>
      </c>
      <c r="B639" t="s">
        <v>4683</v>
      </c>
      <c r="C639" t="s">
        <v>5591</v>
      </c>
      <c r="D639">
        <v>61120</v>
      </c>
      <c r="E639" t="s">
        <v>1243</v>
      </c>
      <c r="F639">
        <v>5.6</v>
      </c>
      <c r="G639" t="s">
        <v>4686</v>
      </c>
      <c r="H639" t="s">
        <v>4687</v>
      </c>
      <c r="I639">
        <v>25687</v>
      </c>
      <c r="J639">
        <v>52496</v>
      </c>
      <c r="K639" t="s">
        <v>1246</v>
      </c>
      <c r="L639" t="str">
        <f>SUBSTITUTE(K639,"'","")</f>
        <v>320251300343560986</v>
      </c>
      <c r="M639">
        <v>61120</v>
      </c>
    </row>
    <row r="640" spans="1:13" x14ac:dyDescent="0.4">
      <c r="A640" s="1">
        <v>45787</v>
      </c>
      <c r="B640" t="s">
        <v>4730</v>
      </c>
      <c r="C640" t="s">
        <v>5594</v>
      </c>
      <c r="D640">
        <v>61120</v>
      </c>
      <c r="E640" t="s">
        <v>1240</v>
      </c>
      <c r="F640">
        <v>-9.9499999999999993</v>
      </c>
      <c r="G640" t="s">
        <v>4686</v>
      </c>
      <c r="H640" t="s">
        <v>4687</v>
      </c>
      <c r="I640">
        <v>25796</v>
      </c>
      <c r="J640">
        <v>52714</v>
      </c>
      <c r="K640" t="s">
        <v>1242</v>
      </c>
      <c r="L640" t="str">
        <f>SUBSTITUTE(K640,"'","")</f>
        <v>320251300352408944</v>
      </c>
      <c r="M640">
        <v>61120</v>
      </c>
    </row>
    <row r="641" spans="1:13" x14ac:dyDescent="0.4">
      <c r="A641" s="1">
        <v>45787</v>
      </c>
      <c r="B641" t="s">
        <v>4730</v>
      </c>
      <c r="C641" t="s">
        <v>5593</v>
      </c>
      <c r="D641">
        <v>61120</v>
      </c>
      <c r="E641" t="s">
        <v>1237</v>
      </c>
      <c r="F641">
        <v>-9.9499999999999993</v>
      </c>
      <c r="G641" t="s">
        <v>4686</v>
      </c>
      <c r="H641" t="s">
        <v>4687</v>
      </c>
      <c r="I641">
        <v>25779</v>
      </c>
      <c r="J641">
        <v>52680</v>
      </c>
      <c r="K641" t="s">
        <v>1239</v>
      </c>
      <c r="L641" t="str">
        <f>SUBSTITUTE(K641,"'","")</f>
        <v>320251300352408945</v>
      </c>
      <c r="M641">
        <v>61120</v>
      </c>
    </row>
    <row r="642" spans="1:13" x14ac:dyDescent="0.4">
      <c r="A642" s="1">
        <v>45787</v>
      </c>
      <c r="B642" t="s">
        <v>4730</v>
      </c>
      <c r="C642" t="s">
        <v>5592</v>
      </c>
      <c r="D642">
        <v>61120</v>
      </c>
      <c r="E642" t="s">
        <v>1234</v>
      </c>
      <c r="F642">
        <v>-14</v>
      </c>
      <c r="G642" t="s">
        <v>4686</v>
      </c>
      <c r="H642" t="s">
        <v>4687</v>
      </c>
      <c r="I642">
        <v>25778</v>
      </c>
      <c r="J642">
        <v>52678</v>
      </c>
      <c r="K642" t="s">
        <v>1236</v>
      </c>
      <c r="L642" t="str">
        <f>SUBSTITUTE(K642,"'","")</f>
        <v>320251300352408946</v>
      </c>
      <c r="M642">
        <v>61120</v>
      </c>
    </row>
    <row r="643" spans="1:13" x14ac:dyDescent="0.4">
      <c r="A643" s="1">
        <v>45787</v>
      </c>
      <c r="B643" t="s">
        <v>4683</v>
      </c>
      <c r="C643" t="s">
        <v>4920</v>
      </c>
      <c r="D643">
        <v>54820</v>
      </c>
      <c r="E643" t="s">
        <v>3943</v>
      </c>
      <c r="F643">
        <v>56.23</v>
      </c>
      <c r="G643" t="s">
        <v>4686</v>
      </c>
      <c r="H643" t="s">
        <v>4687</v>
      </c>
      <c r="I643">
        <v>26954</v>
      </c>
      <c r="J643">
        <v>55030</v>
      </c>
      <c r="K643" t="s">
        <v>3946</v>
      </c>
      <c r="L643" t="str">
        <f>SUBSTITUTE(K643,"'","")</f>
        <v>320251310364326817</v>
      </c>
      <c r="M643">
        <v>54820</v>
      </c>
    </row>
    <row r="644" spans="1:13" x14ac:dyDescent="0.4">
      <c r="A644" s="1">
        <v>45788</v>
      </c>
      <c r="B644" t="s">
        <v>4683</v>
      </c>
      <c r="C644" t="s">
        <v>5596</v>
      </c>
      <c r="D644">
        <v>61120</v>
      </c>
      <c r="E644" t="s">
        <v>895</v>
      </c>
      <c r="F644">
        <v>9.9499999999999993</v>
      </c>
      <c r="G644" t="s">
        <v>4686</v>
      </c>
      <c r="H644" t="s">
        <v>4687</v>
      </c>
      <c r="I644">
        <v>25781</v>
      </c>
      <c r="J644">
        <v>52684</v>
      </c>
      <c r="K644" t="s">
        <v>1225</v>
      </c>
      <c r="L644" t="str">
        <f>SUBSTITUTE(K644,"'","")</f>
        <v>320251300352408941</v>
      </c>
      <c r="M644">
        <v>61120</v>
      </c>
    </row>
    <row r="645" spans="1:13" x14ac:dyDescent="0.4">
      <c r="A645" s="1">
        <v>45788</v>
      </c>
      <c r="B645" t="s">
        <v>4683</v>
      </c>
      <c r="C645" t="s">
        <v>5597</v>
      </c>
      <c r="D645">
        <v>61120</v>
      </c>
      <c r="E645" t="s">
        <v>906</v>
      </c>
      <c r="F645">
        <v>9.9499999999999993</v>
      </c>
      <c r="G645" t="s">
        <v>4686</v>
      </c>
      <c r="H645" t="s">
        <v>4687</v>
      </c>
      <c r="I645">
        <v>25797</v>
      </c>
      <c r="J645">
        <v>52716</v>
      </c>
      <c r="K645" t="s">
        <v>1229</v>
      </c>
      <c r="L645" t="str">
        <f>SUBSTITUTE(K645,"'","")</f>
        <v>320251300352408942</v>
      </c>
      <c r="M645">
        <v>61120</v>
      </c>
    </row>
    <row r="646" spans="1:13" x14ac:dyDescent="0.4">
      <c r="A646" s="1">
        <v>45788</v>
      </c>
      <c r="B646" t="s">
        <v>4683</v>
      </c>
      <c r="C646" t="s">
        <v>5595</v>
      </c>
      <c r="D646">
        <v>61120</v>
      </c>
      <c r="E646" t="s">
        <v>888</v>
      </c>
      <c r="F646">
        <v>14</v>
      </c>
      <c r="G646" t="s">
        <v>4686</v>
      </c>
      <c r="H646" t="s">
        <v>4687</v>
      </c>
      <c r="I646">
        <v>25780</v>
      </c>
      <c r="J646">
        <v>52682</v>
      </c>
      <c r="K646" t="s">
        <v>1223</v>
      </c>
      <c r="L646" t="str">
        <f>SUBSTITUTE(K646,"'","")</f>
        <v>320251300352408943</v>
      </c>
      <c r="M646">
        <v>61120</v>
      </c>
    </row>
    <row r="647" spans="1:13" x14ac:dyDescent="0.4">
      <c r="A647" s="1">
        <v>45788</v>
      </c>
      <c r="B647" t="s">
        <v>4683</v>
      </c>
      <c r="C647" t="s">
        <v>5707</v>
      </c>
      <c r="D647">
        <v>61130</v>
      </c>
      <c r="E647" t="s">
        <v>478</v>
      </c>
      <c r="F647">
        <v>37.82</v>
      </c>
      <c r="G647" t="s">
        <v>4686</v>
      </c>
      <c r="H647" t="s">
        <v>4687</v>
      </c>
      <c r="I647">
        <v>25441</v>
      </c>
      <c r="J647">
        <v>52004</v>
      </c>
      <c r="K647" t="s">
        <v>1231</v>
      </c>
      <c r="L647" t="str">
        <f>SUBSTITUTE(K647,"'","")</f>
        <v>320251310358171731</v>
      </c>
      <c r="M647">
        <v>61130</v>
      </c>
    </row>
    <row r="648" spans="1:13" x14ac:dyDescent="0.4">
      <c r="A648" s="1">
        <v>45788</v>
      </c>
      <c r="B648" t="s">
        <v>4683</v>
      </c>
      <c r="C648" t="s">
        <v>5708</v>
      </c>
      <c r="D648">
        <v>61130</v>
      </c>
      <c r="E648" t="s">
        <v>478</v>
      </c>
      <c r="F648">
        <v>39.99</v>
      </c>
      <c r="G648" t="s">
        <v>4686</v>
      </c>
      <c r="H648" t="s">
        <v>4687</v>
      </c>
      <c r="I648">
        <v>25442</v>
      </c>
      <c r="J648">
        <v>52006</v>
      </c>
      <c r="K648" t="s">
        <v>1233</v>
      </c>
      <c r="L648" t="str">
        <f>SUBSTITUTE(K648,"'","")</f>
        <v>320251310358991737</v>
      </c>
      <c r="M648">
        <v>61130</v>
      </c>
    </row>
    <row r="649" spans="1:13" x14ac:dyDescent="0.4">
      <c r="A649" s="1">
        <v>45788</v>
      </c>
      <c r="B649" t="s">
        <v>4683</v>
      </c>
      <c r="C649" t="s">
        <v>6197</v>
      </c>
      <c r="D649">
        <v>64100</v>
      </c>
      <c r="E649" t="s">
        <v>2259</v>
      </c>
      <c r="F649">
        <v>21.39</v>
      </c>
      <c r="G649" t="s">
        <v>4686</v>
      </c>
      <c r="H649" t="s">
        <v>4687</v>
      </c>
      <c r="I649">
        <v>26332</v>
      </c>
      <c r="J649">
        <v>53786</v>
      </c>
      <c r="K649" t="s">
        <v>3936</v>
      </c>
      <c r="L649" t="str">
        <f>SUBSTITUTE(K649,"'","")</f>
        <v>320251320388771002</v>
      </c>
      <c r="M649">
        <v>64100</v>
      </c>
    </row>
    <row r="650" spans="1:13" x14ac:dyDescent="0.4">
      <c r="A650" s="1">
        <v>45788</v>
      </c>
      <c r="B650" t="s">
        <v>4683</v>
      </c>
      <c r="C650" t="s">
        <v>6198</v>
      </c>
      <c r="D650">
        <v>64100</v>
      </c>
      <c r="E650" t="s">
        <v>2265</v>
      </c>
      <c r="F650">
        <v>36.9</v>
      </c>
      <c r="G650" t="s">
        <v>4686</v>
      </c>
      <c r="H650" t="s">
        <v>4687</v>
      </c>
      <c r="I650">
        <v>26333</v>
      </c>
      <c r="J650">
        <v>53788</v>
      </c>
      <c r="K650" t="s">
        <v>3940</v>
      </c>
      <c r="L650" t="str">
        <f>SUBSTITUTE(K650,"'","")</f>
        <v>320251320388771407</v>
      </c>
      <c r="M650">
        <v>64100</v>
      </c>
    </row>
    <row r="651" spans="1:13" x14ac:dyDescent="0.4">
      <c r="A651" s="1">
        <v>45788</v>
      </c>
      <c r="B651" t="s">
        <v>4683</v>
      </c>
      <c r="C651" t="s">
        <v>4921</v>
      </c>
      <c r="D651">
        <v>54820</v>
      </c>
      <c r="E651" t="s">
        <v>977</v>
      </c>
      <c r="F651">
        <v>10</v>
      </c>
      <c r="G651" t="s">
        <v>4686</v>
      </c>
      <c r="H651" t="s">
        <v>4687</v>
      </c>
      <c r="I651">
        <v>26466</v>
      </c>
      <c r="J651">
        <v>54054</v>
      </c>
      <c r="K651" t="s">
        <v>3938</v>
      </c>
      <c r="L651" t="str">
        <f>SUBSTITUTE(K651,"'","")</f>
        <v>320251320395480332</v>
      </c>
      <c r="M651">
        <v>54820</v>
      </c>
    </row>
    <row r="652" spans="1:13" x14ac:dyDescent="0.4">
      <c r="A652" s="1">
        <v>45788</v>
      </c>
      <c r="B652" t="s">
        <v>4683</v>
      </c>
      <c r="C652" t="s">
        <v>6196</v>
      </c>
      <c r="D652">
        <v>64100</v>
      </c>
      <c r="E652" t="s">
        <v>461</v>
      </c>
      <c r="F652">
        <v>15</v>
      </c>
      <c r="G652" t="s">
        <v>4686</v>
      </c>
      <c r="H652" t="s">
        <v>4687</v>
      </c>
      <c r="I652">
        <v>26038</v>
      </c>
      <c r="J652">
        <v>53198</v>
      </c>
      <c r="K652" t="s">
        <v>1227</v>
      </c>
      <c r="L652" t="str">
        <f>SUBSTITUTE(K652,"'","")</f>
        <v>320251320395710028</v>
      </c>
      <c r="M652">
        <v>64100</v>
      </c>
    </row>
    <row r="653" spans="1:13" x14ac:dyDescent="0.4">
      <c r="A653" s="1">
        <v>45789</v>
      </c>
      <c r="B653" t="s">
        <v>4683</v>
      </c>
      <c r="C653" t="s">
        <v>6199</v>
      </c>
      <c r="D653">
        <v>64100</v>
      </c>
      <c r="E653" t="s">
        <v>458</v>
      </c>
      <c r="F653">
        <v>16.04</v>
      </c>
      <c r="G653" t="s">
        <v>4686</v>
      </c>
      <c r="H653" t="s">
        <v>4687</v>
      </c>
      <c r="I653">
        <v>25538</v>
      </c>
      <c r="J653">
        <v>52198</v>
      </c>
      <c r="K653" t="s">
        <v>1212</v>
      </c>
      <c r="L653" t="str">
        <f>SUBSTITUTE(K653,"'","")</f>
        <v>320251320392492152</v>
      </c>
      <c r="M653">
        <v>64100</v>
      </c>
    </row>
    <row r="654" spans="1:13" x14ac:dyDescent="0.4">
      <c r="A654" s="1">
        <v>45789</v>
      </c>
      <c r="B654" t="s">
        <v>4683</v>
      </c>
      <c r="C654" t="s">
        <v>4925</v>
      </c>
      <c r="D654">
        <v>54820</v>
      </c>
      <c r="E654" t="s">
        <v>3928</v>
      </c>
      <c r="F654">
        <v>28</v>
      </c>
      <c r="G654" t="s">
        <v>4686</v>
      </c>
      <c r="H654" t="s">
        <v>4687</v>
      </c>
      <c r="I654">
        <v>26303</v>
      </c>
      <c r="J654">
        <v>53728</v>
      </c>
      <c r="K654" t="s">
        <v>3930</v>
      </c>
      <c r="L654" t="str">
        <f>SUBSTITUTE(K654,"'","")</f>
        <v>320251320395650988</v>
      </c>
      <c r="M654">
        <v>54820</v>
      </c>
    </row>
    <row r="655" spans="1:13" x14ac:dyDescent="0.4">
      <c r="A655" s="1">
        <v>45789</v>
      </c>
      <c r="B655" t="s">
        <v>4683</v>
      </c>
      <c r="C655" t="s">
        <v>4922</v>
      </c>
      <c r="D655">
        <v>54820</v>
      </c>
      <c r="E655" t="s">
        <v>977</v>
      </c>
      <c r="F655">
        <v>250</v>
      </c>
      <c r="G655" t="s">
        <v>4686</v>
      </c>
      <c r="H655" t="s">
        <v>4687</v>
      </c>
      <c r="I655">
        <v>25820</v>
      </c>
      <c r="J655">
        <v>52762</v>
      </c>
      <c r="K655" t="s">
        <v>1210</v>
      </c>
      <c r="L655" t="str">
        <f>SUBSTITUTE(K655,"'","")</f>
        <v>320251330412179923</v>
      </c>
      <c r="M655">
        <v>54820</v>
      </c>
    </row>
    <row r="656" spans="1:13" x14ac:dyDescent="0.4">
      <c r="A656" s="1">
        <v>45789</v>
      </c>
      <c r="B656" t="s">
        <v>4683</v>
      </c>
      <c r="C656" t="s">
        <v>4924</v>
      </c>
      <c r="D656">
        <v>54820</v>
      </c>
      <c r="E656" t="s">
        <v>1213</v>
      </c>
      <c r="F656">
        <v>2.25</v>
      </c>
      <c r="G656" t="s">
        <v>4686</v>
      </c>
      <c r="H656" t="s">
        <v>4687</v>
      </c>
      <c r="I656">
        <v>26096</v>
      </c>
      <c r="J656">
        <v>53314</v>
      </c>
      <c r="K656" t="s">
        <v>1217</v>
      </c>
      <c r="L656" t="str">
        <f>SUBSTITUTE(K656,"'","")</f>
        <v>320251330418923405</v>
      </c>
      <c r="M656">
        <v>54820</v>
      </c>
    </row>
    <row r="657" spans="1:13" x14ac:dyDescent="0.4">
      <c r="A657" s="1">
        <v>45789</v>
      </c>
      <c r="B657" t="s">
        <v>4683</v>
      </c>
      <c r="C657" t="s">
        <v>4928</v>
      </c>
      <c r="D657">
        <v>54820</v>
      </c>
      <c r="E657" t="s">
        <v>2533</v>
      </c>
      <c r="F657">
        <v>39.18</v>
      </c>
      <c r="G657" t="s">
        <v>4686</v>
      </c>
      <c r="H657" t="s">
        <v>4687</v>
      </c>
      <c r="I657">
        <v>26955</v>
      </c>
      <c r="J657">
        <v>55032</v>
      </c>
      <c r="K657" t="s">
        <v>3934</v>
      </c>
      <c r="L657" t="str">
        <f>SUBSTITUTE(K657,"'","")</f>
        <v>320251330422309658</v>
      </c>
      <c r="M657">
        <v>54820</v>
      </c>
    </row>
    <row r="658" spans="1:13" x14ac:dyDescent="0.4">
      <c r="A658" s="1">
        <v>45789</v>
      </c>
      <c r="B658" t="s">
        <v>4683</v>
      </c>
      <c r="C658" t="s">
        <v>4927</v>
      </c>
      <c r="D658">
        <v>54820</v>
      </c>
      <c r="E658" t="s">
        <v>977</v>
      </c>
      <c r="F658">
        <v>10</v>
      </c>
      <c r="G658" t="s">
        <v>4686</v>
      </c>
      <c r="H658" t="s">
        <v>4687</v>
      </c>
      <c r="I658">
        <v>26467</v>
      </c>
      <c r="J658">
        <v>54056</v>
      </c>
      <c r="K658" t="s">
        <v>3927</v>
      </c>
      <c r="L658" t="str">
        <f>SUBSTITUTE(K658,"'","")</f>
        <v>320251330425714590</v>
      </c>
      <c r="M658">
        <v>54820</v>
      </c>
    </row>
    <row r="659" spans="1:13" x14ac:dyDescent="0.4">
      <c r="A659" s="1">
        <v>45789</v>
      </c>
      <c r="B659" t="s">
        <v>4683</v>
      </c>
      <c r="C659" t="s">
        <v>5598</v>
      </c>
      <c r="D659">
        <v>61120</v>
      </c>
      <c r="E659" t="s">
        <v>1219</v>
      </c>
      <c r="F659">
        <v>77.95</v>
      </c>
      <c r="G659" t="s">
        <v>4686</v>
      </c>
      <c r="H659" t="s">
        <v>4687</v>
      </c>
      <c r="I659">
        <v>26073</v>
      </c>
      <c r="J659">
        <v>53268</v>
      </c>
      <c r="K659" t="s">
        <v>1221</v>
      </c>
      <c r="L659" t="str">
        <f>SUBSTITUTE(K659,"'","")</f>
        <v>320251330425723892</v>
      </c>
      <c r="M659">
        <v>61120</v>
      </c>
    </row>
    <row r="660" spans="1:13" x14ac:dyDescent="0.4">
      <c r="A660" s="1">
        <v>45789</v>
      </c>
      <c r="B660" t="s">
        <v>4683</v>
      </c>
      <c r="C660" t="s">
        <v>4926</v>
      </c>
      <c r="D660">
        <v>54820</v>
      </c>
      <c r="E660" t="s">
        <v>2246</v>
      </c>
      <c r="F660">
        <v>11.99</v>
      </c>
      <c r="G660" t="s">
        <v>4686</v>
      </c>
      <c r="H660" t="s">
        <v>4687</v>
      </c>
      <c r="I660">
        <v>26304</v>
      </c>
      <c r="J660">
        <v>53730</v>
      </c>
      <c r="K660" t="s">
        <v>3932</v>
      </c>
      <c r="L660" t="str">
        <f>SUBSTITUTE(K660,"'","")</f>
        <v>320251330429796311</v>
      </c>
      <c r="M660">
        <v>54820</v>
      </c>
    </row>
    <row r="661" spans="1:13" x14ac:dyDescent="0.4">
      <c r="A661" s="1">
        <v>45789</v>
      </c>
      <c r="B661" t="s">
        <v>4683</v>
      </c>
      <c r="C661" t="s">
        <v>4923</v>
      </c>
      <c r="D661">
        <v>54820</v>
      </c>
      <c r="E661" t="s">
        <v>1205</v>
      </c>
      <c r="F661">
        <v>56.7</v>
      </c>
      <c r="G661" t="s">
        <v>4686</v>
      </c>
      <c r="H661" t="s">
        <v>4687</v>
      </c>
      <c r="I661">
        <v>26095</v>
      </c>
      <c r="J661">
        <v>53312</v>
      </c>
      <c r="K661" t="s">
        <v>1208</v>
      </c>
      <c r="L661" t="str">
        <f>SUBSTITUTE(K661,"'","")</f>
        <v>320251340457556334</v>
      </c>
      <c r="M661">
        <v>54820</v>
      </c>
    </row>
    <row r="662" spans="1:13" x14ac:dyDescent="0.4">
      <c r="A662" s="1">
        <v>45790</v>
      </c>
      <c r="B662" t="s">
        <v>4683</v>
      </c>
      <c r="C662" t="s">
        <v>5709</v>
      </c>
      <c r="D662">
        <v>61130</v>
      </c>
      <c r="E662" t="s">
        <v>478</v>
      </c>
      <c r="F662">
        <v>211.49</v>
      </c>
      <c r="G662" t="s">
        <v>4686</v>
      </c>
      <c r="H662" t="s">
        <v>4687</v>
      </c>
      <c r="I662">
        <v>25443</v>
      </c>
      <c r="J662">
        <v>52008</v>
      </c>
      <c r="K662" t="s">
        <v>1204</v>
      </c>
      <c r="L662" t="str">
        <f>SUBSTITUTE(K662,"'","")</f>
        <v>320251320404113136</v>
      </c>
      <c r="M662">
        <v>61130</v>
      </c>
    </row>
    <row r="663" spans="1:13" x14ac:dyDescent="0.4">
      <c r="A663" s="1">
        <v>45790</v>
      </c>
      <c r="B663" t="s">
        <v>4683</v>
      </c>
      <c r="C663" t="s">
        <v>6477</v>
      </c>
      <c r="D663">
        <v>67500</v>
      </c>
      <c r="E663" t="s">
        <v>885</v>
      </c>
      <c r="F663">
        <v>28.21</v>
      </c>
      <c r="G663" t="s">
        <v>4686</v>
      </c>
      <c r="H663" t="s">
        <v>4687</v>
      </c>
      <c r="I663">
        <v>26365</v>
      </c>
      <c r="J663">
        <v>53852</v>
      </c>
      <c r="K663" t="s">
        <v>3923</v>
      </c>
      <c r="L663" t="str">
        <f>SUBSTITUTE(K663,"'","")</f>
        <v>320251330410522718</v>
      </c>
      <c r="M663">
        <v>67500</v>
      </c>
    </row>
    <row r="664" spans="1:13" x14ac:dyDescent="0.4">
      <c r="A664" s="1">
        <v>45790</v>
      </c>
      <c r="B664" t="s">
        <v>4683</v>
      </c>
      <c r="C664" t="s">
        <v>5524</v>
      </c>
      <c r="D664">
        <v>61100</v>
      </c>
      <c r="E664" t="s">
        <v>3919</v>
      </c>
      <c r="F664">
        <v>106.99</v>
      </c>
      <c r="G664" t="s">
        <v>4686</v>
      </c>
      <c r="H664" t="s">
        <v>4687</v>
      </c>
      <c r="I664">
        <v>26252</v>
      </c>
      <c r="J664">
        <v>53626</v>
      </c>
      <c r="K664" t="s">
        <v>3921</v>
      </c>
      <c r="L664" t="str">
        <f>SUBSTITUTE(K664,"'","")</f>
        <v>320251330413320169</v>
      </c>
      <c r="M664">
        <v>61100</v>
      </c>
    </row>
    <row r="665" spans="1:13" x14ac:dyDescent="0.4">
      <c r="A665" s="1">
        <v>45790</v>
      </c>
      <c r="B665" t="s">
        <v>4683</v>
      </c>
      <c r="C665" t="s">
        <v>5545</v>
      </c>
      <c r="D665">
        <v>61110</v>
      </c>
      <c r="E665" t="s">
        <v>1111</v>
      </c>
      <c r="F665">
        <v>90</v>
      </c>
      <c r="G665" t="s">
        <v>4686</v>
      </c>
      <c r="H665" t="s">
        <v>4687</v>
      </c>
      <c r="I665">
        <v>26008</v>
      </c>
      <c r="J665">
        <v>53138</v>
      </c>
      <c r="K665" t="s">
        <v>1200</v>
      </c>
      <c r="L665" t="str">
        <f>SUBSTITUTE(K665,"'","")</f>
        <v>320251330416038443</v>
      </c>
      <c r="M665">
        <v>61110</v>
      </c>
    </row>
    <row r="666" spans="1:13" x14ac:dyDescent="0.4">
      <c r="A666" s="1">
        <v>45790</v>
      </c>
      <c r="B666" t="s">
        <v>4683</v>
      </c>
      <c r="C666" t="s">
        <v>4929</v>
      </c>
      <c r="D666">
        <v>54820</v>
      </c>
      <c r="E666" t="s">
        <v>2934</v>
      </c>
      <c r="F666">
        <v>14.1</v>
      </c>
      <c r="G666" t="s">
        <v>4686</v>
      </c>
      <c r="H666" t="s">
        <v>4687</v>
      </c>
      <c r="I666">
        <v>26543</v>
      </c>
      <c r="J666">
        <v>54208</v>
      </c>
      <c r="K666" t="s">
        <v>3918</v>
      </c>
      <c r="L666" t="str">
        <f>SUBSTITUTE(K666,"'","")</f>
        <v>320251340442419868</v>
      </c>
      <c r="M666">
        <v>54820</v>
      </c>
    </row>
    <row r="667" spans="1:13" x14ac:dyDescent="0.4">
      <c r="A667" s="1">
        <v>45790</v>
      </c>
      <c r="B667" t="s">
        <v>4683</v>
      </c>
      <c r="C667" t="s">
        <v>5546</v>
      </c>
      <c r="D667">
        <v>61110</v>
      </c>
      <c r="E667" t="s">
        <v>1111</v>
      </c>
      <c r="F667">
        <v>90</v>
      </c>
      <c r="G667" t="s">
        <v>4686</v>
      </c>
      <c r="H667" t="s">
        <v>4687</v>
      </c>
      <c r="I667">
        <v>26009</v>
      </c>
      <c r="J667">
        <v>53140</v>
      </c>
      <c r="K667" t="s">
        <v>1202</v>
      </c>
      <c r="L667" t="str">
        <f>SUBSTITUTE(K667,"'","")</f>
        <v>320251340444320445</v>
      </c>
      <c r="M667">
        <v>61110</v>
      </c>
    </row>
    <row r="668" spans="1:13" x14ac:dyDescent="0.4">
      <c r="A668" s="1">
        <v>45790</v>
      </c>
      <c r="B668" t="s">
        <v>4683</v>
      </c>
      <c r="C668" t="s">
        <v>4930</v>
      </c>
      <c r="D668">
        <v>54820</v>
      </c>
      <c r="E668" t="s">
        <v>2085</v>
      </c>
      <c r="F668">
        <v>23.61</v>
      </c>
      <c r="G668" t="s">
        <v>4686</v>
      </c>
      <c r="H668" t="s">
        <v>4687</v>
      </c>
      <c r="I668">
        <v>26702</v>
      </c>
      <c r="J668">
        <v>54526</v>
      </c>
      <c r="K668" t="s">
        <v>3925</v>
      </c>
      <c r="L668" t="str">
        <f>SUBSTITUTE(K668,"'","")</f>
        <v>320251340456044060</v>
      </c>
      <c r="M668">
        <v>54820</v>
      </c>
    </row>
    <row r="669" spans="1:13" x14ac:dyDescent="0.4">
      <c r="A669" s="1">
        <v>45791</v>
      </c>
      <c r="B669" t="s">
        <v>4683</v>
      </c>
      <c r="C669" t="s">
        <v>4941</v>
      </c>
      <c r="D669">
        <v>54820</v>
      </c>
      <c r="E669" t="s">
        <v>2344</v>
      </c>
      <c r="F669">
        <v>50.67</v>
      </c>
      <c r="G669" t="s">
        <v>4686</v>
      </c>
      <c r="H669" t="s">
        <v>4687</v>
      </c>
      <c r="I669">
        <v>26266</v>
      </c>
      <c r="J669">
        <v>53654</v>
      </c>
      <c r="K669" t="s">
        <v>3910</v>
      </c>
      <c r="L669" t="str">
        <f>SUBSTITUTE(K669,"'","")</f>
        <v>320251340437417050</v>
      </c>
      <c r="M669">
        <v>54820</v>
      </c>
    </row>
    <row r="670" spans="1:13" x14ac:dyDescent="0.4">
      <c r="A670" s="1">
        <v>45791</v>
      </c>
      <c r="B670" t="s">
        <v>4683</v>
      </c>
      <c r="C670" t="s">
        <v>4942</v>
      </c>
      <c r="D670">
        <v>54820</v>
      </c>
      <c r="E670" t="s">
        <v>2222</v>
      </c>
      <c r="F670">
        <v>20.18</v>
      </c>
      <c r="G670" t="s">
        <v>4686</v>
      </c>
      <c r="H670" t="s">
        <v>4687</v>
      </c>
      <c r="I670">
        <v>26452</v>
      </c>
      <c r="J670">
        <v>54026</v>
      </c>
      <c r="K670" t="s">
        <v>3912</v>
      </c>
      <c r="L670" t="str">
        <f>SUBSTITUTE(K670,"'","")</f>
        <v>320251340440410073</v>
      </c>
      <c r="M670">
        <v>54820</v>
      </c>
    </row>
    <row r="671" spans="1:13" x14ac:dyDescent="0.4">
      <c r="A671" s="1">
        <v>45791</v>
      </c>
      <c r="B671" t="s">
        <v>4683</v>
      </c>
      <c r="C671" t="s">
        <v>5712</v>
      </c>
      <c r="D671">
        <v>61130</v>
      </c>
      <c r="E671" t="s">
        <v>478</v>
      </c>
      <c r="F671">
        <v>70.540000000000006</v>
      </c>
      <c r="G671" t="s">
        <v>4686</v>
      </c>
      <c r="H671" t="s">
        <v>4687</v>
      </c>
      <c r="I671">
        <v>25446</v>
      </c>
      <c r="J671">
        <v>52014</v>
      </c>
      <c r="K671" t="s">
        <v>1196</v>
      </c>
      <c r="L671" t="str">
        <f>SUBSTITUTE(K671,"'","")</f>
        <v>320251340442382460</v>
      </c>
      <c r="M671">
        <v>61130</v>
      </c>
    </row>
    <row r="672" spans="1:13" x14ac:dyDescent="0.4">
      <c r="A672" s="1">
        <v>45791</v>
      </c>
      <c r="B672" t="s">
        <v>4683</v>
      </c>
      <c r="C672" t="s">
        <v>5711</v>
      </c>
      <c r="D672">
        <v>61130</v>
      </c>
      <c r="E672" t="s">
        <v>478</v>
      </c>
      <c r="F672">
        <v>20.93</v>
      </c>
      <c r="G672" t="s">
        <v>4686</v>
      </c>
      <c r="H672" t="s">
        <v>4687</v>
      </c>
      <c r="I672">
        <v>25445</v>
      </c>
      <c r="J672">
        <v>52012</v>
      </c>
      <c r="K672" t="s">
        <v>1194</v>
      </c>
      <c r="L672" t="str">
        <f>SUBSTITUTE(K672,"'","")</f>
        <v>320251340442834196</v>
      </c>
      <c r="M672">
        <v>61130</v>
      </c>
    </row>
    <row r="673" spans="1:13" x14ac:dyDescent="0.4">
      <c r="A673" s="1">
        <v>45791</v>
      </c>
      <c r="B673" t="s">
        <v>4683</v>
      </c>
      <c r="C673" t="s">
        <v>5713</v>
      </c>
      <c r="D673">
        <v>61130</v>
      </c>
      <c r="E673" t="s">
        <v>478</v>
      </c>
      <c r="F673">
        <v>100.64</v>
      </c>
      <c r="G673" t="s">
        <v>4686</v>
      </c>
      <c r="H673" t="s">
        <v>4687</v>
      </c>
      <c r="I673">
        <v>25447</v>
      </c>
      <c r="J673">
        <v>52016</v>
      </c>
      <c r="K673" t="s">
        <v>1198</v>
      </c>
      <c r="L673" t="str">
        <f>SUBSTITUTE(K673,"'","")</f>
        <v>320251340443776349</v>
      </c>
      <c r="M673">
        <v>61130</v>
      </c>
    </row>
    <row r="674" spans="1:13" x14ac:dyDescent="0.4">
      <c r="A674" s="1">
        <v>45791</v>
      </c>
      <c r="B674" t="s">
        <v>4683</v>
      </c>
      <c r="C674" t="s">
        <v>5710</v>
      </c>
      <c r="D674">
        <v>61130</v>
      </c>
      <c r="E674" t="s">
        <v>478</v>
      </c>
      <c r="F674">
        <v>16.52</v>
      </c>
      <c r="G674" t="s">
        <v>4686</v>
      </c>
      <c r="H674" t="s">
        <v>4687</v>
      </c>
      <c r="I674">
        <v>25444</v>
      </c>
      <c r="J674">
        <v>52010</v>
      </c>
      <c r="K674" t="s">
        <v>1192</v>
      </c>
      <c r="L674" t="str">
        <f>SUBSTITUTE(K674,"'","")</f>
        <v>320251340444033823</v>
      </c>
      <c r="M674">
        <v>61130</v>
      </c>
    </row>
    <row r="675" spans="1:13" x14ac:dyDescent="0.4">
      <c r="A675" s="1">
        <v>45791</v>
      </c>
      <c r="B675" t="s">
        <v>4683</v>
      </c>
      <c r="C675" t="s">
        <v>5548</v>
      </c>
      <c r="D675">
        <v>61110</v>
      </c>
      <c r="E675" t="s">
        <v>1111</v>
      </c>
      <c r="F675">
        <v>140</v>
      </c>
      <c r="G675" t="s">
        <v>4686</v>
      </c>
      <c r="H675" t="s">
        <v>4687</v>
      </c>
      <c r="I675">
        <v>26011</v>
      </c>
      <c r="J675">
        <v>53144</v>
      </c>
      <c r="K675" t="s">
        <v>1183</v>
      </c>
      <c r="L675" t="str">
        <f>SUBSTITUTE(K675,"'","")</f>
        <v>320251340444915139</v>
      </c>
      <c r="M675">
        <v>61110</v>
      </c>
    </row>
    <row r="676" spans="1:13" x14ac:dyDescent="0.4">
      <c r="A676" s="1">
        <v>45791</v>
      </c>
      <c r="B676" t="s">
        <v>4683</v>
      </c>
      <c r="C676" t="s">
        <v>6011</v>
      </c>
      <c r="D676">
        <v>61215</v>
      </c>
      <c r="E676" t="s">
        <v>1184</v>
      </c>
      <c r="F676">
        <v>500</v>
      </c>
      <c r="G676" t="s">
        <v>4686</v>
      </c>
      <c r="H676" t="s">
        <v>4687</v>
      </c>
      <c r="I676">
        <v>25972</v>
      </c>
      <c r="J676">
        <v>53066</v>
      </c>
      <c r="K676" t="s">
        <v>1187</v>
      </c>
      <c r="L676" t="str">
        <f>SUBSTITUTE(K676,"'","")</f>
        <v>320251340448795614</v>
      </c>
      <c r="M676">
        <v>61215</v>
      </c>
    </row>
    <row r="677" spans="1:13" x14ac:dyDescent="0.4">
      <c r="A677" s="1">
        <v>45791</v>
      </c>
      <c r="B677" t="s">
        <v>4683</v>
      </c>
      <c r="C677" t="s">
        <v>4943</v>
      </c>
      <c r="D677">
        <v>54820</v>
      </c>
      <c r="E677" t="s">
        <v>977</v>
      </c>
      <c r="F677">
        <v>50</v>
      </c>
      <c r="G677" t="s">
        <v>4686</v>
      </c>
      <c r="H677" t="s">
        <v>4687</v>
      </c>
      <c r="I677">
        <v>26468</v>
      </c>
      <c r="J677">
        <v>54058</v>
      </c>
      <c r="K677" t="s">
        <v>3908</v>
      </c>
      <c r="L677" t="str">
        <f>SUBSTITUTE(K677,"'","")</f>
        <v>320251340460030104</v>
      </c>
      <c r="M677">
        <v>54820</v>
      </c>
    </row>
    <row r="678" spans="1:13" x14ac:dyDescent="0.4">
      <c r="A678" s="1">
        <v>45791</v>
      </c>
      <c r="B678" t="s">
        <v>4730</v>
      </c>
      <c r="C678" t="s">
        <v>5599</v>
      </c>
      <c r="D678">
        <v>61120</v>
      </c>
      <c r="E678" t="s">
        <v>1188</v>
      </c>
      <c r="F678">
        <v>-77.95</v>
      </c>
      <c r="G678" t="s">
        <v>4686</v>
      </c>
      <c r="H678" t="s">
        <v>4687</v>
      </c>
      <c r="I678">
        <v>26074</v>
      </c>
      <c r="J678">
        <v>53270</v>
      </c>
      <c r="K678" t="s">
        <v>1190</v>
      </c>
      <c r="L678" t="str">
        <f>SUBSTITUTE(K678,"'","")</f>
        <v>320251340460420508</v>
      </c>
      <c r="M678">
        <v>61120</v>
      </c>
    </row>
    <row r="679" spans="1:13" x14ac:dyDescent="0.4">
      <c r="A679" s="1">
        <v>45791</v>
      </c>
      <c r="B679" t="s">
        <v>4683</v>
      </c>
      <c r="C679" t="s">
        <v>4939</v>
      </c>
      <c r="D679">
        <v>54820</v>
      </c>
      <c r="E679" t="s">
        <v>977</v>
      </c>
      <c r="F679">
        <v>500</v>
      </c>
      <c r="G679" t="s">
        <v>4686</v>
      </c>
      <c r="H679" t="s">
        <v>4687</v>
      </c>
      <c r="I679">
        <v>25829</v>
      </c>
      <c r="J679">
        <v>52780</v>
      </c>
      <c r="K679" t="s">
        <v>1177</v>
      </c>
      <c r="L679" t="str">
        <f>SUBSTITUTE(K679,"'","")</f>
        <v>320251350470588213</v>
      </c>
      <c r="M679">
        <v>54820</v>
      </c>
    </row>
    <row r="680" spans="1:13" x14ac:dyDescent="0.4">
      <c r="A680" s="1">
        <v>45791</v>
      </c>
      <c r="B680" t="s">
        <v>4683</v>
      </c>
      <c r="C680" t="s">
        <v>4937</v>
      </c>
      <c r="D680">
        <v>54820</v>
      </c>
      <c r="E680" t="s">
        <v>977</v>
      </c>
      <c r="F680">
        <v>250</v>
      </c>
      <c r="G680" t="s">
        <v>4686</v>
      </c>
      <c r="H680" t="s">
        <v>4687</v>
      </c>
      <c r="I680">
        <v>25827</v>
      </c>
      <c r="J680">
        <v>52776</v>
      </c>
      <c r="K680" t="s">
        <v>1173</v>
      </c>
      <c r="L680" t="str">
        <f>SUBSTITUTE(K680,"'","")</f>
        <v>320251350470588506</v>
      </c>
      <c r="M680">
        <v>54820</v>
      </c>
    </row>
    <row r="681" spans="1:13" x14ac:dyDescent="0.4">
      <c r="A681" s="1">
        <v>45791</v>
      </c>
      <c r="B681" t="s">
        <v>4683</v>
      </c>
      <c r="C681" t="s">
        <v>5547</v>
      </c>
      <c r="D681">
        <v>61110</v>
      </c>
      <c r="E681" t="s">
        <v>1111</v>
      </c>
      <c r="F681">
        <v>7.26</v>
      </c>
      <c r="G681" t="s">
        <v>4686</v>
      </c>
      <c r="H681" t="s">
        <v>4687</v>
      </c>
      <c r="I681">
        <v>26010</v>
      </c>
      <c r="J681">
        <v>53142</v>
      </c>
      <c r="K681" t="s">
        <v>1181</v>
      </c>
      <c r="L681" t="str">
        <f>SUBSTITUTE(K681,"'","")</f>
        <v>320251350471351807</v>
      </c>
      <c r="M681">
        <v>61110</v>
      </c>
    </row>
    <row r="682" spans="1:13" x14ac:dyDescent="0.4">
      <c r="A682" s="1">
        <v>45791</v>
      </c>
      <c r="B682" t="s">
        <v>4683</v>
      </c>
      <c r="C682" t="s">
        <v>5900</v>
      </c>
      <c r="D682">
        <v>61131</v>
      </c>
      <c r="E682" t="s">
        <v>327</v>
      </c>
      <c r="F682">
        <v>4.3499999999999996</v>
      </c>
      <c r="G682" t="s">
        <v>4686</v>
      </c>
      <c r="H682" t="s">
        <v>4687</v>
      </c>
      <c r="I682">
        <v>25733</v>
      </c>
      <c r="J682">
        <v>52588</v>
      </c>
      <c r="K682" t="s">
        <v>1179</v>
      </c>
      <c r="L682" t="str">
        <f>SUBSTITUTE(K682,"'","")</f>
        <v>320251350476506795</v>
      </c>
      <c r="M682">
        <v>61131</v>
      </c>
    </row>
    <row r="683" spans="1:13" x14ac:dyDescent="0.4">
      <c r="A683" s="1">
        <v>45791</v>
      </c>
      <c r="B683" t="s">
        <v>4683</v>
      </c>
      <c r="C683" t="s">
        <v>6425</v>
      </c>
      <c r="D683">
        <v>65700</v>
      </c>
      <c r="E683" t="s">
        <v>83</v>
      </c>
      <c r="F683">
        <v>109.42</v>
      </c>
      <c r="G683" t="s">
        <v>4686</v>
      </c>
      <c r="H683" t="s">
        <v>4687</v>
      </c>
      <c r="I683">
        <v>25548</v>
      </c>
      <c r="J683">
        <v>52218</v>
      </c>
      <c r="K683" t="s">
        <v>1159</v>
      </c>
      <c r="L683" t="str">
        <f>SUBSTITUTE(K683,"'","")</f>
        <v>320251350480403424</v>
      </c>
      <c r="M683">
        <v>65700</v>
      </c>
    </row>
    <row r="684" spans="1:13" x14ac:dyDescent="0.4">
      <c r="A684" s="1">
        <v>45791</v>
      </c>
      <c r="B684" t="s">
        <v>4683</v>
      </c>
      <c r="C684" t="s">
        <v>4940</v>
      </c>
      <c r="D684">
        <v>54820</v>
      </c>
      <c r="E684" t="s">
        <v>3913</v>
      </c>
      <c r="F684" s="5">
        <v>1750</v>
      </c>
      <c r="G684" t="s">
        <v>4686</v>
      </c>
      <c r="H684" t="s">
        <v>4687</v>
      </c>
      <c r="I684">
        <v>26115</v>
      </c>
      <c r="J684">
        <v>53352</v>
      </c>
      <c r="K684" t="s">
        <v>3916</v>
      </c>
      <c r="L684" t="str">
        <f>SUBSTITUTE(K684,"'","")</f>
        <v>320251350484200505</v>
      </c>
      <c r="M684">
        <v>54820</v>
      </c>
    </row>
    <row r="685" spans="1:13" x14ac:dyDescent="0.4">
      <c r="A685" s="1">
        <v>45791</v>
      </c>
      <c r="B685" t="s">
        <v>4683</v>
      </c>
      <c r="C685" t="s">
        <v>4938</v>
      </c>
      <c r="D685">
        <v>54820</v>
      </c>
      <c r="E685" t="s">
        <v>977</v>
      </c>
      <c r="F685">
        <v>250</v>
      </c>
      <c r="G685" t="s">
        <v>4686</v>
      </c>
      <c r="H685" t="s">
        <v>4687</v>
      </c>
      <c r="I685">
        <v>25828</v>
      </c>
      <c r="J685">
        <v>52778</v>
      </c>
      <c r="K685" t="s">
        <v>1175</v>
      </c>
      <c r="L685" t="str">
        <f>SUBSTITUTE(K685,"'","")</f>
        <v>320251350486425369</v>
      </c>
      <c r="M685">
        <v>54820</v>
      </c>
    </row>
    <row r="686" spans="1:13" x14ac:dyDescent="0.4">
      <c r="A686" s="1">
        <v>45791</v>
      </c>
      <c r="B686" t="s">
        <v>4683</v>
      </c>
      <c r="C686" t="s">
        <v>4931</v>
      </c>
      <c r="D686">
        <v>54820</v>
      </c>
      <c r="E686" t="s">
        <v>977</v>
      </c>
      <c r="F686">
        <v>50</v>
      </c>
      <c r="G686" t="s">
        <v>4686</v>
      </c>
      <c r="H686" t="s">
        <v>4687</v>
      </c>
      <c r="I686">
        <v>25821</v>
      </c>
      <c r="J686">
        <v>52764</v>
      </c>
      <c r="K686" t="s">
        <v>1161</v>
      </c>
      <c r="L686" t="str">
        <f>SUBSTITUTE(K686,"'","")</f>
        <v>320251350486432397</v>
      </c>
      <c r="M686">
        <v>54820</v>
      </c>
    </row>
    <row r="687" spans="1:13" x14ac:dyDescent="0.4">
      <c r="A687" s="1">
        <v>45791</v>
      </c>
      <c r="B687" t="s">
        <v>4683</v>
      </c>
      <c r="C687" t="s">
        <v>4932</v>
      </c>
      <c r="D687">
        <v>54820</v>
      </c>
      <c r="E687" t="s">
        <v>977</v>
      </c>
      <c r="F687">
        <v>50</v>
      </c>
      <c r="G687" t="s">
        <v>4686</v>
      </c>
      <c r="H687" t="s">
        <v>4687</v>
      </c>
      <c r="I687">
        <v>25822</v>
      </c>
      <c r="J687">
        <v>52766</v>
      </c>
      <c r="K687" t="s">
        <v>1163</v>
      </c>
      <c r="L687" t="str">
        <f>SUBSTITUTE(K687,"'","")</f>
        <v>320251350486444399</v>
      </c>
      <c r="M687">
        <v>54820</v>
      </c>
    </row>
    <row r="688" spans="1:13" x14ac:dyDescent="0.4">
      <c r="A688" s="1">
        <v>45791</v>
      </c>
      <c r="B688" t="s">
        <v>4683</v>
      </c>
      <c r="C688" t="s">
        <v>4933</v>
      </c>
      <c r="D688">
        <v>54820</v>
      </c>
      <c r="E688" t="s">
        <v>977</v>
      </c>
      <c r="F688">
        <v>50</v>
      </c>
      <c r="G688" t="s">
        <v>4686</v>
      </c>
      <c r="H688" t="s">
        <v>4687</v>
      </c>
      <c r="I688">
        <v>25823</v>
      </c>
      <c r="J688">
        <v>52768</v>
      </c>
      <c r="K688" t="s">
        <v>1165</v>
      </c>
      <c r="L688" t="str">
        <f>SUBSTITUTE(K688,"'","")</f>
        <v>320251350486448298</v>
      </c>
      <c r="M688">
        <v>54820</v>
      </c>
    </row>
    <row r="689" spans="1:13" x14ac:dyDescent="0.4">
      <c r="A689" s="1">
        <v>45791</v>
      </c>
      <c r="B689" t="s">
        <v>4683</v>
      </c>
      <c r="C689" t="s">
        <v>4934</v>
      </c>
      <c r="D689">
        <v>54820</v>
      </c>
      <c r="E689" t="s">
        <v>977</v>
      </c>
      <c r="F689">
        <v>50</v>
      </c>
      <c r="G689" t="s">
        <v>4686</v>
      </c>
      <c r="H689" t="s">
        <v>4687</v>
      </c>
      <c r="I689">
        <v>25824</v>
      </c>
      <c r="J689">
        <v>52770</v>
      </c>
      <c r="K689" t="s">
        <v>1167</v>
      </c>
      <c r="L689" t="str">
        <f>SUBSTITUTE(K689,"'","")</f>
        <v>320251350486452011</v>
      </c>
      <c r="M689">
        <v>54820</v>
      </c>
    </row>
    <row r="690" spans="1:13" x14ac:dyDescent="0.4">
      <c r="A690" s="1">
        <v>45791</v>
      </c>
      <c r="B690" t="s">
        <v>4683</v>
      </c>
      <c r="C690" t="s">
        <v>4935</v>
      </c>
      <c r="D690">
        <v>54820</v>
      </c>
      <c r="E690" t="s">
        <v>977</v>
      </c>
      <c r="F690">
        <v>50</v>
      </c>
      <c r="G690" t="s">
        <v>4686</v>
      </c>
      <c r="H690" t="s">
        <v>4687</v>
      </c>
      <c r="I690">
        <v>25825</v>
      </c>
      <c r="J690">
        <v>52772</v>
      </c>
      <c r="K690" t="s">
        <v>1169</v>
      </c>
      <c r="L690" t="str">
        <f>SUBSTITUTE(K690,"'","")</f>
        <v>320251350486454213</v>
      </c>
      <c r="M690">
        <v>54820</v>
      </c>
    </row>
    <row r="691" spans="1:13" x14ac:dyDescent="0.4">
      <c r="A691" s="1">
        <v>45791</v>
      </c>
      <c r="B691" t="s">
        <v>4683</v>
      </c>
      <c r="C691" t="s">
        <v>4936</v>
      </c>
      <c r="D691">
        <v>54820</v>
      </c>
      <c r="E691" t="s">
        <v>977</v>
      </c>
      <c r="F691">
        <v>50</v>
      </c>
      <c r="G691" t="s">
        <v>4686</v>
      </c>
      <c r="H691" t="s">
        <v>4687</v>
      </c>
      <c r="I691">
        <v>25826</v>
      </c>
      <c r="J691">
        <v>52774</v>
      </c>
      <c r="K691" t="s">
        <v>1171</v>
      </c>
      <c r="L691" t="str">
        <f>SUBSTITUTE(K691,"'","")</f>
        <v>320251350486458464</v>
      </c>
      <c r="M691">
        <v>54820</v>
      </c>
    </row>
    <row r="692" spans="1:13" x14ac:dyDescent="0.4">
      <c r="A692" s="1">
        <v>45792</v>
      </c>
      <c r="B692" t="s">
        <v>4683</v>
      </c>
      <c r="C692" t="s">
        <v>4944</v>
      </c>
      <c r="D692">
        <v>54820</v>
      </c>
      <c r="E692" t="s">
        <v>1140</v>
      </c>
      <c r="F692">
        <v>870</v>
      </c>
      <c r="G692" t="s">
        <v>4686</v>
      </c>
      <c r="H692" t="s">
        <v>4687</v>
      </c>
      <c r="I692">
        <v>26059</v>
      </c>
      <c r="J692">
        <v>53240</v>
      </c>
      <c r="K692" t="s">
        <v>1144</v>
      </c>
      <c r="L692" t="str">
        <f>SUBSTITUTE(K692,"'","")</f>
        <v>320251350465093929</v>
      </c>
      <c r="M692">
        <v>54820</v>
      </c>
    </row>
    <row r="693" spans="1:13" x14ac:dyDescent="0.4">
      <c r="A693" s="1">
        <v>45792</v>
      </c>
      <c r="B693" t="s">
        <v>4683</v>
      </c>
      <c r="C693" t="s">
        <v>5714</v>
      </c>
      <c r="D693">
        <v>61130</v>
      </c>
      <c r="E693" t="s">
        <v>478</v>
      </c>
      <c r="F693">
        <v>21.5</v>
      </c>
      <c r="G693" t="s">
        <v>4686</v>
      </c>
      <c r="H693" t="s">
        <v>4687</v>
      </c>
      <c r="I693">
        <v>25448</v>
      </c>
      <c r="J693">
        <v>52018</v>
      </c>
      <c r="K693" t="s">
        <v>1157</v>
      </c>
      <c r="L693" t="str">
        <f>SUBSTITUTE(K693,"'","")</f>
        <v>320251350469992932</v>
      </c>
      <c r="M693">
        <v>61130</v>
      </c>
    </row>
    <row r="694" spans="1:13" x14ac:dyDescent="0.4">
      <c r="A694" s="1">
        <v>45792</v>
      </c>
      <c r="B694" t="s">
        <v>4683</v>
      </c>
      <c r="C694" t="s">
        <v>6012</v>
      </c>
      <c r="D694">
        <v>61215</v>
      </c>
      <c r="E694" t="s">
        <v>1152</v>
      </c>
      <c r="F694" s="5">
        <v>1100</v>
      </c>
      <c r="G694" t="s">
        <v>4686</v>
      </c>
      <c r="H694" t="s">
        <v>4687</v>
      </c>
      <c r="I694">
        <v>25973</v>
      </c>
      <c r="J694">
        <v>53068</v>
      </c>
      <c r="K694" t="s">
        <v>1155</v>
      </c>
      <c r="L694" t="str">
        <f>SUBSTITUTE(K694,"'","")</f>
        <v>320251350471833055</v>
      </c>
      <c r="M694">
        <v>61215</v>
      </c>
    </row>
    <row r="695" spans="1:13" x14ac:dyDescent="0.4">
      <c r="A695" s="1">
        <v>45792</v>
      </c>
      <c r="B695" t="s">
        <v>4683</v>
      </c>
      <c r="C695" t="s">
        <v>4946</v>
      </c>
      <c r="D695">
        <v>54820</v>
      </c>
      <c r="E695" t="s">
        <v>2934</v>
      </c>
      <c r="F695">
        <v>12.79</v>
      </c>
      <c r="G695" t="s">
        <v>4686</v>
      </c>
      <c r="H695" t="s">
        <v>4687</v>
      </c>
      <c r="I695">
        <v>26544</v>
      </c>
      <c r="J695">
        <v>54210</v>
      </c>
      <c r="K695" t="s">
        <v>3902</v>
      </c>
      <c r="L695" t="str">
        <f>SUBSTITUTE(K695,"'","")</f>
        <v>320251360496363516</v>
      </c>
      <c r="M695">
        <v>54820</v>
      </c>
    </row>
    <row r="696" spans="1:13" x14ac:dyDescent="0.4">
      <c r="A696" s="1">
        <v>45792</v>
      </c>
      <c r="B696" t="s">
        <v>4683</v>
      </c>
      <c r="C696" t="s">
        <v>5550</v>
      </c>
      <c r="D696">
        <v>61110</v>
      </c>
      <c r="E696" t="s">
        <v>1111</v>
      </c>
      <c r="F696">
        <v>32.35</v>
      </c>
      <c r="G696" t="s">
        <v>4686</v>
      </c>
      <c r="H696" t="s">
        <v>4687</v>
      </c>
      <c r="I696">
        <v>26013</v>
      </c>
      <c r="J696">
        <v>53148</v>
      </c>
      <c r="K696" t="s">
        <v>1148</v>
      </c>
      <c r="L696" t="str">
        <f>SUBSTITUTE(K696,"'","")</f>
        <v>320251360498189871</v>
      </c>
      <c r="M696">
        <v>61110</v>
      </c>
    </row>
    <row r="697" spans="1:13" x14ac:dyDescent="0.4">
      <c r="A697" s="1">
        <v>45792</v>
      </c>
      <c r="B697" t="s">
        <v>4683</v>
      </c>
      <c r="C697" t="s">
        <v>5549</v>
      </c>
      <c r="D697">
        <v>61110</v>
      </c>
      <c r="E697" t="s">
        <v>1111</v>
      </c>
      <c r="F697">
        <v>22.74</v>
      </c>
      <c r="G697" t="s">
        <v>4686</v>
      </c>
      <c r="H697" t="s">
        <v>4687</v>
      </c>
      <c r="I697">
        <v>26012</v>
      </c>
      <c r="J697">
        <v>53146</v>
      </c>
      <c r="K697" t="s">
        <v>1146</v>
      </c>
      <c r="L697" t="str">
        <f>SUBSTITUTE(K697,"'","")</f>
        <v>320251360498649335</v>
      </c>
      <c r="M697">
        <v>61110</v>
      </c>
    </row>
    <row r="698" spans="1:13" x14ac:dyDescent="0.4">
      <c r="A698" s="1">
        <v>45792</v>
      </c>
      <c r="B698" t="s">
        <v>4683</v>
      </c>
      <c r="C698" t="s">
        <v>4949</v>
      </c>
      <c r="D698">
        <v>54820</v>
      </c>
      <c r="E698" t="s">
        <v>2533</v>
      </c>
      <c r="F698">
        <v>59.88</v>
      </c>
      <c r="G698" t="s">
        <v>4686</v>
      </c>
      <c r="H698" t="s">
        <v>4687</v>
      </c>
      <c r="I698">
        <v>26956</v>
      </c>
      <c r="J698">
        <v>55034</v>
      </c>
      <c r="K698" t="s">
        <v>3904</v>
      </c>
      <c r="L698" t="str">
        <f>SUBSTITUTE(K698,"'","")</f>
        <v>320251360502632778</v>
      </c>
      <c r="M698">
        <v>54820</v>
      </c>
    </row>
    <row r="699" spans="1:13" x14ac:dyDescent="0.4">
      <c r="A699" s="1">
        <v>45792</v>
      </c>
      <c r="B699" t="s">
        <v>4683</v>
      </c>
      <c r="C699" t="s">
        <v>4947</v>
      </c>
      <c r="D699">
        <v>54820</v>
      </c>
      <c r="E699" t="s">
        <v>1300</v>
      </c>
      <c r="F699">
        <v>3.31</v>
      </c>
      <c r="G699" t="s">
        <v>4686</v>
      </c>
      <c r="H699" t="s">
        <v>4687</v>
      </c>
      <c r="I699">
        <v>26820</v>
      </c>
      <c r="J699">
        <v>54762</v>
      </c>
      <c r="K699" t="s">
        <v>3898</v>
      </c>
      <c r="L699" t="str">
        <f>SUBSTITUTE(K699,"'","")</f>
        <v>320251360502655722</v>
      </c>
      <c r="M699">
        <v>54820</v>
      </c>
    </row>
    <row r="700" spans="1:13" x14ac:dyDescent="0.4">
      <c r="A700" s="1">
        <v>45792</v>
      </c>
      <c r="B700" t="s">
        <v>4683</v>
      </c>
      <c r="C700" t="s">
        <v>4948</v>
      </c>
      <c r="D700">
        <v>54820</v>
      </c>
      <c r="E700" t="s">
        <v>1300</v>
      </c>
      <c r="F700">
        <v>6.24</v>
      </c>
      <c r="G700" t="s">
        <v>4686</v>
      </c>
      <c r="H700" t="s">
        <v>4687</v>
      </c>
      <c r="I700">
        <v>26821</v>
      </c>
      <c r="J700">
        <v>54764</v>
      </c>
      <c r="K700" t="s">
        <v>3900</v>
      </c>
      <c r="L700" t="str">
        <f>SUBSTITUTE(K700,"'","")</f>
        <v>320251360502793415</v>
      </c>
      <c r="M700">
        <v>54820</v>
      </c>
    </row>
    <row r="701" spans="1:13" x14ac:dyDescent="0.4">
      <c r="A701" s="1">
        <v>45792</v>
      </c>
      <c r="B701" t="s">
        <v>4683</v>
      </c>
      <c r="C701" t="s">
        <v>4945</v>
      </c>
      <c r="D701">
        <v>54820</v>
      </c>
      <c r="E701" t="s">
        <v>2240</v>
      </c>
      <c r="F701">
        <v>119.15</v>
      </c>
      <c r="G701" t="s">
        <v>4686</v>
      </c>
      <c r="H701" t="s">
        <v>4687</v>
      </c>
      <c r="I701">
        <v>26133</v>
      </c>
      <c r="J701">
        <v>53388</v>
      </c>
      <c r="K701" t="s">
        <v>3906</v>
      </c>
      <c r="L701" t="str">
        <f>SUBSTITUTE(K701,"'","")</f>
        <v>320251360504061243</v>
      </c>
      <c r="M701">
        <v>54820</v>
      </c>
    </row>
    <row r="702" spans="1:13" x14ac:dyDescent="0.4">
      <c r="A702" s="1">
        <v>45792</v>
      </c>
      <c r="B702" t="s">
        <v>4683</v>
      </c>
      <c r="C702" t="s">
        <v>6200</v>
      </c>
      <c r="D702">
        <v>64100</v>
      </c>
      <c r="E702" t="s">
        <v>437</v>
      </c>
      <c r="F702">
        <v>10</v>
      </c>
      <c r="G702" t="s">
        <v>4686</v>
      </c>
      <c r="H702" t="s">
        <v>4687</v>
      </c>
      <c r="I702">
        <v>25573</v>
      </c>
      <c r="J702">
        <v>52268</v>
      </c>
      <c r="K702" t="s">
        <v>1151</v>
      </c>
      <c r="L702" t="str">
        <f>SUBSTITUTE(K702,"'","")</f>
        <v>320251360513411688</v>
      </c>
      <c r="M702">
        <v>64100</v>
      </c>
    </row>
    <row r="703" spans="1:13" x14ac:dyDescent="0.4">
      <c r="A703" s="1">
        <v>45793</v>
      </c>
      <c r="B703" t="s">
        <v>4683</v>
      </c>
      <c r="C703" t="s">
        <v>4953</v>
      </c>
      <c r="D703">
        <v>54820</v>
      </c>
      <c r="E703" t="s">
        <v>3894</v>
      </c>
      <c r="F703">
        <v>27.99</v>
      </c>
      <c r="G703" t="s">
        <v>4686</v>
      </c>
      <c r="H703" t="s">
        <v>4687</v>
      </c>
      <c r="I703">
        <v>26528</v>
      </c>
      <c r="J703">
        <v>54178</v>
      </c>
      <c r="K703" t="s">
        <v>3896</v>
      </c>
      <c r="L703" t="str">
        <f>SUBSTITUTE(K703,"'","")</f>
        <v>320251360495157118</v>
      </c>
      <c r="M703">
        <v>54820</v>
      </c>
    </row>
    <row r="704" spans="1:13" x14ac:dyDescent="0.4">
      <c r="A704" s="1">
        <v>45793</v>
      </c>
      <c r="B704" t="s">
        <v>4683</v>
      </c>
      <c r="C704" t="s">
        <v>4950</v>
      </c>
      <c r="D704">
        <v>54820</v>
      </c>
      <c r="E704" t="s">
        <v>977</v>
      </c>
      <c r="F704">
        <v>50</v>
      </c>
      <c r="G704" t="s">
        <v>4686</v>
      </c>
      <c r="H704" t="s">
        <v>4687</v>
      </c>
      <c r="I704">
        <v>26469</v>
      </c>
      <c r="J704">
        <v>54060</v>
      </c>
      <c r="K704" t="s">
        <v>3889</v>
      </c>
      <c r="L704" t="str">
        <f>SUBSTITUTE(K704,"'","")</f>
        <v>320251360517238177</v>
      </c>
      <c r="M704">
        <v>54820</v>
      </c>
    </row>
    <row r="705" spans="1:13" x14ac:dyDescent="0.4">
      <c r="A705" s="1">
        <v>45793</v>
      </c>
      <c r="B705" t="s">
        <v>4683</v>
      </c>
      <c r="C705" t="s">
        <v>5901</v>
      </c>
      <c r="D705">
        <v>61131</v>
      </c>
      <c r="E705" t="s">
        <v>1106</v>
      </c>
      <c r="F705">
        <v>847.95</v>
      </c>
      <c r="G705" t="s">
        <v>4686</v>
      </c>
      <c r="H705" t="s">
        <v>4687</v>
      </c>
      <c r="I705">
        <v>25645</v>
      </c>
      <c r="J705">
        <v>52412</v>
      </c>
      <c r="K705" t="s">
        <v>1127</v>
      </c>
      <c r="L705" t="str">
        <f>SUBSTITUTE(K705,"'","")</f>
        <v>320251370529877039</v>
      </c>
      <c r="M705">
        <v>61131</v>
      </c>
    </row>
    <row r="706" spans="1:13" x14ac:dyDescent="0.4">
      <c r="A706" s="1">
        <v>45793</v>
      </c>
      <c r="B706" t="s">
        <v>4683</v>
      </c>
      <c r="C706" t="s">
        <v>5600</v>
      </c>
      <c r="D706">
        <v>61120</v>
      </c>
      <c r="E706" t="s">
        <v>1135</v>
      </c>
      <c r="F706">
        <v>493.48</v>
      </c>
      <c r="G706" t="s">
        <v>4686</v>
      </c>
      <c r="H706" t="s">
        <v>4687</v>
      </c>
      <c r="I706">
        <v>26033</v>
      </c>
      <c r="J706">
        <v>53188</v>
      </c>
      <c r="K706" t="s">
        <v>1139</v>
      </c>
      <c r="L706" t="str">
        <f>SUBSTITUTE(K706,"'","")</f>
        <v>320251370531425614</v>
      </c>
      <c r="M706">
        <v>61120</v>
      </c>
    </row>
    <row r="707" spans="1:13" x14ac:dyDescent="0.4">
      <c r="A707" s="1">
        <v>45793</v>
      </c>
      <c r="B707" t="s">
        <v>4683</v>
      </c>
      <c r="C707" t="s">
        <v>6013</v>
      </c>
      <c r="D707">
        <v>61215</v>
      </c>
      <c r="E707" t="s">
        <v>1129</v>
      </c>
      <c r="F707">
        <v>72</v>
      </c>
      <c r="G707" t="s">
        <v>4686</v>
      </c>
      <c r="H707" t="s">
        <v>4687</v>
      </c>
      <c r="I707">
        <v>25974</v>
      </c>
      <c r="J707">
        <v>53070</v>
      </c>
      <c r="K707" t="s">
        <v>1132</v>
      </c>
      <c r="L707" t="str">
        <f>SUBSTITUTE(K707,"'","")</f>
        <v>320251370532857179</v>
      </c>
      <c r="M707">
        <v>61215</v>
      </c>
    </row>
    <row r="708" spans="1:13" x14ac:dyDescent="0.4">
      <c r="A708" s="1">
        <v>45793</v>
      </c>
      <c r="B708" t="s">
        <v>4683</v>
      </c>
      <c r="C708" t="s">
        <v>6014</v>
      </c>
      <c r="D708">
        <v>61215</v>
      </c>
      <c r="E708" t="s">
        <v>1129</v>
      </c>
      <c r="F708">
        <v>139.38999999999999</v>
      </c>
      <c r="G708" t="s">
        <v>4686</v>
      </c>
      <c r="H708" t="s">
        <v>4687</v>
      </c>
      <c r="I708">
        <v>25975</v>
      </c>
      <c r="J708">
        <v>53072</v>
      </c>
      <c r="K708" t="s">
        <v>1133</v>
      </c>
      <c r="L708" t="str">
        <f>SUBSTITUTE(K708,"'","")</f>
        <v>320251370534099242</v>
      </c>
      <c r="M708">
        <v>61215</v>
      </c>
    </row>
    <row r="709" spans="1:13" x14ac:dyDescent="0.4">
      <c r="A709" s="1">
        <v>45793</v>
      </c>
      <c r="B709" t="s">
        <v>4683</v>
      </c>
      <c r="C709" t="s">
        <v>6015</v>
      </c>
      <c r="D709">
        <v>61215</v>
      </c>
      <c r="E709" t="s">
        <v>1129</v>
      </c>
      <c r="F709">
        <v>160</v>
      </c>
      <c r="G709" t="s">
        <v>4686</v>
      </c>
      <c r="H709" t="s">
        <v>4687</v>
      </c>
      <c r="I709">
        <v>25976</v>
      </c>
      <c r="J709">
        <v>53074</v>
      </c>
      <c r="K709" t="s">
        <v>1134</v>
      </c>
      <c r="L709" t="str">
        <f>SUBSTITUTE(K709,"'","")</f>
        <v>320251370534173913</v>
      </c>
      <c r="M709">
        <v>61215</v>
      </c>
    </row>
    <row r="710" spans="1:13" x14ac:dyDescent="0.4">
      <c r="A710" s="1">
        <v>45793</v>
      </c>
      <c r="B710" t="s">
        <v>4683</v>
      </c>
      <c r="C710" t="s">
        <v>4951</v>
      </c>
      <c r="D710">
        <v>54820</v>
      </c>
      <c r="E710" t="s">
        <v>977</v>
      </c>
      <c r="F710">
        <v>50</v>
      </c>
      <c r="G710" t="s">
        <v>4686</v>
      </c>
      <c r="H710" t="s">
        <v>4687</v>
      </c>
      <c r="I710">
        <v>26470</v>
      </c>
      <c r="J710">
        <v>54062</v>
      </c>
      <c r="K710" t="s">
        <v>3891</v>
      </c>
      <c r="L710" t="str">
        <f>SUBSTITUTE(K710,"'","")</f>
        <v>320251370543709590</v>
      </c>
      <c r="M710">
        <v>54820</v>
      </c>
    </row>
    <row r="711" spans="1:13" x14ac:dyDescent="0.4">
      <c r="A711" s="1">
        <v>45793</v>
      </c>
      <c r="B711" t="s">
        <v>4683</v>
      </c>
      <c r="C711" t="s">
        <v>4952</v>
      </c>
      <c r="D711">
        <v>54820</v>
      </c>
      <c r="E711" t="s">
        <v>977</v>
      </c>
      <c r="F711">
        <v>100</v>
      </c>
      <c r="G711" t="s">
        <v>4686</v>
      </c>
      <c r="H711" t="s">
        <v>4687</v>
      </c>
      <c r="I711">
        <v>26471</v>
      </c>
      <c r="J711">
        <v>54064</v>
      </c>
      <c r="K711" t="s">
        <v>3893</v>
      </c>
      <c r="L711" t="str">
        <f>SUBSTITUTE(K711,"'","")</f>
        <v>320251370545577708</v>
      </c>
      <c r="M711">
        <v>54820</v>
      </c>
    </row>
    <row r="712" spans="1:13" x14ac:dyDescent="0.4">
      <c r="A712" s="1">
        <v>45794</v>
      </c>
      <c r="B712" t="s">
        <v>4683</v>
      </c>
      <c r="C712" t="s">
        <v>5716</v>
      </c>
      <c r="D712">
        <v>61130</v>
      </c>
      <c r="E712" t="s">
        <v>478</v>
      </c>
      <c r="F712">
        <v>43.5</v>
      </c>
      <c r="G712" t="s">
        <v>4686</v>
      </c>
      <c r="H712" t="s">
        <v>4687</v>
      </c>
      <c r="I712">
        <v>25450</v>
      </c>
      <c r="J712">
        <v>52022</v>
      </c>
      <c r="K712" t="s">
        <v>1123</v>
      </c>
      <c r="L712" t="str">
        <f>SUBSTITUTE(K712,"'","")</f>
        <v>320251370524885197</v>
      </c>
      <c r="M712">
        <v>61130</v>
      </c>
    </row>
    <row r="713" spans="1:13" x14ac:dyDescent="0.4">
      <c r="A713" s="1">
        <v>45794</v>
      </c>
      <c r="B713" t="s">
        <v>4683</v>
      </c>
      <c r="C713" t="s">
        <v>5717</v>
      </c>
      <c r="D713">
        <v>61130</v>
      </c>
      <c r="E713" t="s">
        <v>478</v>
      </c>
      <c r="F713">
        <v>49.67</v>
      </c>
      <c r="G713" t="s">
        <v>4686</v>
      </c>
      <c r="H713" t="s">
        <v>4687</v>
      </c>
      <c r="I713">
        <v>25451</v>
      </c>
      <c r="J713">
        <v>52024</v>
      </c>
      <c r="K713" t="s">
        <v>1125</v>
      </c>
      <c r="L713" t="str">
        <f>SUBSTITUTE(K713,"'","")</f>
        <v>320251370527367790</v>
      </c>
      <c r="M713">
        <v>61130</v>
      </c>
    </row>
    <row r="714" spans="1:13" x14ac:dyDescent="0.4">
      <c r="A714" s="1">
        <v>45794</v>
      </c>
      <c r="B714" t="s">
        <v>4683</v>
      </c>
      <c r="C714" t="s">
        <v>5715</v>
      </c>
      <c r="D714">
        <v>61130</v>
      </c>
      <c r="E714" t="s">
        <v>478</v>
      </c>
      <c r="F714">
        <v>29.02</v>
      </c>
      <c r="G714" t="s">
        <v>4686</v>
      </c>
      <c r="H714" t="s">
        <v>4687</v>
      </c>
      <c r="I714">
        <v>25449</v>
      </c>
      <c r="J714">
        <v>52020</v>
      </c>
      <c r="K714" t="s">
        <v>1121</v>
      </c>
      <c r="L714" t="str">
        <f>SUBSTITUTE(K714,"'","")</f>
        <v>320251370528757920</v>
      </c>
      <c r="M714">
        <v>61130</v>
      </c>
    </row>
    <row r="715" spans="1:13" x14ac:dyDescent="0.4">
      <c r="A715" s="1">
        <v>45794</v>
      </c>
      <c r="B715" t="s">
        <v>4683</v>
      </c>
      <c r="C715" t="s">
        <v>6016</v>
      </c>
      <c r="D715">
        <v>61215</v>
      </c>
      <c r="E715" t="s">
        <v>1116</v>
      </c>
      <c r="F715" s="5">
        <v>1500</v>
      </c>
      <c r="G715" t="s">
        <v>4686</v>
      </c>
      <c r="H715" t="s">
        <v>4687</v>
      </c>
      <c r="I715">
        <v>25977</v>
      </c>
      <c r="J715">
        <v>53076</v>
      </c>
      <c r="K715" t="s">
        <v>1119</v>
      </c>
      <c r="L715" t="str">
        <f>SUBSTITUTE(K715,"'","")</f>
        <v>320251370533321561</v>
      </c>
      <c r="M715">
        <v>61215</v>
      </c>
    </row>
    <row r="716" spans="1:13" x14ac:dyDescent="0.4">
      <c r="A716" s="1">
        <v>45794</v>
      </c>
      <c r="B716" t="s">
        <v>4683</v>
      </c>
      <c r="C716" t="s">
        <v>5551</v>
      </c>
      <c r="D716">
        <v>61110</v>
      </c>
      <c r="E716" t="s">
        <v>1111</v>
      </c>
      <c r="F716" s="5">
        <v>1637.6</v>
      </c>
      <c r="G716" t="s">
        <v>4686</v>
      </c>
      <c r="H716" t="s">
        <v>4687</v>
      </c>
      <c r="I716">
        <v>26014</v>
      </c>
      <c r="J716">
        <v>53150</v>
      </c>
      <c r="K716" t="s">
        <v>1115</v>
      </c>
      <c r="L716" t="str">
        <f>SUBSTITUTE(K716,"'","")</f>
        <v>320251380552968647</v>
      </c>
      <c r="M716">
        <v>61110</v>
      </c>
    </row>
    <row r="717" spans="1:13" x14ac:dyDescent="0.4">
      <c r="A717" s="1">
        <v>45794</v>
      </c>
      <c r="B717" t="s">
        <v>4683</v>
      </c>
      <c r="C717" t="s">
        <v>4956</v>
      </c>
      <c r="D717">
        <v>54820</v>
      </c>
      <c r="E717" t="s">
        <v>2764</v>
      </c>
      <c r="F717">
        <v>9.8000000000000007</v>
      </c>
      <c r="G717" t="s">
        <v>4686</v>
      </c>
      <c r="H717" t="s">
        <v>4687</v>
      </c>
      <c r="I717">
        <v>26732</v>
      </c>
      <c r="J717">
        <v>54586</v>
      </c>
      <c r="K717" t="s">
        <v>3881</v>
      </c>
      <c r="L717" t="str">
        <f>SUBSTITUTE(K717,"'","")</f>
        <v>320251380561730388</v>
      </c>
      <c r="M717">
        <v>54820</v>
      </c>
    </row>
    <row r="718" spans="1:13" x14ac:dyDescent="0.4">
      <c r="A718" s="1">
        <v>45794</v>
      </c>
      <c r="B718" t="s">
        <v>4683</v>
      </c>
      <c r="C718" t="s">
        <v>4955</v>
      </c>
      <c r="D718">
        <v>54820</v>
      </c>
      <c r="E718" t="s">
        <v>2142</v>
      </c>
      <c r="F718">
        <v>18.489999999999998</v>
      </c>
      <c r="G718" t="s">
        <v>4686</v>
      </c>
      <c r="H718" t="s">
        <v>4687</v>
      </c>
      <c r="I718">
        <v>26590</v>
      </c>
      <c r="J718">
        <v>54302</v>
      </c>
      <c r="K718" t="s">
        <v>3883</v>
      </c>
      <c r="L718" t="str">
        <f>SUBSTITUTE(K718,"'","")</f>
        <v>320251380561881502</v>
      </c>
      <c r="M718">
        <v>54820</v>
      </c>
    </row>
    <row r="719" spans="1:13" x14ac:dyDescent="0.4">
      <c r="A719" s="1">
        <v>45794</v>
      </c>
      <c r="B719" t="s">
        <v>4683</v>
      </c>
      <c r="C719" t="s">
        <v>4954</v>
      </c>
      <c r="D719">
        <v>54820</v>
      </c>
      <c r="E719" t="s">
        <v>3884</v>
      </c>
      <c r="F719">
        <v>12.01</v>
      </c>
      <c r="G719" t="s">
        <v>4686</v>
      </c>
      <c r="H719" t="s">
        <v>4687</v>
      </c>
      <c r="I719">
        <v>26545</v>
      </c>
      <c r="J719">
        <v>54212</v>
      </c>
      <c r="K719" t="s">
        <v>3887</v>
      </c>
      <c r="L719" t="str">
        <f>SUBSTITUTE(K719,"'","")</f>
        <v>320251380570951312</v>
      </c>
      <c r="M719">
        <v>54820</v>
      </c>
    </row>
    <row r="720" spans="1:13" x14ac:dyDescent="0.4">
      <c r="A720" s="1">
        <v>45794</v>
      </c>
      <c r="B720" t="s">
        <v>4683</v>
      </c>
      <c r="C720" t="s">
        <v>5902</v>
      </c>
      <c r="D720">
        <v>61131</v>
      </c>
      <c r="E720" t="s">
        <v>1106</v>
      </c>
      <c r="F720">
        <v>266.95</v>
      </c>
      <c r="G720" t="s">
        <v>4686</v>
      </c>
      <c r="H720" t="s">
        <v>4687</v>
      </c>
      <c r="I720">
        <v>25646</v>
      </c>
      <c r="J720">
        <v>52414</v>
      </c>
      <c r="K720" t="s">
        <v>1110</v>
      </c>
      <c r="L720" t="str">
        <f>SUBSTITUTE(K720,"'","")</f>
        <v>320251410637300512</v>
      </c>
      <c r="M720">
        <v>61131</v>
      </c>
    </row>
    <row r="721" spans="1:13" x14ac:dyDescent="0.4">
      <c r="A721" s="1">
        <v>45795</v>
      </c>
      <c r="B721" t="s">
        <v>4683</v>
      </c>
      <c r="C721" t="s">
        <v>4958</v>
      </c>
      <c r="D721">
        <v>54820</v>
      </c>
      <c r="E721" t="s">
        <v>977</v>
      </c>
      <c r="F721">
        <v>500</v>
      </c>
      <c r="G721" t="s">
        <v>4686</v>
      </c>
      <c r="H721" t="s">
        <v>4687</v>
      </c>
      <c r="I721">
        <v>25831</v>
      </c>
      <c r="J721">
        <v>52784</v>
      </c>
      <c r="K721" t="s">
        <v>1099</v>
      </c>
      <c r="L721" t="str">
        <f>SUBSTITUTE(K721,"'","")</f>
        <v>320251380549322935</v>
      </c>
      <c r="M721">
        <v>54820</v>
      </c>
    </row>
    <row r="722" spans="1:13" x14ac:dyDescent="0.4">
      <c r="A722" s="1">
        <v>45795</v>
      </c>
      <c r="B722" t="s">
        <v>4683</v>
      </c>
      <c r="C722" t="s">
        <v>5718</v>
      </c>
      <c r="D722">
        <v>61130</v>
      </c>
      <c r="E722" t="s">
        <v>478</v>
      </c>
      <c r="F722">
        <v>212.95</v>
      </c>
      <c r="G722" t="s">
        <v>4686</v>
      </c>
      <c r="H722" t="s">
        <v>4687</v>
      </c>
      <c r="I722">
        <v>25452</v>
      </c>
      <c r="J722">
        <v>52026</v>
      </c>
      <c r="K722" t="s">
        <v>1105</v>
      </c>
      <c r="L722" t="str">
        <f>SUBSTITUTE(K722,"'","")</f>
        <v>320251380551829267</v>
      </c>
      <c r="M722">
        <v>61130</v>
      </c>
    </row>
    <row r="723" spans="1:13" x14ac:dyDescent="0.4">
      <c r="A723" s="1">
        <v>45795</v>
      </c>
      <c r="B723" t="s">
        <v>4683</v>
      </c>
      <c r="C723" t="s">
        <v>5603</v>
      </c>
      <c r="D723">
        <v>61120</v>
      </c>
      <c r="E723" t="s">
        <v>906</v>
      </c>
      <c r="F723">
        <v>9.9499999999999993</v>
      </c>
      <c r="G723" t="s">
        <v>4686</v>
      </c>
      <c r="H723" t="s">
        <v>4687</v>
      </c>
      <c r="I723">
        <v>25798</v>
      </c>
      <c r="J723">
        <v>52718</v>
      </c>
      <c r="K723" t="s">
        <v>1103</v>
      </c>
      <c r="L723" t="str">
        <f>SUBSTITUTE(K723,"'","")</f>
        <v>320251380568619724</v>
      </c>
      <c r="M723">
        <v>61120</v>
      </c>
    </row>
    <row r="724" spans="1:13" x14ac:dyDescent="0.4">
      <c r="A724" s="1">
        <v>45795</v>
      </c>
      <c r="B724" t="s">
        <v>4683</v>
      </c>
      <c r="C724" t="s">
        <v>5602</v>
      </c>
      <c r="D724">
        <v>61120</v>
      </c>
      <c r="E724" t="s">
        <v>895</v>
      </c>
      <c r="F724">
        <v>9.9499999999999993</v>
      </c>
      <c r="G724" t="s">
        <v>4686</v>
      </c>
      <c r="H724" t="s">
        <v>4687</v>
      </c>
      <c r="I724">
        <v>25783</v>
      </c>
      <c r="J724">
        <v>52688</v>
      </c>
      <c r="K724" t="s">
        <v>1095</v>
      </c>
      <c r="L724" t="str">
        <f>SUBSTITUTE(K724,"'","")</f>
        <v>320251380568619725</v>
      </c>
      <c r="M724">
        <v>61120</v>
      </c>
    </row>
    <row r="725" spans="1:13" x14ac:dyDescent="0.4">
      <c r="A725" s="1">
        <v>45795</v>
      </c>
      <c r="B725" t="s">
        <v>4683</v>
      </c>
      <c r="C725" t="s">
        <v>5601</v>
      </c>
      <c r="D725">
        <v>61120</v>
      </c>
      <c r="E725" t="s">
        <v>888</v>
      </c>
      <c r="F725">
        <v>14</v>
      </c>
      <c r="G725" t="s">
        <v>4686</v>
      </c>
      <c r="H725" t="s">
        <v>4687</v>
      </c>
      <c r="I725">
        <v>25782</v>
      </c>
      <c r="J725">
        <v>52686</v>
      </c>
      <c r="K725" t="s">
        <v>1093</v>
      </c>
      <c r="L725" t="str">
        <f>SUBSTITUTE(K725,"'","")</f>
        <v>320251380568619726</v>
      </c>
      <c r="M725">
        <v>61120</v>
      </c>
    </row>
    <row r="726" spans="1:13" x14ac:dyDescent="0.4">
      <c r="A726" s="1">
        <v>45795</v>
      </c>
      <c r="B726" t="s">
        <v>4683</v>
      </c>
      <c r="C726" t="s">
        <v>5903</v>
      </c>
      <c r="D726">
        <v>61131</v>
      </c>
      <c r="E726" t="s">
        <v>317</v>
      </c>
      <c r="F726">
        <v>24.95</v>
      </c>
      <c r="G726" t="s">
        <v>4686</v>
      </c>
      <c r="H726" t="s">
        <v>4687</v>
      </c>
      <c r="I726">
        <v>25647</v>
      </c>
      <c r="J726">
        <v>52416</v>
      </c>
      <c r="K726" t="s">
        <v>1101</v>
      </c>
      <c r="L726" t="str">
        <f>SUBSTITUTE(K726,"'","")</f>
        <v>320251380568619727</v>
      </c>
      <c r="M726">
        <v>61131</v>
      </c>
    </row>
    <row r="727" spans="1:13" x14ac:dyDescent="0.4">
      <c r="A727" s="1">
        <v>45795</v>
      </c>
      <c r="B727" t="s">
        <v>4683</v>
      </c>
      <c r="C727" t="s">
        <v>4959</v>
      </c>
      <c r="D727">
        <v>54820</v>
      </c>
      <c r="E727" t="s">
        <v>2934</v>
      </c>
      <c r="F727">
        <v>13.01</v>
      </c>
      <c r="G727" t="s">
        <v>4686</v>
      </c>
      <c r="H727" t="s">
        <v>4687</v>
      </c>
      <c r="I727">
        <v>26546</v>
      </c>
      <c r="J727">
        <v>54214</v>
      </c>
      <c r="K727" t="s">
        <v>3879</v>
      </c>
      <c r="L727" t="str">
        <f>SUBSTITUTE(K727,"'","")</f>
        <v>320251390579431663</v>
      </c>
      <c r="M727">
        <v>54820</v>
      </c>
    </row>
    <row r="728" spans="1:13" x14ac:dyDescent="0.4">
      <c r="A728" s="1">
        <v>45795</v>
      </c>
      <c r="B728" t="s">
        <v>4683</v>
      </c>
      <c r="C728" t="s">
        <v>4957</v>
      </c>
      <c r="D728">
        <v>54820</v>
      </c>
      <c r="E728" t="s">
        <v>977</v>
      </c>
      <c r="F728">
        <v>50</v>
      </c>
      <c r="G728" t="s">
        <v>4686</v>
      </c>
      <c r="H728" t="s">
        <v>4687</v>
      </c>
      <c r="I728">
        <v>25830</v>
      </c>
      <c r="J728">
        <v>52782</v>
      </c>
      <c r="K728" t="s">
        <v>1097</v>
      </c>
      <c r="L728" t="str">
        <f>SUBSTITUTE(K728,"'","")</f>
        <v>320251390591467126</v>
      </c>
      <c r="M728">
        <v>54820</v>
      </c>
    </row>
    <row r="729" spans="1:13" x14ac:dyDescent="0.4">
      <c r="A729" s="1">
        <v>45796</v>
      </c>
      <c r="B729" t="s">
        <v>4683</v>
      </c>
      <c r="C729" t="s">
        <v>4962</v>
      </c>
      <c r="D729">
        <v>54820</v>
      </c>
      <c r="E729" t="s">
        <v>977</v>
      </c>
      <c r="F729">
        <v>500</v>
      </c>
      <c r="G729" t="s">
        <v>4686</v>
      </c>
      <c r="H729" t="s">
        <v>4687</v>
      </c>
      <c r="I729">
        <v>25834</v>
      </c>
      <c r="J729">
        <v>52790</v>
      </c>
      <c r="K729" t="s">
        <v>1087</v>
      </c>
      <c r="L729" t="str">
        <f>SUBSTITUTE(K729,"'","")</f>
        <v>320251390575615233</v>
      </c>
      <c r="M729">
        <v>54820</v>
      </c>
    </row>
    <row r="730" spans="1:13" x14ac:dyDescent="0.4">
      <c r="A730" s="1">
        <v>45796</v>
      </c>
      <c r="B730" t="s">
        <v>4683</v>
      </c>
      <c r="C730" t="s">
        <v>4964</v>
      </c>
      <c r="D730">
        <v>54820</v>
      </c>
      <c r="E730" t="s">
        <v>3866</v>
      </c>
      <c r="F730">
        <v>8.35</v>
      </c>
      <c r="G730" t="s">
        <v>4686</v>
      </c>
      <c r="H730" t="s">
        <v>4687</v>
      </c>
      <c r="I730">
        <v>26659</v>
      </c>
      <c r="J730">
        <v>54440</v>
      </c>
      <c r="K730" t="s">
        <v>3869</v>
      </c>
      <c r="L730" t="str">
        <f>SUBSTITUTE(K730,"'","")</f>
        <v>320251390580416177</v>
      </c>
      <c r="M730">
        <v>54820</v>
      </c>
    </row>
    <row r="731" spans="1:13" x14ac:dyDescent="0.4">
      <c r="A731" s="1">
        <v>45796</v>
      </c>
      <c r="B731" t="s">
        <v>4683</v>
      </c>
      <c r="C731" t="s">
        <v>4963</v>
      </c>
      <c r="D731">
        <v>54820</v>
      </c>
      <c r="E731" t="s">
        <v>3858</v>
      </c>
      <c r="F731">
        <v>31</v>
      </c>
      <c r="G731" t="s">
        <v>4686</v>
      </c>
      <c r="H731" t="s">
        <v>4687</v>
      </c>
      <c r="I731">
        <v>26305</v>
      </c>
      <c r="J731">
        <v>53732</v>
      </c>
      <c r="K731" t="s">
        <v>3860</v>
      </c>
      <c r="L731" t="str">
        <f>SUBSTITUTE(K731,"'","")</f>
        <v>320251390591006538</v>
      </c>
      <c r="M731">
        <v>54820</v>
      </c>
    </row>
    <row r="732" spans="1:13" x14ac:dyDescent="0.4">
      <c r="A732" s="1">
        <v>45796</v>
      </c>
      <c r="B732" t="s">
        <v>4683</v>
      </c>
      <c r="C732" t="s">
        <v>4966</v>
      </c>
      <c r="D732">
        <v>54820</v>
      </c>
      <c r="E732" t="s">
        <v>3870</v>
      </c>
      <c r="F732">
        <v>26</v>
      </c>
      <c r="G732" t="s">
        <v>4686</v>
      </c>
      <c r="H732" t="s">
        <v>4687</v>
      </c>
      <c r="I732">
        <v>26958</v>
      </c>
      <c r="J732">
        <v>55038</v>
      </c>
      <c r="K732" t="s">
        <v>3873</v>
      </c>
      <c r="L732" t="str">
        <f>SUBSTITUTE(K732,"'","")</f>
        <v>320251390598398049</v>
      </c>
      <c r="M732">
        <v>54820</v>
      </c>
    </row>
    <row r="733" spans="1:13" x14ac:dyDescent="0.4">
      <c r="A733" s="1">
        <v>45796</v>
      </c>
      <c r="B733" t="s">
        <v>4683</v>
      </c>
      <c r="C733" t="s">
        <v>4967</v>
      </c>
      <c r="D733">
        <v>54820</v>
      </c>
      <c r="E733" t="s">
        <v>3874</v>
      </c>
      <c r="F733">
        <v>60.92</v>
      </c>
      <c r="G733" t="s">
        <v>4686</v>
      </c>
      <c r="H733" t="s">
        <v>4687</v>
      </c>
      <c r="I733">
        <v>26959</v>
      </c>
      <c r="J733">
        <v>55040</v>
      </c>
      <c r="K733" t="s">
        <v>3877</v>
      </c>
      <c r="L733" t="str">
        <f>SUBSTITUTE(K733,"'","")</f>
        <v>320251400611818222</v>
      </c>
      <c r="M733">
        <v>54820</v>
      </c>
    </row>
    <row r="734" spans="1:13" x14ac:dyDescent="0.4">
      <c r="A734" s="1">
        <v>45796</v>
      </c>
      <c r="B734" t="s">
        <v>4683</v>
      </c>
      <c r="C734" t="s">
        <v>5904</v>
      </c>
      <c r="D734">
        <v>61131</v>
      </c>
      <c r="E734" t="s">
        <v>327</v>
      </c>
      <c r="F734">
        <v>29.5</v>
      </c>
      <c r="G734" t="s">
        <v>4686</v>
      </c>
      <c r="H734" t="s">
        <v>4687</v>
      </c>
      <c r="I734">
        <v>25734</v>
      </c>
      <c r="J734">
        <v>52590</v>
      </c>
      <c r="K734" t="s">
        <v>1089</v>
      </c>
      <c r="L734" t="str">
        <f>SUBSTITUTE(K734,"'","")</f>
        <v>320251400614089376</v>
      </c>
      <c r="M734">
        <v>61131</v>
      </c>
    </row>
    <row r="735" spans="1:13" x14ac:dyDescent="0.4">
      <c r="A735" s="1">
        <v>45796</v>
      </c>
      <c r="B735" t="s">
        <v>4683</v>
      </c>
      <c r="C735" t="s">
        <v>4965</v>
      </c>
      <c r="D735">
        <v>54820</v>
      </c>
      <c r="E735" t="s">
        <v>3861</v>
      </c>
      <c r="F735">
        <v>9.91</v>
      </c>
      <c r="G735" t="s">
        <v>4686</v>
      </c>
      <c r="H735" t="s">
        <v>4687</v>
      </c>
      <c r="I735">
        <v>26957</v>
      </c>
      <c r="J735">
        <v>55036</v>
      </c>
      <c r="K735" t="s">
        <v>3864</v>
      </c>
      <c r="L735" t="str">
        <f>SUBSTITUTE(K735,"'","")</f>
        <v>320251400614417116</v>
      </c>
      <c r="M735">
        <v>54820</v>
      </c>
    </row>
    <row r="736" spans="1:13" x14ac:dyDescent="0.4">
      <c r="A736" s="1">
        <v>45796</v>
      </c>
      <c r="B736" t="s">
        <v>4683</v>
      </c>
      <c r="C736" t="s">
        <v>4960</v>
      </c>
      <c r="D736">
        <v>54820</v>
      </c>
      <c r="E736" t="s">
        <v>977</v>
      </c>
      <c r="F736">
        <v>250</v>
      </c>
      <c r="G736" t="s">
        <v>4686</v>
      </c>
      <c r="H736" t="s">
        <v>4687</v>
      </c>
      <c r="I736">
        <v>25832</v>
      </c>
      <c r="J736">
        <v>52786</v>
      </c>
      <c r="K736" t="s">
        <v>1083</v>
      </c>
      <c r="L736" t="str">
        <f>SUBSTITUTE(K736,"'","")</f>
        <v>320251400617028869</v>
      </c>
      <c r="M736">
        <v>54820</v>
      </c>
    </row>
    <row r="737" spans="1:13" x14ac:dyDescent="0.4">
      <c r="A737" s="1">
        <v>45796</v>
      </c>
      <c r="B737" t="s">
        <v>4683</v>
      </c>
      <c r="C737" t="s">
        <v>4961</v>
      </c>
      <c r="D737">
        <v>54820</v>
      </c>
      <c r="E737" t="s">
        <v>977</v>
      </c>
      <c r="F737">
        <v>250</v>
      </c>
      <c r="G737" t="s">
        <v>4686</v>
      </c>
      <c r="H737" t="s">
        <v>4687</v>
      </c>
      <c r="I737">
        <v>25833</v>
      </c>
      <c r="J737">
        <v>52788</v>
      </c>
      <c r="K737" t="s">
        <v>1085</v>
      </c>
      <c r="L737" t="str">
        <f>SUBSTITUTE(K737,"'","")</f>
        <v>320251400620130946</v>
      </c>
      <c r="M737">
        <v>54820</v>
      </c>
    </row>
    <row r="738" spans="1:13" x14ac:dyDescent="0.4">
      <c r="A738" s="1">
        <v>45796</v>
      </c>
      <c r="B738" t="s">
        <v>4683</v>
      </c>
      <c r="C738" t="s">
        <v>6058</v>
      </c>
      <c r="D738">
        <v>63100</v>
      </c>
      <c r="E738" t="s">
        <v>57</v>
      </c>
      <c r="F738">
        <v>50.07</v>
      </c>
      <c r="G738" t="s">
        <v>4686</v>
      </c>
      <c r="H738" t="s">
        <v>4687</v>
      </c>
      <c r="I738">
        <v>25665</v>
      </c>
      <c r="J738">
        <v>52452</v>
      </c>
      <c r="K738" t="s">
        <v>1091</v>
      </c>
      <c r="L738" t="str">
        <f>SUBSTITUTE(K738,"'","")</f>
        <v>320251400624236276</v>
      </c>
      <c r="M738">
        <v>63100</v>
      </c>
    </row>
    <row r="739" spans="1:13" x14ac:dyDescent="0.4">
      <c r="A739" s="1">
        <v>45797</v>
      </c>
      <c r="B739" t="s">
        <v>4683</v>
      </c>
      <c r="C739" t="s">
        <v>4975</v>
      </c>
      <c r="D739">
        <v>54820</v>
      </c>
      <c r="E739" t="s">
        <v>2125</v>
      </c>
      <c r="F739">
        <v>13.9</v>
      </c>
      <c r="G739" t="s">
        <v>4686</v>
      </c>
      <c r="H739" t="s">
        <v>4687</v>
      </c>
      <c r="I739">
        <v>26529</v>
      </c>
      <c r="J739">
        <v>54180</v>
      </c>
      <c r="K739" t="s">
        <v>3857</v>
      </c>
      <c r="L739" t="str">
        <f>SUBSTITUTE(K739,"'","")</f>
        <v>320251400608812830</v>
      </c>
      <c r="M739">
        <v>54820</v>
      </c>
    </row>
    <row r="740" spans="1:13" x14ac:dyDescent="0.4">
      <c r="A740" s="1">
        <v>45797</v>
      </c>
      <c r="B740" t="s">
        <v>4683</v>
      </c>
      <c r="C740" t="s">
        <v>4976</v>
      </c>
      <c r="D740">
        <v>54820</v>
      </c>
      <c r="E740" t="s">
        <v>2934</v>
      </c>
      <c r="F740">
        <v>13.01</v>
      </c>
      <c r="G740" t="s">
        <v>4686</v>
      </c>
      <c r="H740" t="s">
        <v>4687</v>
      </c>
      <c r="I740">
        <v>26547</v>
      </c>
      <c r="J740">
        <v>54216</v>
      </c>
      <c r="K740" t="s">
        <v>3855</v>
      </c>
      <c r="L740" t="str">
        <f>SUBSTITUTE(K740,"'","")</f>
        <v>320251410635756865</v>
      </c>
      <c r="M740">
        <v>54820</v>
      </c>
    </row>
    <row r="741" spans="1:13" x14ac:dyDescent="0.4">
      <c r="A741" s="1">
        <v>45797</v>
      </c>
      <c r="B741" t="s">
        <v>4683</v>
      </c>
      <c r="C741" t="s">
        <v>6059</v>
      </c>
      <c r="D741">
        <v>63100</v>
      </c>
      <c r="E741" t="s">
        <v>1078</v>
      </c>
      <c r="F741">
        <v>46.81</v>
      </c>
      <c r="G741" t="s">
        <v>4686</v>
      </c>
      <c r="H741" t="s">
        <v>4687</v>
      </c>
      <c r="I741">
        <v>25556</v>
      </c>
      <c r="J741">
        <v>52234</v>
      </c>
      <c r="K741" t="s">
        <v>1080</v>
      </c>
      <c r="L741" t="str">
        <f>SUBSTITUTE(K741,"'","")</f>
        <v>320251410647166706</v>
      </c>
      <c r="M741">
        <v>63100</v>
      </c>
    </row>
    <row r="742" spans="1:13" x14ac:dyDescent="0.4">
      <c r="A742" s="1">
        <v>45797</v>
      </c>
      <c r="B742" t="s">
        <v>4683</v>
      </c>
      <c r="C742" t="s">
        <v>4971</v>
      </c>
      <c r="D742">
        <v>54820</v>
      </c>
      <c r="E742" t="s">
        <v>977</v>
      </c>
      <c r="F742">
        <v>500</v>
      </c>
      <c r="G742" t="s">
        <v>4686</v>
      </c>
      <c r="H742" t="s">
        <v>4687</v>
      </c>
      <c r="I742">
        <v>25838</v>
      </c>
      <c r="J742">
        <v>52798</v>
      </c>
      <c r="K742" t="s">
        <v>1071</v>
      </c>
      <c r="L742" t="str">
        <f>SUBSTITUTE(K742,"'","")</f>
        <v>320251410649009142</v>
      </c>
      <c r="M742">
        <v>54820</v>
      </c>
    </row>
    <row r="743" spans="1:13" x14ac:dyDescent="0.4">
      <c r="A743" s="1">
        <v>45797</v>
      </c>
      <c r="B743" t="s">
        <v>4683</v>
      </c>
      <c r="C743" t="s">
        <v>4972</v>
      </c>
      <c r="D743">
        <v>54820</v>
      </c>
      <c r="E743" t="s">
        <v>977</v>
      </c>
      <c r="F743">
        <v>500</v>
      </c>
      <c r="G743" t="s">
        <v>4686</v>
      </c>
      <c r="H743" t="s">
        <v>4687</v>
      </c>
      <c r="I743">
        <v>25839</v>
      </c>
      <c r="J743">
        <v>52800</v>
      </c>
      <c r="K743" t="s">
        <v>1073</v>
      </c>
      <c r="L743" t="str">
        <f>SUBSTITUTE(K743,"'","")</f>
        <v>320251410649010291</v>
      </c>
      <c r="M743">
        <v>54820</v>
      </c>
    </row>
    <row r="744" spans="1:13" x14ac:dyDescent="0.4">
      <c r="A744" s="1">
        <v>45797</v>
      </c>
      <c r="B744" t="s">
        <v>4683</v>
      </c>
      <c r="C744" t="s">
        <v>4968</v>
      </c>
      <c r="D744">
        <v>54820</v>
      </c>
      <c r="E744" t="s">
        <v>977</v>
      </c>
      <c r="F744">
        <v>250</v>
      </c>
      <c r="G744" t="s">
        <v>4686</v>
      </c>
      <c r="H744" t="s">
        <v>4687</v>
      </c>
      <c r="I744">
        <v>25835</v>
      </c>
      <c r="J744">
        <v>52792</v>
      </c>
      <c r="K744" t="s">
        <v>1065</v>
      </c>
      <c r="L744" t="str">
        <f>SUBSTITUTE(K744,"'","")</f>
        <v>320251410649010722</v>
      </c>
      <c r="M744">
        <v>54820</v>
      </c>
    </row>
    <row r="745" spans="1:13" x14ac:dyDescent="0.4">
      <c r="A745" s="1">
        <v>45797</v>
      </c>
      <c r="B745" t="s">
        <v>4683</v>
      </c>
      <c r="C745" t="s">
        <v>4973</v>
      </c>
      <c r="D745">
        <v>54820</v>
      </c>
      <c r="E745" t="s">
        <v>977</v>
      </c>
      <c r="F745">
        <v>500</v>
      </c>
      <c r="G745" t="s">
        <v>4686</v>
      </c>
      <c r="H745" t="s">
        <v>4687</v>
      </c>
      <c r="I745">
        <v>25840</v>
      </c>
      <c r="J745">
        <v>52802</v>
      </c>
      <c r="K745" t="s">
        <v>1075</v>
      </c>
      <c r="L745" t="str">
        <f>SUBSTITUTE(K745,"'","")</f>
        <v>320251410649011519</v>
      </c>
      <c r="M745">
        <v>54820</v>
      </c>
    </row>
    <row r="746" spans="1:13" x14ac:dyDescent="0.4">
      <c r="A746" s="1">
        <v>45797</v>
      </c>
      <c r="B746" t="s">
        <v>4683</v>
      </c>
      <c r="C746" t="s">
        <v>4969</v>
      </c>
      <c r="D746">
        <v>54820</v>
      </c>
      <c r="E746" t="s">
        <v>977</v>
      </c>
      <c r="F746">
        <v>250</v>
      </c>
      <c r="G746" t="s">
        <v>4686</v>
      </c>
      <c r="H746" t="s">
        <v>4687</v>
      </c>
      <c r="I746">
        <v>25836</v>
      </c>
      <c r="J746">
        <v>52794</v>
      </c>
      <c r="K746" t="s">
        <v>1067</v>
      </c>
      <c r="L746" t="str">
        <f>SUBSTITUTE(K746,"'","")</f>
        <v>320251410649015057</v>
      </c>
      <c r="M746">
        <v>54820</v>
      </c>
    </row>
    <row r="747" spans="1:13" x14ac:dyDescent="0.4">
      <c r="A747" s="1">
        <v>45797</v>
      </c>
      <c r="B747" t="s">
        <v>4683</v>
      </c>
      <c r="C747" t="s">
        <v>4970</v>
      </c>
      <c r="D747">
        <v>54820</v>
      </c>
      <c r="E747" t="s">
        <v>977</v>
      </c>
      <c r="F747">
        <v>250</v>
      </c>
      <c r="G747" t="s">
        <v>4686</v>
      </c>
      <c r="H747" t="s">
        <v>4687</v>
      </c>
      <c r="I747">
        <v>25837</v>
      </c>
      <c r="J747">
        <v>52796</v>
      </c>
      <c r="K747" t="s">
        <v>1069</v>
      </c>
      <c r="L747" t="str">
        <f>SUBSTITUTE(K747,"'","")</f>
        <v>320251410649015390</v>
      </c>
      <c r="M747">
        <v>54820</v>
      </c>
    </row>
    <row r="748" spans="1:13" x14ac:dyDescent="0.4">
      <c r="A748" s="1">
        <v>45797</v>
      </c>
      <c r="B748" t="s">
        <v>4683</v>
      </c>
      <c r="C748" t="s">
        <v>4974</v>
      </c>
      <c r="D748">
        <v>54820</v>
      </c>
      <c r="E748" t="s">
        <v>977</v>
      </c>
      <c r="F748">
        <v>500</v>
      </c>
      <c r="G748" t="s">
        <v>4686</v>
      </c>
      <c r="H748" t="s">
        <v>4687</v>
      </c>
      <c r="I748">
        <v>25841</v>
      </c>
      <c r="J748">
        <v>52804</v>
      </c>
      <c r="K748" t="s">
        <v>1077</v>
      </c>
      <c r="L748" t="str">
        <f>SUBSTITUTE(K748,"'","")</f>
        <v>320251410649016152</v>
      </c>
      <c r="M748">
        <v>54820</v>
      </c>
    </row>
    <row r="749" spans="1:13" x14ac:dyDescent="0.4">
      <c r="A749" s="1">
        <v>45798</v>
      </c>
      <c r="B749" t="s">
        <v>4683</v>
      </c>
      <c r="C749" t="s">
        <v>4988</v>
      </c>
      <c r="D749">
        <v>54820</v>
      </c>
      <c r="E749" t="s">
        <v>977</v>
      </c>
      <c r="F749" s="5">
        <v>2000</v>
      </c>
      <c r="G749" t="s">
        <v>4686</v>
      </c>
      <c r="H749" t="s">
        <v>4687</v>
      </c>
      <c r="I749">
        <v>25853</v>
      </c>
      <c r="J749">
        <v>52828</v>
      </c>
      <c r="K749" t="s">
        <v>1057</v>
      </c>
      <c r="L749" t="str">
        <f>SUBSTITUTE(K749,"'","")</f>
        <v>320251410631536815</v>
      </c>
      <c r="M749">
        <v>54820</v>
      </c>
    </row>
    <row r="750" spans="1:13" x14ac:dyDescent="0.4">
      <c r="A750" s="1">
        <v>45798</v>
      </c>
      <c r="B750" t="s">
        <v>4683</v>
      </c>
      <c r="C750" t="s">
        <v>4977</v>
      </c>
      <c r="D750">
        <v>54820</v>
      </c>
      <c r="E750" t="s">
        <v>977</v>
      </c>
      <c r="F750">
        <v>50</v>
      </c>
      <c r="G750" t="s">
        <v>4686</v>
      </c>
      <c r="H750" t="s">
        <v>4687</v>
      </c>
      <c r="I750">
        <v>25842</v>
      </c>
      <c r="J750">
        <v>52806</v>
      </c>
      <c r="K750" t="s">
        <v>1035</v>
      </c>
      <c r="L750" t="str">
        <f>SUBSTITUTE(K750,"'","")</f>
        <v>320251410633037949</v>
      </c>
      <c r="M750">
        <v>54820</v>
      </c>
    </row>
    <row r="751" spans="1:13" x14ac:dyDescent="0.4">
      <c r="A751" s="1">
        <v>45798</v>
      </c>
      <c r="B751" t="s">
        <v>4683</v>
      </c>
      <c r="C751" t="s">
        <v>4978</v>
      </c>
      <c r="D751">
        <v>54820</v>
      </c>
      <c r="E751" t="s">
        <v>977</v>
      </c>
      <c r="F751">
        <v>250</v>
      </c>
      <c r="G751" t="s">
        <v>4686</v>
      </c>
      <c r="H751" t="s">
        <v>4687</v>
      </c>
      <c r="I751">
        <v>25843</v>
      </c>
      <c r="J751">
        <v>52808</v>
      </c>
      <c r="K751" t="s">
        <v>1037</v>
      </c>
      <c r="L751" t="str">
        <f>SUBSTITUTE(K751,"'","")</f>
        <v>320251410633038428</v>
      </c>
      <c r="M751">
        <v>54820</v>
      </c>
    </row>
    <row r="752" spans="1:13" x14ac:dyDescent="0.4">
      <c r="A752" s="1">
        <v>45798</v>
      </c>
      <c r="B752" t="s">
        <v>4683</v>
      </c>
      <c r="C752" t="s">
        <v>4979</v>
      </c>
      <c r="D752">
        <v>54820</v>
      </c>
      <c r="E752" t="s">
        <v>977</v>
      </c>
      <c r="F752">
        <v>250</v>
      </c>
      <c r="G752" t="s">
        <v>4686</v>
      </c>
      <c r="H752" t="s">
        <v>4687</v>
      </c>
      <c r="I752">
        <v>25844</v>
      </c>
      <c r="J752">
        <v>52810</v>
      </c>
      <c r="K752" t="s">
        <v>1039</v>
      </c>
      <c r="L752" t="str">
        <f>SUBSTITUTE(K752,"'","")</f>
        <v>320251410633072756</v>
      </c>
      <c r="M752">
        <v>54820</v>
      </c>
    </row>
    <row r="753" spans="1:13" x14ac:dyDescent="0.4">
      <c r="A753" s="1">
        <v>45798</v>
      </c>
      <c r="B753" t="s">
        <v>4683</v>
      </c>
      <c r="C753" t="s">
        <v>4980</v>
      </c>
      <c r="D753">
        <v>54820</v>
      </c>
      <c r="E753" t="s">
        <v>977</v>
      </c>
      <c r="F753">
        <v>250</v>
      </c>
      <c r="G753" t="s">
        <v>4686</v>
      </c>
      <c r="H753" t="s">
        <v>4687</v>
      </c>
      <c r="I753">
        <v>25845</v>
      </c>
      <c r="J753">
        <v>52812</v>
      </c>
      <c r="K753" t="s">
        <v>1041</v>
      </c>
      <c r="L753" t="str">
        <f>SUBSTITUTE(K753,"'","")</f>
        <v>320251410633073455</v>
      </c>
      <c r="M753">
        <v>54820</v>
      </c>
    </row>
    <row r="754" spans="1:13" x14ac:dyDescent="0.4">
      <c r="A754" s="1">
        <v>45798</v>
      </c>
      <c r="B754" t="s">
        <v>4683</v>
      </c>
      <c r="C754" t="s">
        <v>6478</v>
      </c>
      <c r="D754">
        <v>67500</v>
      </c>
      <c r="E754" t="s">
        <v>885</v>
      </c>
      <c r="F754">
        <v>49.13</v>
      </c>
      <c r="G754" t="s">
        <v>4686</v>
      </c>
      <c r="H754" t="s">
        <v>4687</v>
      </c>
      <c r="I754">
        <v>25872</v>
      </c>
      <c r="J754">
        <v>52866</v>
      </c>
      <c r="K754" t="s">
        <v>1061</v>
      </c>
      <c r="L754" t="str">
        <f>SUBSTITUTE(K754,"'","")</f>
        <v>320251410633475445</v>
      </c>
      <c r="M754">
        <v>67500</v>
      </c>
    </row>
    <row r="755" spans="1:13" x14ac:dyDescent="0.4">
      <c r="A755" s="1">
        <v>45798</v>
      </c>
      <c r="B755" t="s">
        <v>4683</v>
      </c>
      <c r="C755" t="s">
        <v>5719</v>
      </c>
      <c r="D755">
        <v>61130</v>
      </c>
      <c r="E755" t="s">
        <v>478</v>
      </c>
      <c r="F755">
        <v>9.57</v>
      </c>
      <c r="G755" t="s">
        <v>4686</v>
      </c>
      <c r="H755" t="s">
        <v>4687</v>
      </c>
      <c r="I755">
        <v>25453</v>
      </c>
      <c r="J755">
        <v>52028</v>
      </c>
      <c r="K755" t="s">
        <v>1063</v>
      </c>
      <c r="L755" t="str">
        <f>SUBSTITUTE(K755,"'","")</f>
        <v>320251410636686844</v>
      </c>
      <c r="M755">
        <v>61130</v>
      </c>
    </row>
    <row r="756" spans="1:13" x14ac:dyDescent="0.4">
      <c r="A756" s="1">
        <v>45798</v>
      </c>
      <c r="B756" t="s">
        <v>4683</v>
      </c>
      <c r="C756" t="s">
        <v>4987</v>
      </c>
      <c r="D756">
        <v>54820</v>
      </c>
      <c r="E756" t="s">
        <v>977</v>
      </c>
      <c r="F756" s="5">
        <v>1000</v>
      </c>
      <c r="G756" t="s">
        <v>4686</v>
      </c>
      <c r="H756" t="s">
        <v>4687</v>
      </c>
      <c r="I756">
        <v>25852</v>
      </c>
      <c r="J756">
        <v>52826</v>
      </c>
      <c r="K756" t="s">
        <v>1055</v>
      </c>
      <c r="L756" t="str">
        <f>SUBSTITUTE(K756,"'","")</f>
        <v>320251420667549134</v>
      </c>
      <c r="M756">
        <v>54820</v>
      </c>
    </row>
    <row r="757" spans="1:13" x14ac:dyDescent="0.4">
      <c r="A757" s="1">
        <v>45798</v>
      </c>
      <c r="B757" t="s">
        <v>4683</v>
      </c>
      <c r="C757" t="s">
        <v>6201</v>
      </c>
      <c r="D757">
        <v>64100</v>
      </c>
      <c r="E757" t="s">
        <v>3850</v>
      </c>
      <c r="F757">
        <v>15</v>
      </c>
      <c r="G757" t="s">
        <v>4686</v>
      </c>
      <c r="H757" t="s">
        <v>4687</v>
      </c>
      <c r="I757">
        <v>26662</v>
      </c>
      <c r="J757">
        <v>54446</v>
      </c>
      <c r="K757" t="s">
        <v>3852</v>
      </c>
      <c r="L757" t="str">
        <f>SUBSTITUTE(K757,"'","")</f>
        <v>320251420670188684</v>
      </c>
      <c r="M757">
        <v>64100</v>
      </c>
    </row>
    <row r="758" spans="1:13" x14ac:dyDescent="0.4">
      <c r="A758" s="1">
        <v>45798</v>
      </c>
      <c r="B758" t="s">
        <v>4683</v>
      </c>
      <c r="C758" t="s">
        <v>4983</v>
      </c>
      <c r="D758">
        <v>54820</v>
      </c>
      <c r="E758" t="s">
        <v>977</v>
      </c>
      <c r="F758">
        <v>500</v>
      </c>
      <c r="G758" t="s">
        <v>4686</v>
      </c>
      <c r="H758" t="s">
        <v>4687</v>
      </c>
      <c r="I758">
        <v>25848</v>
      </c>
      <c r="J758">
        <v>52818</v>
      </c>
      <c r="K758" t="s">
        <v>1047</v>
      </c>
      <c r="L758" t="str">
        <f>SUBSTITUTE(K758,"'","")</f>
        <v>320251420671874734</v>
      </c>
      <c r="M758">
        <v>54820</v>
      </c>
    </row>
    <row r="759" spans="1:13" x14ac:dyDescent="0.4">
      <c r="A759" s="1">
        <v>45798</v>
      </c>
      <c r="B759" t="s">
        <v>4683</v>
      </c>
      <c r="C759" t="s">
        <v>4984</v>
      </c>
      <c r="D759">
        <v>54820</v>
      </c>
      <c r="E759" t="s">
        <v>977</v>
      </c>
      <c r="F759">
        <v>500</v>
      </c>
      <c r="G759" t="s">
        <v>4686</v>
      </c>
      <c r="H759" t="s">
        <v>4687</v>
      </c>
      <c r="I759">
        <v>25849</v>
      </c>
      <c r="J759">
        <v>52820</v>
      </c>
      <c r="K759" t="s">
        <v>1049</v>
      </c>
      <c r="L759" t="str">
        <f>SUBSTITUTE(K759,"'","")</f>
        <v>320251420671908695</v>
      </c>
      <c r="M759">
        <v>54820</v>
      </c>
    </row>
    <row r="760" spans="1:13" x14ac:dyDescent="0.4">
      <c r="A760" s="1">
        <v>45798</v>
      </c>
      <c r="B760" t="s">
        <v>4683</v>
      </c>
      <c r="C760" t="s">
        <v>4981</v>
      </c>
      <c r="D760">
        <v>54820</v>
      </c>
      <c r="E760" t="s">
        <v>977</v>
      </c>
      <c r="F760">
        <v>250</v>
      </c>
      <c r="G760" t="s">
        <v>4686</v>
      </c>
      <c r="H760" t="s">
        <v>4687</v>
      </c>
      <c r="I760">
        <v>25846</v>
      </c>
      <c r="J760">
        <v>52814</v>
      </c>
      <c r="K760" t="s">
        <v>1043</v>
      </c>
      <c r="L760" t="str">
        <f>SUBSTITUTE(K760,"'","")</f>
        <v>320251420674016674</v>
      </c>
      <c r="M760">
        <v>54820</v>
      </c>
    </row>
    <row r="761" spans="1:13" x14ac:dyDescent="0.4">
      <c r="A761" s="1">
        <v>45798</v>
      </c>
      <c r="B761" t="s">
        <v>4683</v>
      </c>
      <c r="C761" t="s">
        <v>4982</v>
      </c>
      <c r="D761">
        <v>54820</v>
      </c>
      <c r="E761" t="s">
        <v>977</v>
      </c>
      <c r="F761">
        <v>250</v>
      </c>
      <c r="G761" t="s">
        <v>4686</v>
      </c>
      <c r="H761" t="s">
        <v>4687</v>
      </c>
      <c r="I761">
        <v>25847</v>
      </c>
      <c r="J761">
        <v>52816</v>
      </c>
      <c r="K761" t="s">
        <v>1045</v>
      </c>
      <c r="L761" t="str">
        <f>SUBSTITUTE(K761,"'","")</f>
        <v>320251420674019780</v>
      </c>
      <c r="M761">
        <v>54820</v>
      </c>
    </row>
    <row r="762" spans="1:13" x14ac:dyDescent="0.4">
      <c r="A762" s="1">
        <v>45798</v>
      </c>
      <c r="B762" t="s">
        <v>4683</v>
      </c>
      <c r="C762" t="s">
        <v>4985</v>
      </c>
      <c r="D762">
        <v>54820</v>
      </c>
      <c r="E762" t="s">
        <v>977</v>
      </c>
      <c r="F762">
        <v>500</v>
      </c>
      <c r="G762" t="s">
        <v>4686</v>
      </c>
      <c r="H762" t="s">
        <v>4687</v>
      </c>
      <c r="I762">
        <v>25850</v>
      </c>
      <c r="J762">
        <v>52822</v>
      </c>
      <c r="K762" t="s">
        <v>1051</v>
      </c>
      <c r="L762" t="str">
        <f>SUBSTITUTE(K762,"'","")</f>
        <v>320251420674021596</v>
      </c>
      <c r="M762">
        <v>54820</v>
      </c>
    </row>
    <row r="763" spans="1:13" x14ac:dyDescent="0.4">
      <c r="A763" s="1">
        <v>45798</v>
      </c>
      <c r="B763" t="s">
        <v>4683</v>
      </c>
      <c r="C763" t="s">
        <v>4986</v>
      </c>
      <c r="D763">
        <v>54820</v>
      </c>
      <c r="E763" t="s">
        <v>977</v>
      </c>
      <c r="F763">
        <v>500</v>
      </c>
      <c r="G763" t="s">
        <v>4686</v>
      </c>
      <c r="H763" t="s">
        <v>4687</v>
      </c>
      <c r="I763">
        <v>25851</v>
      </c>
      <c r="J763">
        <v>52824</v>
      </c>
      <c r="K763" t="s">
        <v>1053</v>
      </c>
      <c r="L763" t="str">
        <f>SUBSTITUTE(K763,"'","")</f>
        <v>320251420675572699</v>
      </c>
      <c r="M763">
        <v>54820</v>
      </c>
    </row>
    <row r="764" spans="1:13" x14ac:dyDescent="0.4">
      <c r="A764" s="1">
        <v>45799</v>
      </c>
      <c r="B764" t="s">
        <v>4683</v>
      </c>
      <c r="C764" t="s">
        <v>6202</v>
      </c>
      <c r="D764">
        <v>64100</v>
      </c>
      <c r="E764" t="s">
        <v>32</v>
      </c>
      <c r="F764">
        <v>21.4</v>
      </c>
      <c r="G764" t="s">
        <v>4686</v>
      </c>
      <c r="H764" t="s">
        <v>4687</v>
      </c>
      <c r="I764">
        <v>25563</v>
      </c>
      <c r="J764">
        <v>52248</v>
      </c>
      <c r="K764" t="s">
        <v>1033</v>
      </c>
      <c r="L764" t="str">
        <f>SUBSTITUTE(K764,"'","")</f>
        <v>320251420662327111</v>
      </c>
      <c r="M764">
        <v>64100</v>
      </c>
    </row>
    <row r="765" spans="1:13" x14ac:dyDescent="0.4">
      <c r="A765" s="1">
        <v>45799</v>
      </c>
      <c r="B765" t="s">
        <v>4683</v>
      </c>
      <c r="C765" t="s">
        <v>6203</v>
      </c>
      <c r="D765">
        <v>64100</v>
      </c>
      <c r="E765" t="s">
        <v>1029</v>
      </c>
      <c r="F765">
        <v>957.87</v>
      </c>
      <c r="G765" t="s">
        <v>4686</v>
      </c>
      <c r="H765" t="s">
        <v>4687</v>
      </c>
      <c r="I765">
        <v>25596</v>
      </c>
      <c r="J765">
        <v>52314</v>
      </c>
      <c r="K765" t="s">
        <v>1031</v>
      </c>
      <c r="L765" t="str">
        <f>SUBSTITUTE(K765,"'","")</f>
        <v>320251420674274862</v>
      </c>
      <c r="M765">
        <v>64100</v>
      </c>
    </row>
    <row r="766" spans="1:13" x14ac:dyDescent="0.4">
      <c r="A766" s="1">
        <v>45799</v>
      </c>
      <c r="B766" t="s">
        <v>4683</v>
      </c>
      <c r="C766" t="s">
        <v>4990</v>
      </c>
      <c r="D766">
        <v>54820</v>
      </c>
      <c r="E766" t="s">
        <v>3558</v>
      </c>
      <c r="F766">
        <v>2.98</v>
      </c>
      <c r="G766" t="s">
        <v>4686</v>
      </c>
      <c r="H766" t="s">
        <v>4687</v>
      </c>
      <c r="I766">
        <v>26592</v>
      </c>
      <c r="J766">
        <v>54306</v>
      </c>
      <c r="K766" t="s">
        <v>3849</v>
      </c>
      <c r="L766" t="str">
        <f>SUBSTITUTE(K766,"'","")</f>
        <v>320251430700345036</v>
      </c>
      <c r="M766">
        <v>54820</v>
      </c>
    </row>
    <row r="767" spans="1:13" x14ac:dyDescent="0.4">
      <c r="A767" s="1">
        <v>45799</v>
      </c>
      <c r="B767" t="s">
        <v>4683</v>
      </c>
      <c r="C767" t="s">
        <v>4989</v>
      </c>
      <c r="D767">
        <v>54820</v>
      </c>
      <c r="E767" t="s">
        <v>2142</v>
      </c>
      <c r="F767">
        <v>106.3</v>
      </c>
      <c r="G767" t="s">
        <v>4686</v>
      </c>
      <c r="H767" t="s">
        <v>4687</v>
      </c>
      <c r="I767">
        <v>26591</v>
      </c>
      <c r="J767">
        <v>54304</v>
      </c>
      <c r="K767" t="s">
        <v>3847</v>
      </c>
      <c r="L767" t="str">
        <f>SUBSTITUTE(K767,"'","")</f>
        <v>320251430701010427</v>
      </c>
      <c r="M767">
        <v>54820</v>
      </c>
    </row>
    <row r="768" spans="1:13" x14ac:dyDescent="0.4">
      <c r="A768" s="1">
        <v>45799</v>
      </c>
      <c r="B768" t="s">
        <v>4683</v>
      </c>
      <c r="C768" t="s">
        <v>4991</v>
      </c>
      <c r="D768">
        <v>54820</v>
      </c>
      <c r="E768" t="s">
        <v>2764</v>
      </c>
      <c r="F768">
        <v>23.41</v>
      </c>
      <c r="G768" t="s">
        <v>4686</v>
      </c>
      <c r="H768" t="s">
        <v>4687</v>
      </c>
      <c r="I768">
        <v>26733</v>
      </c>
      <c r="J768">
        <v>54588</v>
      </c>
      <c r="K768" t="s">
        <v>3845</v>
      </c>
      <c r="L768" t="str">
        <f>SUBSTITUTE(K768,"'","")</f>
        <v>320251430702520916</v>
      </c>
      <c r="M768">
        <v>54820</v>
      </c>
    </row>
    <row r="769" spans="1:13" x14ac:dyDescent="0.4">
      <c r="A769" s="1">
        <v>45800</v>
      </c>
      <c r="B769" t="s">
        <v>4683</v>
      </c>
      <c r="C769" t="s">
        <v>4994</v>
      </c>
      <c r="D769">
        <v>54820</v>
      </c>
      <c r="E769" t="s">
        <v>3838</v>
      </c>
      <c r="F769">
        <v>163.30000000000001</v>
      </c>
      <c r="G769" t="s">
        <v>4686</v>
      </c>
      <c r="H769" t="s">
        <v>4687</v>
      </c>
      <c r="I769">
        <v>26960</v>
      </c>
      <c r="J769">
        <v>55042</v>
      </c>
      <c r="K769" t="s">
        <v>3841</v>
      </c>
      <c r="L769" t="str">
        <f>SUBSTITUTE(K769,"'","")</f>
        <v>320251430688923634</v>
      </c>
      <c r="M769">
        <v>54820</v>
      </c>
    </row>
    <row r="770" spans="1:13" x14ac:dyDescent="0.4">
      <c r="A770" s="1">
        <v>45800</v>
      </c>
      <c r="B770" t="s">
        <v>4683</v>
      </c>
      <c r="C770" t="s">
        <v>4993</v>
      </c>
      <c r="D770">
        <v>54820</v>
      </c>
      <c r="E770" t="s">
        <v>2240</v>
      </c>
      <c r="F770">
        <v>55.53</v>
      </c>
      <c r="G770" t="s">
        <v>4686</v>
      </c>
      <c r="H770" t="s">
        <v>4687</v>
      </c>
      <c r="I770">
        <v>26134</v>
      </c>
      <c r="J770">
        <v>53390</v>
      </c>
      <c r="K770" t="s">
        <v>3843</v>
      </c>
      <c r="L770" t="str">
        <f>SUBSTITUTE(K770,"'","")</f>
        <v>320251440730675180</v>
      </c>
      <c r="M770">
        <v>54820</v>
      </c>
    </row>
    <row r="771" spans="1:13" x14ac:dyDescent="0.4">
      <c r="A771" s="1">
        <v>45800</v>
      </c>
      <c r="B771" t="s">
        <v>4683</v>
      </c>
      <c r="C771" t="s">
        <v>4992</v>
      </c>
      <c r="D771">
        <v>54820</v>
      </c>
      <c r="E771" t="s">
        <v>1025</v>
      </c>
      <c r="F771">
        <v>208.29</v>
      </c>
      <c r="G771" t="s">
        <v>4686</v>
      </c>
      <c r="H771" t="s">
        <v>4687</v>
      </c>
      <c r="I771">
        <v>26060</v>
      </c>
      <c r="J771">
        <v>53242</v>
      </c>
      <c r="K771" t="s">
        <v>1028</v>
      </c>
      <c r="L771" t="str">
        <f>SUBSTITUTE(K771,"'","")</f>
        <v>320251440735034001</v>
      </c>
      <c r="M771">
        <v>54820</v>
      </c>
    </row>
    <row r="772" spans="1:13" x14ac:dyDescent="0.4">
      <c r="A772" s="1">
        <v>45801</v>
      </c>
      <c r="B772" t="s">
        <v>4683</v>
      </c>
      <c r="C772" t="s">
        <v>5721</v>
      </c>
      <c r="D772">
        <v>61130</v>
      </c>
      <c r="E772" t="s">
        <v>478</v>
      </c>
      <c r="F772">
        <v>33.770000000000003</v>
      </c>
      <c r="G772" t="s">
        <v>4686</v>
      </c>
      <c r="H772" t="s">
        <v>4687</v>
      </c>
      <c r="I772">
        <v>25455</v>
      </c>
      <c r="J772">
        <v>52032</v>
      </c>
      <c r="K772" t="s">
        <v>1020</v>
      </c>
      <c r="L772" t="str">
        <f>SUBSTITUTE(K772,"'","")</f>
        <v>320251440720617713</v>
      </c>
      <c r="M772">
        <v>61130</v>
      </c>
    </row>
    <row r="773" spans="1:13" x14ac:dyDescent="0.4">
      <c r="A773" s="1">
        <v>45801</v>
      </c>
      <c r="B773" t="s">
        <v>4683</v>
      </c>
      <c r="C773" t="s">
        <v>5720</v>
      </c>
      <c r="D773">
        <v>61130</v>
      </c>
      <c r="E773" t="s">
        <v>478</v>
      </c>
      <c r="F773">
        <v>29.71</v>
      </c>
      <c r="G773" t="s">
        <v>4686</v>
      </c>
      <c r="H773" t="s">
        <v>4687</v>
      </c>
      <c r="I773">
        <v>25454</v>
      </c>
      <c r="J773">
        <v>52030</v>
      </c>
      <c r="K773" t="s">
        <v>1018</v>
      </c>
      <c r="L773" t="str">
        <f>SUBSTITUTE(K773,"'","")</f>
        <v>320251440720839300</v>
      </c>
      <c r="M773">
        <v>61130</v>
      </c>
    </row>
    <row r="774" spans="1:13" x14ac:dyDescent="0.4">
      <c r="A774" s="1">
        <v>45801</v>
      </c>
      <c r="B774" t="s">
        <v>4683</v>
      </c>
      <c r="C774" t="s">
        <v>5723</v>
      </c>
      <c r="D774">
        <v>61130</v>
      </c>
      <c r="E774" t="s">
        <v>478</v>
      </c>
      <c r="F774">
        <v>61</v>
      </c>
      <c r="G774" t="s">
        <v>4686</v>
      </c>
      <c r="H774" t="s">
        <v>4687</v>
      </c>
      <c r="I774">
        <v>25457</v>
      </c>
      <c r="J774">
        <v>52036</v>
      </c>
      <c r="K774" t="s">
        <v>1024</v>
      </c>
      <c r="L774" t="str">
        <f>SUBSTITUTE(K774,"'","")</f>
        <v>320251440721030859</v>
      </c>
      <c r="M774">
        <v>61130</v>
      </c>
    </row>
    <row r="775" spans="1:13" x14ac:dyDescent="0.4">
      <c r="A775" s="1">
        <v>45801</v>
      </c>
      <c r="B775" t="s">
        <v>4683</v>
      </c>
      <c r="C775" t="s">
        <v>4996</v>
      </c>
      <c r="D775">
        <v>54820</v>
      </c>
      <c r="E775" t="s">
        <v>3830</v>
      </c>
      <c r="F775">
        <v>9.17</v>
      </c>
      <c r="G775" t="s">
        <v>4686</v>
      </c>
      <c r="H775" t="s">
        <v>4687</v>
      </c>
      <c r="I775">
        <v>26961</v>
      </c>
      <c r="J775">
        <v>55044</v>
      </c>
      <c r="K775" t="s">
        <v>3833</v>
      </c>
      <c r="L775" t="str">
        <f>SUBSTITUTE(K775,"'","")</f>
        <v>320251440721599390</v>
      </c>
      <c r="M775">
        <v>54820</v>
      </c>
    </row>
    <row r="776" spans="1:13" x14ac:dyDescent="0.4">
      <c r="A776" s="1">
        <v>45801</v>
      </c>
      <c r="B776" t="s">
        <v>4683</v>
      </c>
      <c r="C776" t="s">
        <v>5722</v>
      </c>
      <c r="D776">
        <v>61130</v>
      </c>
      <c r="E776" t="s">
        <v>478</v>
      </c>
      <c r="F776">
        <v>47.46</v>
      </c>
      <c r="G776" t="s">
        <v>4686</v>
      </c>
      <c r="H776" t="s">
        <v>4687</v>
      </c>
      <c r="I776">
        <v>25456</v>
      </c>
      <c r="J776">
        <v>52034</v>
      </c>
      <c r="K776" t="s">
        <v>1022</v>
      </c>
      <c r="L776" t="str">
        <f>SUBSTITUTE(K776,"'","")</f>
        <v>320251440722934210</v>
      </c>
      <c r="M776">
        <v>61130</v>
      </c>
    </row>
    <row r="777" spans="1:13" x14ac:dyDescent="0.4">
      <c r="A777" s="1">
        <v>45801</v>
      </c>
      <c r="B777" t="s">
        <v>4683</v>
      </c>
      <c r="C777" t="s">
        <v>5948</v>
      </c>
      <c r="D777">
        <v>61133</v>
      </c>
      <c r="E777" t="s">
        <v>2458</v>
      </c>
      <c r="F777">
        <v>2.9</v>
      </c>
      <c r="G777" t="s">
        <v>4686</v>
      </c>
      <c r="H777" t="s">
        <v>4687</v>
      </c>
      <c r="I777">
        <v>26681</v>
      </c>
      <c r="J777">
        <v>54484</v>
      </c>
      <c r="K777" t="s">
        <v>3835</v>
      </c>
      <c r="L777" t="str">
        <f>SUBSTITUTE(K777,"'","")</f>
        <v>320251450752523913</v>
      </c>
      <c r="M777">
        <v>61133</v>
      </c>
    </row>
    <row r="778" spans="1:13" x14ac:dyDescent="0.4">
      <c r="A778" s="1">
        <v>45801</v>
      </c>
      <c r="B778" t="s">
        <v>4683</v>
      </c>
      <c r="C778" t="s">
        <v>5905</v>
      </c>
      <c r="D778">
        <v>61131</v>
      </c>
      <c r="E778" t="s">
        <v>327</v>
      </c>
      <c r="F778">
        <v>0.49</v>
      </c>
      <c r="G778" t="s">
        <v>4686</v>
      </c>
      <c r="H778" t="s">
        <v>4687</v>
      </c>
      <c r="I778">
        <v>25735</v>
      </c>
      <c r="J778">
        <v>52592</v>
      </c>
      <c r="K778" t="s">
        <v>1016</v>
      </c>
      <c r="L778" t="str">
        <f>SUBSTITUTE(K778,"'","")</f>
        <v>320251450753621505</v>
      </c>
      <c r="M778">
        <v>61131</v>
      </c>
    </row>
    <row r="779" spans="1:13" x14ac:dyDescent="0.4">
      <c r="A779" s="1">
        <v>45801</v>
      </c>
      <c r="B779" t="s">
        <v>4683</v>
      </c>
      <c r="C779" t="s">
        <v>5949</v>
      </c>
      <c r="D779">
        <v>61133</v>
      </c>
      <c r="E779" t="s">
        <v>2458</v>
      </c>
      <c r="F779">
        <v>2.9</v>
      </c>
      <c r="G779" t="s">
        <v>4686</v>
      </c>
      <c r="H779" t="s">
        <v>4687</v>
      </c>
      <c r="I779">
        <v>26682</v>
      </c>
      <c r="J779">
        <v>54486</v>
      </c>
      <c r="K779" t="s">
        <v>3837</v>
      </c>
      <c r="L779" t="str">
        <f>SUBSTITUTE(K779,"'","")</f>
        <v>320251450753677384</v>
      </c>
      <c r="M779">
        <v>61133</v>
      </c>
    </row>
    <row r="780" spans="1:13" x14ac:dyDescent="0.4">
      <c r="A780" s="1">
        <v>45801</v>
      </c>
      <c r="B780" t="s">
        <v>4683</v>
      </c>
      <c r="C780" t="s">
        <v>4995</v>
      </c>
      <c r="D780">
        <v>54820</v>
      </c>
      <c r="E780" t="s">
        <v>977</v>
      </c>
      <c r="F780">
        <v>10</v>
      </c>
      <c r="G780" t="s">
        <v>4686</v>
      </c>
      <c r="H780" t="s">
        <v>4687</v>
      </c>
      <c r="I780">
        <v>26472</v>
      </c>
      <c r="J780">
        <v>54066</v>
      </c>
      <c r="K780" t="s">
        <v>3829</v>
      </c>
      <c r="L780" t="str">
        <f>SUBSTITUTE(K780,"'","")</f>
        <v>320251450757648711</v>
      </c>
      <c r="M780">
        <v>54820</v>
      </c>
    </row>
    <row r="781" spans="1:13" x14ac:dyDescent="0.4">
      <c r="A781" s="1">
        <v>45802</v>
      </c>
      <c r="B781" t="s">
        <v>4683</v>
      </c>
      <c r="C781" t="s">
        <v>5001</v>
      </c>
      <c r="D781">
        <v>54820</v>
      </c>
      <c r="E781" t="s">
        <v>3822</v>
      </c>
      <c r="F781">
        <v>7.89</v>
      </c>
      <c r="G781" t="s">
        <v>4686</v>
      </c>
      <c r="H781" t="s">
        <v>4687</v>
      </c>
      <c r="I781">
        <v>26749</v>
      </c>
      <c r="J781">
        <v>54620</v>
      </c>
      <c r="K781" t="s">
        <v>3825</v>
      </c>
      <c r="L781" t="str">
        <f>SUBSTITUTE(K781,"'","")</f>
        <v>320251450753906546</v>
      </c>
      <c r="M781">
        <v>54820</v>
      </c>
    </row>
    <row r="782" spans="1:13" x14ac:dyDescent="0.4">
      <c r="A782" s="1">
        <v>45802</v>
      </c>
      <c r="B782" t="s">
        <v>4683</v>
      </c>
      <c r="C782" t="s">
        <v>4999</v>
      </c>
      <c r="D782">
        <v>54820</v>
      </c>
      <c r="E782" t="s">
        <v>3815</v>
      </c>
      <c r="F782">
        <v>35</v>
      </c>
      <c r="G782" t="s">
        <v>4686</v>
      </c>
      <c r="H782" t="s">
        <v>4687</v>
      </c>
      <c r="I782">
        <v>26306</v>
      </c>
      <c r="J782">
        <v>53734</v>
      </c>
      <c r="K782" t="s">
        <v>3817</v>
      </c>
      <c r="L782" t="str">
        <f>SUBSTITUTE(K782,"'","")</f>
        <v>320251450761332709</v>
      </c>
      <c r="M782">
        <v>54820</v>
      </c>
    </row>
    <row r="783" spans="1:13" x14ac:dyDescent="0.4">
      <c r="A783" s="1">
        <v>45802</v>
      </c>
      <c r="B783" t="s">
        <v>4683</v>
      </c>
      <c r="C783" t="s">
        <v>5000</v>
      </c>
      <c r="D783">
        <v>54820</v>
      </c>
      <c r="E783" t="s">
        <v>2934</v>
      </c>
      <c r="F783">
        <v>12.79</v>
      </c>
      <c r="G783" t="s">
        <v>4686</v>
      </c>
      <c r="H783" t="s">
        <v>4687</v>
      </c>
      <c r="I783">
        <v>26548</v>
      </c>
      <c r="J783">
        <v>54218</v>
      </c>
      <c r="K783" t="s">
        <v>3819</v>
      </c>
      <c r="L783" t="str">
        <f>SUBSTITUTE(K783,"'","")</f>
        <v>320251460771922313</v>
      </c>
      <c r="M783">
        <v>54820</v>
      </c>
    </row>
    <row r="784" spans="1:13" x14ac:dyDescent="0.4">
      <c r="A784" s="1">
        <v>45802</v>
      </c>
      <c r="B784" t="s">
        <v>4683</v>
      </c>
      <c r="C784" t="s">
        <v>5950</v>
      </c>
      <c r="D784">
        <v>61133</v>
      </c>
      <c r="E784" t="s">
        <v>2458</v>
      </c>
      <c r="F784">
        <v>2.9</v>
      </c>
      <c r="G784" t="s">
        <v>4686</v>
      </c>
      <c r="H784" t="s">
        <v>4687</v>
      </c>
      <c r="I784">
        <v>26683</v>
      </c>
      <c r="J784">
        <v>54488</v>
      </c>
      <c r="K784" t="s">
        <v>3821</v>
      </c>
      <c r="L784" t="str">
        <f>SUBSTITUTE(K784,"'","")</f>
        <v>320251460774651914</v>
      </c>
      <c r="M784">
        <v>61133</v>
      </c>
    </row>
    <row r="785" spans="1:13" x14ac:dyDescent="0.4">
      <c r="A785" s="1">
        <v>45802</v>
      </c>
      <c r="B785" t="s">
        <v>4683</v>
      </c>
      <c r="C785" t="s">
        <v>4998</v>
      </c>
      <c r="D785">
        <v>54820</v>
      </c>
      <c r="E785" t="s">
        <v>2240</v>
      </c>
      <c r="F785">
        <v>64.64</v>
      </c>
      <c r="G785" t="s">
        <v>4686</v>
      </c>
      <c r="H785" t="s">
        <v>4687</v>
      </c>
      <c r="I785">
        <v>26135</v>
      </c>
      <c r="J785">
        <v>53392</v>
      </c>
      <c r="K785" t="s">
        <v>3827</v>
      </c>
      <c r="L785" t="str">
        <f>SUBSTITUTE(K785,"'","")</f>
        <v>320251460778106840</v>
      </c>
      <c r="M785">
        <v>54820</v>
      </c>
    </row>
    <row r="786" spans="1:13" x14ac:dyDescent="0.4">
      <c r="A786" s="1">
        <v>45802</v>
      </c>
      <c r="B786" t="s">
        <v>4683</v>
      </c>
      <c r="C786" t="s">
        <v>4997</v>
      </c>
      <c r="D786">
        <v>54820</v>
      </c>
      <c r="E786" t="s">
        <v>1011</v>
      </c>
      <c r="F786">
        <v>137.18</v>
      </c>
      <c r="G786" t="s">
        <v>4686</v>
      </c>
      <c r="H786" t="s">
        <v>4687</v>
      </c>
      <c r="I786">
        <v>26061</v>
      </c>
      <c r="J786">
        <v>53244</v>
      </c>
      <c r="K786" t="s">
        <v>1014</v>
      </c>
      <c r="L786" t="str">
        <f>SUBSTITUTE(K786,"'","")</f>
        <v>320251460784612761</v>
      </c>
      <c r="M786">
        <v>54820</v>
      </c>
    </row>
    <row r="787" spans="1:13" x14ac:dyDescent="0.4">
      <c r="A787" s="1">
        <v>45803</v>
      </c>
      <c r="B787" t="s">
        <v>4683</v>
      </c>
      <c r="C787" t="s">
        <v>5725</v>
      </c>
      <c r="D787">
        <v>61130</v>
      </c>
      <c r="E787" t="s">
        <v>478</v>
      </c>
      <c r="F787">
        <v>45.79</v>
      </c>
      <c r="G787" t="s">
        <v>4686</v>
      </c>
      <c r="H787" t="s">
        <v>4687</v>
      </c>
      <c r="I787">
        <v>25459</v>
      </c>
      <c r="J787">
        <v>52040</v>
      </c>
      <c r="K787" t="s">
        <v>1005</v>
      </c>
      <c r="L787" t="str">
        <f>SUBSTITUTE(K787,"'","")</f>
        <v>320251460767844286</v>
      </c>
      <c r="M787">
        <v>61130</v>
      </c>
    </row>
    <row r="788" spans="1:13" x14ac:dyDescent="0.4">
      <c r="A788" s="1">
        <v>45803</v>
      </c>
      <c r="B788" t="s">
        <v>4683</v>
      </c>
      <c r="C788" t="s">
        <v>5002</v>
      </c>
      <c r="D788">
        <v>54820</v>
      </c>
      <c r="E788" t="s">
        <v>992</v>
      </c>
      <c r="F788">
        <v>10.99</v>
      </c>
      <c r="G788" t="s">
        <v>4686</v>
      </c>
      <c r="H788" t="s">
        <v>4687</v>
      </c>
      <c r="I788">
        <v>25705</v>
      </c>
      <c r="J788">
        <v>52532</v>
      </c>
      <c r="K788" t="s">
        <v>994</v>
      </c>
      <c r="L788" t="str">
        <f>SUBSTITUTE(K788,"'","")</f>
        <v>320251460769509332</v>
      </c>
      <c r="M788">
        <v>54820</v>
      </c>
    </row>
    <row r="789" spans="1:13" x14ac:dyDescent="0.4">
      <c r="A789" s="1">
        <v>45803</v>
      </c>
      <c r="B789" t="s">
        <v>4683</v>
      </c>
      <c r="C789" t="s">
        <v>5724</v>
      </c>
      <c r="D789">
        <v>61130</v>
      </c>
      <c r="E789" t="s">
        <v>478</v>
      </c>
      <c r="F789">
        <v>43.85</v>
      </c>
      <c r="G789" t="s">
        <v>4686</v>
      </c>
      <c r="H789" t="s">
        <v>4687</v>
      </c>
      <c r="I789">
        <v>25458</v>
      </c>
      <c r="J789">
        <v>52038</v>
      </c>
      <c r="K789" t="s">
        <v>1003</v>
      </c>
      <c r="L789" t="str">
        <f>SUBSTITUTE(K789,"'","")</f>
        <v>320251460771880988</v>
      </c>
      <c r="M789">
        <v>61130</v>
      </c>
    </row>
    <row r="790" spans="1:13" x14ac:dyDescent="0.4">
      <c r="A790" s="1">
        <v>45803</v>
      </c>
      <c r="B790" t="s">
        <v>4683</v>
      </c>
      <c r="C790" t="s">
        <v>5726</v>
      </c>
      <c r="D790">
        <v>61130</v>
      </c>
      <c r="E790" t="s">
        <v>478</v>
      </c>
      <c r="F790">
        <v>56.14</v>
      </c>
      <c r="G790" t="s">
        <v>4686</v>
      </c>
      <c r="H790" t="s">
        <v>4687</v>
      </c>
      <c r="I790">
        <v>25460</v>
      </c>
      <c r="J790">
        <v>52042</v>
      </c>
      <c r="K790" t="s">
        <v>1007</v>
      </c>
      <c r="L790" t="str">
        <f>SUBSTITUTE(K790,"'","")</f>
        <v>320251460772207401</v>
      </c>
      <c r="M790">
        <v>61130</v>
      </c>
    </row>
    <row r="791" spans="1:13" x14ac:dyDescent="0.4">
      <c r="A791" s="1">
        <v>45803</v>
      </c>
      <c r="B791" t="s">
        <v>4683</v>
      </c>
      <c r="C791" t="s">
        <v>5005</v>
      </c>
      <c r="D791">
        <v>54820</v>
      </c>
      <c r="E791" t="s">
        <v>3812</v>
      </c>
      <c r="F791">
        <v>114.94</v>
      </c>
      <c r="G791" t="s">
        <v>4686</v>
      </c>
      <c r="H791" t="s">
        <v>4687</v>
      </c>
      <c r="I791">
        <v>26962</v>
      </c>
      <c r="J791">
        <v>55046</v>
      </c>
      <c r="K791" t="s">
        <v>3814</v>
      </c>
      <c r="L791" t="str">
        <f>SUBSTITUTE(K791,"'","")</f>
        <v>320251460788991807</v>
      </c>
      <c r="M791">
        <v>54820</v>
      </c>
    </row>
    <row r="792" spans="1:13" x14ac:dyDescent="0.4">
      <c r="A792" s="1">
        <v>45803</v>
      </c>
      <c r="B792" t="s">
        <v>4683</v>
      </c>
      <c r="C792" t="s">
        <v>5003</v>
      </c>
      <c r="D792">
        <v>54820</v>
      </c>
      <c r="E792" t="s">
        <v>977</v>
      </c>
      <c r="F792">
        <v>20</v>
      </c>
      <c r="G792" t="s">
        <v>4686</v>
      </c>
      <c r="H792" t="s">
        <v>4687</v>
      </c>
      <c r="I792">
        <v>26473</v>
      </c>
      <c r="J792">
        <v>54068</v>
      </c>
      <c r="K792" t="s">
        <v>3809</v>
      </c>
      <c r="L792" t="str">
        <f>SUBSTITUTE(K792,"'","")</f>
        <v>320251460791106454</v>
      </c>
      <c r="M792">
        <v>54820</v>
      </c>
    </row>
    <row r="793" spans="1:13" x14ac:dyDescent="0.4">
      <c r="A793" s="1">
        <v>45803</v>
      </c>
      <c r="B793" t="s">
        <v>4683</v>
      </c>
      <c r="C793" t="s">
        <v>5004</v>
      </c>
      <c r="D793">
        <v>54820</v>
      </c>
      <c r="E793" t="s">
        <v>2934</v>
      </c>
      <c r="F793">
        <v>13.01</v>
      </c>
      <c r="G793" t="s">
        <v>4686</v>
      </c>
      <c r="H793" t="s">
        <v>4687</v>
      </c>
      <c r="I793">
        <v>26549</v>
      </c>
      <c r="J793">
        <v>54220</v>
      </c>
      <c r="K793" t="s">
        <v>3811</v>
      </c>
      <c r="L793" t="str">
        <f>SUBSTITUTE(K793,"'","")</f>
        <v>320251470801562084</v>
      </c>
      <c r="M793">
        <v>54820</v>
      </c>
    </row>
    <row r="794" spans="1:13" x14ac:dyDescent="0.4">
      <c r="A794" s="1">
        <v>45803</v>
      </c>
      <c r="B794" t="s">
        <v>4683</v>
      </c>
      <c r="C794" t="s">
        <v>6018</v>
      </c>
      <c r="D794">
        <v>61215</v>
      </c>
      <c r="E794" t="s">
        <v>1008</v>
      </c>
      <c r="F794">
        <v>450</v>
      </c>
      <c r="G794" t="s">
        <v>4686</v>
      </c>
      <c r="H794" t="s">
        <v>4687</v>
      </c>
      <c r="I794">
        <v>25979</v>
      </c>
      <c r="J794">
        <v>53080</v>
      </c>
      <c r="K794" t="s">
        <v>1010</v>
      </c>
      <c r="L794" t="str">
        <f>SUBSTITUTE(K794,"'","")</f>
        <v>320251470807820174</v>
      </c>
      <c r="M794">
        <v>61215</v>
      </c>
    </row>
    <row r="795" spans="1:13" x14ac:dyDescent="0.4">
      <c r="A795" s="1">
        <v>45803</v>
      </c>
      <c r="B795" t="s">
        <v>4683</v>
      </c>
      <c r="C795" t="s">
        <v>6017</v>
      </c>
      <c r="D795">
        <v>61215</v>
      </c>
      <c r="E795" t="s">
        <v>999</v>
      </c>
      <c r="F795">
        <v>426</v>
      </c>
      <c r="G795" t="s">
        <v>4686</v>
      </c>
      <c r="H795" t="s">
        <v>4687</v>
      </c>
      <c r="I795">
        <v>25978</v>
      </c>
      <c r="J795">
        <v>53078</v>
      </c>
      <c r="K795" t="s">
        <v>1001</v>
      </c>
      <c r="L795" t="str">
        <f>SUBSTITUTE(K795,"'","")</f>
        <v>320251470807919962</v>
      </c>
      <c r="M795">
        <v>61215</v>
      </c>
    </row>
    <row r="796" spans="1:13" x14ac:dyDescent="0.4">
      <c r="A796" s="1">
        <v>45803</v>
      </c>
      <c r="B796" t="s">
        <v>4683</v>
      </c>
      <c r="C796" t="s">
        <v>5604</v>
      </c>
      <c r="D796">
        <v>61120</v>
      </c>
      <c r="E796" t="s">
        <v>995</v>
      </c>
      <c r="F796">
        <v>199</v>
      </c>
      <c r="G796" t="s">
        <v>4686</v>
      </c>
      <c r="H796" t="s">
        <v>4687</v>
      </c>
      <c r="I796">
        <v>26075</v>
      </c>
      <c r="J796">
        <v>53272</v>
      </c>
      <c r="K796" t="s">
        <v>998</v>
      </c>
      <c r="L796" t="str">
        <f>SUBSTITUTE(K796,"'","")</f>
        <v>320251470813962603</v>
      </c>
      <c r="M796">
        <v>61120</v>
      </c>
    </row>
    <row r="797" spans="1:13" x14ac:dyDescent="0.4">
      <c r="A797" s="1">
        <v>45803</v>
      </c>
      <c r="B797" t="s">
        <v>4683</v>
      </c>
      <c r="C797" t="s">
        <v>6204</v>
      </c>
      <c r="D797">
        <v>64100</v>
      </c>
      <c r="E797" t="s">
        <v>1792</v>
      </c>
      <c r="F797">
        <v>16.05</v>
      </c>
      <c r="G797" t="s">
        <v>4686</v>
      </c>
      <c r="H797" t="s">
        <v>4687</v>
      </c>
      <c r="I797">
        <v>26410</v>
      </c>
      <c r="J797">
        <v>53942</v>
      </c>
      <c r="K797" t="s">
        <v>3807</v>
      </c>
      <c r="L797" t="str">
        <f>SUBSTITUTE(K797,"'","")</f>
        <v>320251470814030030</v>
      </c>
      <c r="M797">
        <v>64100</v>
      </c>
    </row>
    <row r="798" spans="1:13" x14ac:dyDescent="0.4">
      <c r="A798" s="1">
        <v>45804</v>
      </c>
      <c r="B798" t="s">
        <v>4683</v>
      </c>
      <c r="C798" t="s">
        <v>5009</v>
      </c>
      <c r="D798">
        <v>54820</v>
      </c>
      <c r="E798" t="s">
        <v>3802</v>
      </c>
      <c r="F798">
        <v>60</v>
      </c>
      <c r="G798" t="s">
        <v>4686</v>
      </c>
      <c r="H798" t="s">
        <v>4687</v>
      </c>
      <c r="I798">
        <v>26963</v>
      </c>
      <c r="J798">
        <v>55048</v>
      </c>
      <c r="K798" t="s">
        <v>3805</v>
      </c>
      <c r="L798" t="str">
        <f>SUBSTITUTE(K798,"'","")</f>
        <v>320251470796393731</v>
      </c>
      <c r="M798">
        <v>54820</v>
      </c>
    </row>
    <row r="799" spans="1:13" x14ac:dyDescent="0.4">
      <c r="A799" s="1">
        <v>45804</v>
      </c>
      <c r="B799" t="s">
        <v>4683</v>
      </c>
      <c r="C799" t="s">
        <v>5729</v>
      </c>
      <c r="D799">
        <v>61130</v>
      </c>
      <c r="E799" t="s">
        <v>478</v>
      </c>
      <c r="F799">
        <v>39.56</v>
      </c>
      <c r="G799" t="s">
        <v>4686</v>
      </c>
      <c r="H799" t="s">
        <v>4687</v>
      </c>
      <c r="I799">
        <v>25463</v>
      </c>
      <c r="J799">
        <v>52048</v>
      </c>
      <c r="K799" t="s">
        <v>991</v>
      </c>
      <c r="L799" t="str">
        <f>SUBSTITUTE(K799,"'","")</f>
        <v>320251470800852907</v>
      </c>
      <c r="M799">
        <v>61130</v>
      </c>
    </row>
    <row r="800" spans="1:13" x14ac:dyDescent="0.4">
      <c r="A800" s="1">
        <v>45804</v>
      </c>
      <c r="B800" t="s">
        <v>4683</v>
      </c>
      <c r="C800" t="s">
        <v>5727</v>
      </c>
      <c r="D800">
        <v>61130</v>
      </c>
      <c r="E800" t="s">
        <v>478</v>
      </c>
      <c r="F800">
        <v>29.53</v>
      </c>
      <c r="G800" t="s">
        <v>4686</v>
      </c>
      <c r="H800" t="s">
        <v>4687</v>
      </c>
      <c r="I800">
        <v>25461</v>
      </c>
      <c r="J800">
        <v>52044</v>
      </c>
      <c r="K800" t="s">
        <v>987</v>
      </c>
      <c r="L800" t="str">
        <f>SUBSTITUTE(K800,"'","")</f>
        <v>320251470801704053</v>
      </c>
      <c r="M800">
        <v>61130</v>
      </c>
    </row>
    <row r="801" spans="1:13" x14ac:dyDescent="0.4">
      <c r="A801" s="1">
        <v>45804</v>
      </c>
      <c r="B801" t="s">
        <v>4683</v>
      </c>
      <c r="C801" t="s">
        <v>5728</v>
      </c>
      <c r="D801">
        <v>61130</v>
      </c>
      <c r="E801" t="s">
        <v>478</v>
      </c>
      <c r="F801">
        <v>30.21</v>
      </c>
      <c r="G801" t="s">
        <v>4686</v>
      </c>
      <c r="H801" t="s">
        <v>4687</v>
      </c>
      <c r="I801">
        <v>25462</v>
      </c>
      <c r="J801">
        <v>52046</v>
      </c>
      <c r="K801" t="s">
        <v>989</v>
      </c>
      <c r="L801" t="str">
        <f>SUBSTITUTE(K801,"'","")</f>
        <v>320251470801891662</v>
      </c>
      <c r="M801">
        <v>61130</v>
      </c>
    </row>
    <row r="802" spans="1:13" x14ac:dyDescent="0.4">
      <c r="A802" s="1">
        <v>45804</v>
      </c>
      <c r="B802" t="s">
        <v>4683</v>
      </c>
      <c r="C802" t="s">
        <v>5007</v>
      </c>
      <c r="D802">
        <v>54820</v>
      </c>
      <c r="E802" t="s">
        <v>3558</v>
      </c>
      <c r="F802">
        <v>4</v>
      </c>
      <c r="G802" t="s">
        <v>4686</v>
      </c>
      <c r="H802" t="s">
        <v>4687</v>
      </c>
      <c r="I802">
        <v>26593</v>
      </c>
      <c r="J802">
        <v>54308</v>
      </c>
      <c r="K802" t="s">
        <v>3799</v>
      </c>
      <c r="L802" t="str">
        <f>SUBSTITUTE(K802,"'","")</f>
        <v>320251480833141514</v>
      </c>
      <c r="M802">
        <v>54820</v>
      </c>
    </row>
    <row r="803" spans="1:13" x14ac:dyDescent="0.4">
      <c r="A803" s="1">
        <v>45804</v>
      </c>
      <c r="B803" t="s">
        <v>4683</v>
      </c>
      <c r="C803" t="s">
        <v>5008</v>
      </c>
      <c r="D803">
        <v>54820</v>
      </c>
      <c r="E803" t="s">
        <v>2764</v>
      </c>
      <c r="F803">
        <v>19.760000000000002</v>
      </c>
      <c r="G803" t="s">
        <v>4686</v>
      </c>
      <c r="H803" t="s">
        <v>4687</v>
      </c>
      <c r="I803">
        <v>26734</v>
      </c>
      <c r="J803">
        <v>54590</v>
      </c>
      <c r="K803" t="s">
        <v>3797</v>
      </c>
      <c r="L803" t="str">
        <f>SUBSTITUTE(K803,"'","")</f>
        <v>320251480834878335</v>
      </c>
      <c r="M803">
        <v>54820</v>
      </c>
    </row>
    <row r="804" spans="1:13" x14ac:dyDescent="0.4">
      <c r="A804" s="1">
        <v>45804</v>
      </c>
      <c r="B804" t="s">
        <v>4683</v>
      </c>
      <c r="C804" t="s">
        <v>5006</v>
      </c>
      <c r="D804">
        <v>54820</v>
      </c>
      <c r="E804" t="s">
        <v>2158</v>
      </c>
      <c r="F804">
        <v>200</v>
      </c>
      <c r="G804" t="s">
        <v>4686</v>
      </c>
      <c r="H804" t="s">
        <v>4687</v>
      </c>
      <c r="I804">
        <v>26181</v>
      </c>
      <c r="J804">
        <v>53484</v>
      </c>
      <c r="K804" t="s">
        <v>3801</v>
      </c>
      <c r="L804" t="str">
        <f>SUBSTITUTE(K804,"'","")</f>
        <v>320251490867887483</v>
      </c>
      <c r="M804">
        <v>54820</v>
      </c>
    </row>
    <row r="805" spans="1:13" x14ac:dyDescent="0.4">
      <c r="A805" s="1">
        <v>45805</v>
      </c>
      <c r="B805" t="s">
        <v>4683</v>
      </c>
      <c r="C805" t="s">
        <v>5011</v>
      </c>
      <c r="D805">
        <v>54820</v>
      </c>
      <c r="E805" t="s">
        <v>2934</v>
      </c>
      <c r="F805">
        <v>12.79</v>
      </c>
      <c r="G805" t="s">
        <v>4686</v>
      </c>
      <c r="H805" t="s">
        <v>4687</v>
      </c>
      <c r="I805">
        <v>26550</v>
      </c>
      <c r="J805">
        <v>54222</v>
      </c>
      <c r="K805" t="s">
        <v>3795</v>
      </c>
      <c r="L805" t="str">
        <f>SUBSTITUTE(K805,"'","")</f>
        <v>320251490853428458</v>
      </c>
      <c r="M805">
        <v>54820</v>
      </c>
    </row>
    <row r="806" spans="1:13" x14ac:dyDescent="0.4">
      <c r="A806" s="1">
        <v>45805</v>
      </c>
      <c r="B806" t="s">
        <v>4683</v>
      </c>
      <c r="C806" t="s">
        <v>5010</v>
      </c>
      <c r="D806">
        <v>54820</v>
      </c>
      <c r="E806" t="s">
        <v>977</v>
      </c>
      <c r="F806">
        <v>20</v>
      </c>
      <c r="G806" t="s">
        <v>4686</v>
      </c>
      <c r="H806" t="s">
        <v>4687</v>
      </c>
      <c r="I806">
        <v>26474</v>
      </c>
      <c r="J806">
        <v>54070</v>
      </c>
      <c r="K806" t="s">
        <v>3792</v>
      </c>
      <c r="L806" t="str">
        <f>SUBSTITUTE(K806,"'","")</f>
        <v>320251490869296192</v>
      </c>
      <c r="M806">
        <v>54820</v>
      </c>
    </row>
    <row r="807" spans="1:13" x14ac:dyDescent="0.4">
      <c r="A807" s="1">
        <v>45806</v>
      </c>
      <c r="B807" t="s">
        <v>4683</v>
      </c>
      <c r="C807" t="s">
        <v>5015</v>
      </c>
      <c r="D807">
        <v>54820</v>
      </c>
      <c r="E807" t="s">
        <v>3151</v>
      </c>
      <c r="F807">
        <v>70.56</v>
      </c>
      <c r="G807" t="s">
        <v>4686</v>
      </c>
      <c r="H807" t="s">
        <v>4687</v>
      </c>
      <c r="I807">
        <v>26192</v>
      </c>
      <c r="J807">
        <v>53506</v>
      </c>
      <c r="K807" t="s">
        <v>3790</v>
      </c>
      <c r="L807" t="str">
        <f>SUBSTITUTE(K807,"'","")</f>
        <v>320251500888466127</v>
      </c>
      <c r="M807">
        <v>54820</v>
      </c>
    </row>
    <row r="808" spans="1:13" x14ac:dyDescent="0.4">
      <c r="A808" s="1">
        <v>45806</v>
      </c>
      <c r="B808" t="s">
        <v>4683</v>
      </c>
      <c r="C808" t="s">
        <v>5016</v>
      </c>
      <c r="D808">
        <v>54820</v>
      </c>
      <c r="E808" t="s">
        <v>2934</v>
      </c>
      <c r="F808">
        <v>12.79</v>
      </c>
      <c r="G808" t="s">
        <v>4686</v>
      </c>
      <c r="H808" t="s">
        <v>4687</v>
      </c>
      <c r="I808">
        <v>26551</v>
      </c>
      <c r="J808">
        <v>54224</v>
      </c>
      <c r="K808" t="s">
        <v>3788</v>
      </c>
      <c r="L808" t="str">
        <f>SUBSTITUTE(K808,"'","")</f>
        <v>320251500890350395</v>
      </c>
      <c r="M808">
        <v>54820</v>
      </c>
    </row>
    <row r="809" spans="1:13" x14ac:dyDescent="0.4">
      <c r="A809" s="1">
        <v>45806</v>
      </c>
      <c r="B809" t="s">
        <v>4683</v>
      </c>
      <c r="C809" t="s">
        <v>5012</v>
      </c>
      <c r="D809">
        <v>54820</v>
      </c>
      <c r="E809" t="s">
        <v>977</v>
      </c>
      <c r="F809">
        <v>250</v>
      </c>
      <c r="G809" t="s">
        <v>4686</v>
      </c>
      <c r="H809" t="s">
        <v>4687</v>
      </c>
      <c r="I809">
        <v>25854</v>
      </c>
      <c r="J809">
        <v>52830</v>
      </c>
      <c r="K809" t="s">
        <v>981</v>
      </c>
      <c r="L809" t="str">
        <f>SUBSTITUTE(K809,"'","")</f>
        <v>320251500891486972</v>
      </c>
      <c r="M809">
        <v>54820</v>
      </c>
    </row>
    <row r="810" spans="1:13" x14ac:dyDescent="0.4">
      <c r="A810" s="1">
        <v>45806</v>
      </c>
      <c r="B810" t="s">
        <v>4683</v>
      </c>
      <c r="C810" t="s">
        <v>5014</v>
      </c>
      <c r="D810">
        <v>54820</v>
      </c>
      <c r="E810" t="s">
        <v>977</v>
      </c>
      <c r="F810">
        <v>500</v>
      </c>
      <c r="G810" t="s">
        <v>4686</v>
      </c>
      <c r="H810" t="s">
        <v>4687</v>
      </c>
      <c r="I810">
        <v>25856</v>
      </c>
      <c r="J810">
        <v>52834</v>
      </c>
      <c r="K810" t="s">
        <v>985</v>
      </c>
      <c r="L810" t="str">
        <f>SUBSTITUTE(K810,"'","")</f>
        <v>320251500891492678</v>
      </c>
      <c r="M810">
        <v>54820</v>
      </c>
    </row>
    <row r="811" spans="1:13" x14ac:dyDescent="0.4">
      <c r="A811" s="1">
        <v>45806</v>
      </c>
      <c r="B811" t="s">
        <v>4683</v>
      </c>
      <c r="C811" t="s">
        <v>5013</v>
      </c>
      <c r="D811">
        <v>54820</v>
      </c>
      <c r="E811" t="s">
        <v>977</v>
      </c>
      <c r="F811">
        <v>250</v>
      </c>
      <c r="G811" t="s">
        <v>4686</v>
      </c>
      <c r="H811" t="s">
        <v>4687</v>
      </c>
      <c r="I811">
        <v>25855</v>
      </c>
      <c r="J811">
        <v>52832</v>
      </c>
      <c r="K811" t="s">
        <v>983</v>
      </c>
      <c r="L811" t="str">
        <f>SUBSTITUTE(K811,"'","")</f>
        <v>320251500894845205</v>
      </c>
      <c r="M811">
        <v>54820</v>
      </c>
    </row>
    <row r="812" spans="1:13" x14ac:dyDescent="0.4">
      <c r="A812" s="1">
        <v>45807</v>
      </c>
      <c r="B812" t="s">
        <v>4683</v>
      </c>
      <c r="C812" t="s">
        <v>6479</v>
      </c>
      <c r="D812">
        <v>67500</v>
      </c>
      <c r="E812" t="s">
        <v>885</v>
      </c>
      <c r="F812">
        <v>75.31</v>
      </c>
      <c r="G812" t="s">
        <v>4686</v>
      </c>
      <c r="H812" t="s">
        <v>4687</v>
      </c>
      <c r="I812">
        <v>26366</v>
      </c>
      <c r="J812">
        <v>53854</v>
      </c>
      <c r="K812" t="s">
        <v>3780</v>
      </c>
      <c r="L812" t="str">
        <f>SUBSTITUTE(K812,"'","")</f>
        <v>320251500883178377</v>
      </c>
      <c r="M812">
        <v>67500</v>
      </c>
    </row>
    <row r="813" spans="1:13" x14ac:dyDescent="0.4">
      <c r="A813" s="1">
        <v>45807</v>
      </c>
      <c r="B813" t="s">
        <v>4683</v>
      </c>
      <c r="C813" t="s">
        <v>5019</v>
      </c>
      <c r="D813">
        <v>54820</v>
      </c>
      <c r="E813" t="s">
        <v>3781</v>
      </c>
      <c r="F813">
        <v>8</v>
      </c>
      <c r="G813" t="s">
        <v>4686</v>
      </c>
      <c r="H813" t="s">
        <v>4687</v>
      </c>
      <c r="I813">
        <v>26750</v>
      </c>
      <c r="J813">
        <v>54622</v>
      </c>
      <c r="K813" t="s">
        <v>3784</v>
      </c>
      <c r="L813" t="str">
        <f>SUBSTITUTE(K813,"'","")</f>
        <v>320251500885405709</v>
      </c>
      <c r="M813">
        <v>54820</v>
      </c>
    </row>
    <row r="814" spans="1:13" x14ac:dyDescent="0.4">
      <c r="A814" s="1">
        <v>45807</v>
      </c>
      <c r="B814" t="s">
        <v>4683</v>
      </c>
      <c r="C814" t="s">
        <v>5017</v>
      </c>
      <c r="D814">
        <v>54820</v>
      </c>
      <c r="E814" t="s">
        <v>2240</v>
      </c>
      <c r="F814">
        <v>125.74</v>
      </c>
      <c r="G814" t="s">
        <v>4686</v>
      </c>
      <c r="H814" t="s">
        <v>4687</v>
      </c>
      <c r="I814">
        <v>26136</v>
      </c>
      <c r="J814">
        <v>53394</v>
      </c>
      <c r="K814" t="s">
        <v>3786</v>
      </c>
      <c r="L814" t="str">
        <f>SUBSTITUTE(K814,"'","")</f>
        <v>320251510918348230</v>
      </c>
      <c r="M814">
        <v>54820</v>
      </c>
    </row>
    <row r="815" spans="1:13" x14ac:dyDescent="0.4">
      <c r="A815" s="1">
        <v>45807</v>
      </c>
      <c r="B815" t="s">
        <v>4683</v>
      </c>
      <c r="C815" t="s">
        <v>6480</v>
      </c>
      <c r="D815">
        <v>67500</v>
      </c>
      <c r="E815" t="s">
        <v>2146</v>
      </c>
      <c r="F815">
        <v>41.72</v>
      </c>
      <c r="G815" t="s">
        <v>4686</v>
      </c>
      <c r="H815" t="s">
        <v>4687</v>
      </c>
      <c r="I815">
        <v>26433</v>
      </c>
      <c r="J815">
        <v>53988</v>
      </c>
      <c r="K815" t="s">
        <v>3774</v>
      </c>
      <c r="L815" t="str">
        <f>SUBSTITUTE(K815,"'","")</f>
        <v>320251510922011447</v>
      </c>
      <c r="M815">
        <v>67500</v>
      </c>
    </row>
    <row r="816" spans="1:13" x14ac:dyDescent="0.4">
      <c r="A816" s="1">
        <v>45807</v>
      </c>
      <c r="B816" t="s">
        <v>4683</v>
      </c>
      <c r="C816" t="s">
        <v>5018</v>
      </c>
      <c r="D816">
        <v>54820</v>
      </c>
      <c r="E816" t="s">
        <v>977</v>
      </c>
      <c r="F816">
        <v>20</v>
      </c>
      <c r="G816" t="s">
        <v>4686</v>
      </c>
      <c r="H816" t="s">
        <v>4687</v>
      </c>
      <c r="I816">
        <v>26475</v>
      </c>
      <c r="J816">
        <v>54072</v>
      </c>
      <c r="K816" t="s">
        <v>3772</v>
      </c>
      <c r="L816" t="str">
        <f>SUBSTITUTE(K816,"'","")</f>
        <v>320251510925174164</v>
      </c>
      <c r="M816">
        <v>54820</v>
      </c>
    </row>
    <row r="817" spans="1:13" x14ac:dyDescent="0.4">
      <c r="A817" s="1">
        <v>45807</v>
      </c>
      <c r="B817" t="s">
        <v>4683</v>
      </c>
      <c r="C817" t="s">
        <v>6481</v>
      </c>
      <c r="D817">
        <v>67500</v>
      </c>
      <c r="E817" t="s">
        <v>3775</v>
      </c>
      <c r="F817">
        <v>204.23</v>
      </c>
      <c r="G817" t="s">
        <v>4686</v>
      </c>
      <c r="H817" t="s">
        <v>4687</v>
      </c>
      <c r="I817">
        <v>26719</v>
      </c>
      <c r="J817">
        <v>54560</v>
      </c>
      <c r="K817" t="s">
        <v>3778</v>
      </c>
      <c r="L817" t="str">
        <f>SUBSTITUTE(K817,"'","")</f>
        <v>320251520929482662</v>
      </c>
      <c r="M817">
        <v>67500</v>
      </c>
    </row>
    <row r="818" spans="1:13" x14ac:dyDescent="0.4">
      <c r="A818" s="1">
        <v>45808</v>
      </c>
      <c r="B818" t="s">
        <v>4683</v>
      </c>
      <c r="C818" t="s">
        <v>5020</v>
      </c>
      <c r="D818">
        <v>54820</v>
      </c>
      <c r="E818" t="s">
        <v>3767</v>
      </c>
      <c r="F818">
        <v>454.36</v>
      </c>
      <c r="G818" t="s">
        <v>4686</v>
      </c>
      <c r="H818" t="s">
        <v>4687</v>
      </c>
      <c r="I818">
        <v>26964</v>
      </c>
      <c r="J818">
        <v>55050</v>
      </c>
      <c r="K818" t="s">
        <v>3770</v>
      </c>
      <c r="L818" t="str">
        <f>SUBSTITUTE(K818,"'","")</f>
        <v>320251510921778616</v>
      </c>
      <c r="M818">
        <v>54820</v>
      </c>
    </row>
    <row r="819" spans="1:13" x14ac:dyDescent="0.4">
      <c r="A819" s="1">
        <v>45808</v>
      </c>
      <c r="B819" t="s">
        <v>4683</v>
      </c>
      <c r="C819" t="s">
        <v>6019</v>
      </c>
      <c r="D819">
        <v>61215</v>
      </c>
      <c r="E819" t="s">
        <v>972</v>
      </c>
      <c r="F819">
        <v>800</v>
      </c>
      <c r="G819" t="s">
        <v>4686</v>
      </c>
      <c r="H819" t="s">
        <v>4687</v>
      </c>
      <c r="I819">
        <v>25980</v>
      </c>
      <c r="J819">
        <v>53082</v>
      </c>
      <c r="K819" t="s">
        <v>976</v>
      </c>
      <c r="L819" t="str">
        <f>SUBSTITUTE(K819,"'","")</f>
        <v>320251520937510036</v>
      </c>
      <c r="M819">
        <v>61215</v>
      </c>
    </row>
    <row r="820" spans="1:13" x14ac:dyDescent="0.4">
      <c r="A820" s="1">
        <v>45809</v>
      </c>
      <c r="B820" t="s">
        <v>4683</v>
      </c>
      <c r="C820" t="s">
        <v>6363</v>
      </c>
      <c r="D820">
        <v>64101</v>
      </c>
      <c r="E820" t="s">
        <v>2429</v>
      </c>
      <c r="F820" s="5">
        <v>1576.93</v>
      </c>
      <c r="G820" t="s">
        <v>4686</v>
      </c>
      <c r="H820" t="s">
        <v>4687</v>
      </c>
      <c r="I820">
        <v>26388</v>
      </c>
      <c r="J820">
        <v>53898</v>
      </c>
      <c r="K820" t="s">
        <v>3759</v>
      </c>
      <c r="L820" t="str">
        <f>SUBSTITUTE(K820,"'","")</f>
        <v>320251520931614642</v>
      </c>
      <c r="M820">
        <v>64101</v>
      </c>
    </row>
    <row r="821" spans="1:13" x14ac:dyDescent="0.4">
      <c r="A821" s="1">
        <v>45809</v>
      </c>
      <c r="B821" t="s">
        <v>4683</v>
      </c>
      <c r="C821" t="s">
        <v>5730</v>
      </c>
      <c r="D821">
        <v>61130</v>
      </c>
      <c r="E821" t="s">
        <v>478</v>
      </c>
      <c r="F821">
        <v>58.79</v>
      </c>
      <c r="G821" t="s">
        <v>4686</v>
      </c>
      <c r="H821" t="s">
        <v>4687</v>
      </c>
      <c r="I821">
        <v>25464</v>
      </c>
      <c r="J821">
        <v>52050</v>
      </c>
      <c r="K821" t="s">
        <v>969</v>
      </c>
      <c r="L821" t="str">
        <f>SUBSTITUTE(K821,"'","")</f>
        <v>320251520933848199</v>
      </c>
      <c r="M821">
        <v>61130</v>
      </c>
    </row>
    <row r="822" spans="1:13" x14ac:dyDescent="0.4">
      <c r="A822" s="1">
        <v>45809</v>
      </c>
      <c r="B822" t="s">
        <v>4683</v>
      </c>
      <c r="C822" t="s">
        <v>6426</v>
      </c>
      <c r="D822">
        <v>65700</v>
      </c>
      <c r="E822" t="s">
        <v>234</v>
      </c>
      <c r="F822">
        <v>226.78</v>
      </c>
      <c r="G822" t="s">
        <v>4686</v>
      </c>
      <c r="H822" t="s">
        <v>4687</v>
      </c>
      <c r="I822">
        <v>25815</v>
      </c>
      <c r="J822">
        <v>52752</v>
      </c>
      <c r="K822" t="s">
        <v>971</v>
      </c>
      <c r="L822" t="str">
        <f>SUBSTITUTE(K822,"'","")</f>
        <v>320251520938829672</v>
      </c>
      <c r="M822">
        <v>65700</v>
      </c>
    </row>
    <row r="823" spans="1:13" x14ac:dyDescent="0.4">
      <c r="A823" s="1">
        <v>45809</v>
      </c>
      <c r="B823" t="s">
        <v>4683</v>
      </c>
      <c r="C823" t="s">
        <v>5022</v>
      </c>
      <c r="D823">
        <v>54820</v>
      </c>
      <c r="E823" t="s">
        <v>3332</v>
      </c>
      <c r="F823">
        <v>156.4</v>
      </c>
      <c r="G823" t="s">
        <v>4686</v>
      </c>
      <c r="H823" t="s">
        <v>4687</v>
      </c>
      <c r="I823">
        <v>26673</v>
      </c>
      <c r="J823">
        <v>54468</v>
      </c>
      <c r="K823" t="s">
        <v>3764</v>
      </c>
      <c r="L823" t="str">
        <f>SUBSTITUTE(K823,"'","")</f>
        <v>320251530964813928</v>
      </c>
      <c r="M823">
        <v>54820</v>
      </c>
    </row>
    <row r="824" spans="1:13" x14ac:dyDescent="0.4">
      <c r="A824" s="1">
        <v>45809</v>
      </c>
      <c r="B824" t="s">
        <v>4683</v>
      </c>
      <c r="C824" t="s">
        <v>5023</v>
      </c>
      <c r="D824">
        <v>54820</v>
      </c>
      <c r="E824" t="s">
        <v>3332</v>
      </c>
      <c r="F824">
        <v>205.92</v>
      </c>
      <c r="G824" t="s">
        <v>4686</v>
      </c>
      <c r="H824" t="s">
        <v>4687</v>
      </c>
      <c r="I824">
        <v>26674</v>
      </c>
      <c r="J824">
        <v>54470</v>
      </c>
      <c r="K824" t="s">
        <v>3766</v>
      </c>
      <c r="L824" t="str">
        <f>SUBSTITUTE(K824,"'","")</f>
        <v>320251530964858883</v>
      </c>
      <c r="M824">
        <v>54820</v>
      </c>
    </row>
    <row r="825" spans="1:13" x14ac:dyDescent="0.4">
      <c r="A825" s="1">
        <v>45809</v>
      </c>
      <c r="B825" t="s">
        <v>4683</v>
      </c>
      <c r="C825" t="s">
        <v>5906</v>
      </c>
      <c r="D825">
        <v>61131</v>
      </c>
      <c r="E825" t="s">
        <v>327</v>
      </c>
      <c r="F825">
        <v>0.49</v>
      </c>
      <c r="G825" t="s">
        <v>4686</v>
      </c>
      <c r="H825" t="s">
        <v>4687</v>
      </c>
      <c r="I825">
        <v>25736</v>
      </c>
      <c r="J825">
        <v>52594</v>
      </c>
      <c r="K825" t="s">
        <v>967</v>
      </c>
      <c r="L825" t="str">
        <f>SUBSTITUTE(K825,"'","")</f>
        <v>320251530971107829</v>
      </c>
      <c r="M825">
        <v>61131</v>
      </c>
    </row>
    <row r="826" spans="1:13" x14ac:dyDescent="0.4">
      <c r="A826" s="1">
        <v>45809</v>
      </c>
      <c r="B826" t="s">
        <v>4683</v>
      </c>
      <c r="C826" t="s">
        <v>5021</v>
      </c>
      <c r="D826">
        <v>54820</v>
      </c>
      <c r="E826" t="s">
        <v>3760</v>
      </c>
      <c r="F826">
        <v>39</v>
      </c>
      <c r="G826" t="s">
        <v>4686</v>
      </c>
      <c r="H826" t="s">
        <v>4687</v>
      </c>
      <c r="I826">
        <v>26307</v>
      </c>
      <c r="J826">
        <v>53736</v>
      </c>
      <c r="K826" t="s">
        <v>3762</v>
      </c>
      <c r="L826" t="str">
        <f>SUBSTITUTE(K826,"'","")</f>
        <v>320251530978201319</v>
      </c>
      <c r="M826">
        <v>54820</v>
      </c>
    </row>
    <row r="827" spans="1:13" x14ac:dyDescent="0.4">
      <c r="A827" s="1">
        <v>45810</v>
      </c>
      <c r="B827" t="s">
        <v>4683</v>
      </c>
      <c r="C827" t="s">
        <v>5026</v>
      </c>
      <c r="D827">
        <v>54820</v>
      </c>
      <c r="E827" t="s">
        <v>3332</v>
      </c>
      <c r="F827">
        <v>64.819999999999993</v>
      </c>
      <c r="G827" t="s">
        <v>4686</v>
      </c>
      <c r="H827" t="s">
        <v>4687</v>
      </c>
      <c r="I827">
        <v>26675</v>
      </c>
      <c r="J827">
        <v>54472</v>
      </c>
      <c r="K827" t="s">
        <v>3757</v>
      </c>
      <c r="L827" t="str">
        <f>SUBSTITUTE(K827,"'","")</f>
        <v>320251530961051242</v>
      </c>
      <c r="M827">
        <v>54820</v>
      </c>
    </row>
    <row r="828" spans="1:13" x14ac:dyDescent="0.4">
      <c r="A828" s="1">
        <v>45810</v>
      </c>
      <c r="B828" t="s">
        <v>4683</v>
      </c>
      <c r="C828" t="s">
        <v>6205</v>
      </c>
      <c r="D828">
        <v>64100</v>
      </c>
      <c r="E828" t="s">
        <v>213</v>
      </c>
      <c r="F828">
        <v>21.4</v>
      </c>
      <c r="G828" t="s">
        <v>4686</v>
      </c>
      <c r="H828" t="s">
        <v>4687</v>
      </c>
      <c r="I828">
        <v>25925</v>
      </c>
      <c r="J828">
        <v>52972</v>
      </c>
      <c r="K828" t="s">
        <v>963</v>
      </c>
      <c r="L828" t="str">
        <f>SUBSTITUTE(K828,"'","")</f>
        <v>320251530978747236</v>
      </c>
      <c r="M828">
        <v>64100</v>
      </c>
    </row>
    <row r="829" spans="1:13" x14ac:dyDescent="0.4">
      <c r="A829" s="1">
        <v>45810</v>
      </c>
      <c r="B829" t="s">
        <v>4683</v>
      </c>
      <c r="C829" t="s">
        <v>6378</v>
      </c>
      <c r="D829">
        <v>64200</v>
      </c>
      <c r="E829" t="s">
        <v>222</v>
      </c>
      <c r="F829">
        <v>79</v>
      </c>
      <c r="G829" t="s">
        <v>4686</v>
      </c>
      <c r="H829" t="s">
        <v>4687</v>
      </c>
      <c r="I829">
        <v>25864</v>
      </c>
      <c r="J829">
        <v>52850</v>
      </c>
      <c r="K829" t="s">
        <v>965</v>
      </c>
      <c r="L829" t="str">
        <f>SUBSTITUTE(K829,"'","")</f>
        <v>320251540002740728</v>
      </c>
      <c r="M829">
        <v>64200</v>
      </c>
    </row>
    <row r="830" spans="1:13" x14ac:dyDescent="0.4">
      <c r="A830" s="1">
        <v>45810</v>
      </c>
      <c r="B830" t="s">
        <v>4683</v>
      </c>
      <c r="C830" t="s">
        <v>5024</v>
      </c>
      <c r="D830">
        <v>54820</v>
      </c>
      <c r="E830" t="s">
        <v>2934</v>
      </c>
      <c r="F830">
        <v>12.79</v>
      </c>
      <c r="G830" t="s">
        <v>4686</v>
      </c>
      <c r="H830" t="s">
        <v>4687</v>
      </c>
      <c r="I830">
        <v>26552</v>
      </c>
      <c r="J830">
        <v>54226</v>
      </c>
      <c r="K830" t="s">
        <v>3756</v>
      </c>
      <c r="L830" t="str">
        <f>SUBSTITUTE(K830,"'","")</f>
        <v>320251540997756669</v>
      </c>
      <c r="M830">
        <v>54820</v>
      </c>
    </row>
    <row r="831" spans="1:13" x14ac:dyDescent="0.4">
      <c r="A831" s="1">
        <v>45810</v>
      </c>
      <c r="B831" t="s">
        <v>4683</v>
      </c>
      <c r="C831" t="s">
        <v>5025</v>
      </c>
      <c r="D831">
        <v>54820</v>
      </c>
      <c r="E831" t="s">
        <v>2142</v>
      </c>
      <c r="F831">
        <v>48</v>
      </c>
      <c r="G831" t="s">
        <v>4686</v>
      </c>
      <c r="H831" t="s">
        <v>4687</v>
      </c>
      <c r="I831">
        <v>26594</v>
      </c>
      <c r="J831">
        <v>54310</v>
      </c>
      <c r="K831" t="s">
        <v>3754</v>
      </c>
      <c r="L831" t="str">
        <f>SUBSTITUTE(K831,"'","")</f>
        <v>320251540997826597</v>
      </c>
      <c r="M831">
        <v>54820</v>
      </c>
    </row>
    <row r="832" spans="1:13" x14ac:dyDescent="0.4">
      <c r="A832" s="1">
        <v>45811</v>
      </c>
      <c r="B832" t="s">
        <v>4683</v>
      </c>
      <c r="C832" t="s">
        <v>6206</v>
      </c>
      <c r="D832">
        <v>64100</v>
      </c>
      <c r="E832" t="s">
        <v>153</v>
      </c>
      <c r="F832">
        <v>25.84</v>
      </c>
      <c r="G832" t="s">
        <v>4686</v>
      </c>
      <c r="H832" t="s">
        <v>4687</v>
      </c>
      <c r="I832">
        <v>25597</v>
      </c>
      <c r="J832">
        <v>52316</v>
      </c>
      <c r="K832" t="s">
        <v>960</v>
      </c>
      <c r="L832" t="str">
        <f>SUBSTITUTE(K832,"'","")</f>
        <v>320251540004424437</v>
      </c>
      <c r="M832">
        <v>64100</v>
      </c>
    </row>
    <row r="833" spans="1:13" x14ac:dyDescent="0.4">
      <c r="A833" s="1">
        <v>45811</v>
      </c>
      <c r="B833" t="s">
        <v>4683</v>
      </c>
      <c r="C833" t="s">
        <v>5028</v>
      </c>
      <c r="D833">
        <v>54820</v>
      </c>
      <c r="E833" t="s">
        <v>3740</v>
      </c>
      <c r="F833">
        <v>31.05</v>
      </c>
      <c r="G833" t="s">
        <v>4686</v>
      </c>
      <c r="H833" t="s">
        <v>4687</v>
      </c>
      <c r="I833">
        <v>26831</v>
      </c>
      <c r="J833">
        <v>54784</v>
      </c>
      <c r="K833" t="s">
        <v>3742</v>
      </c>
      <c r="L833" t="str">
        <f>SUBSTITUTE(K833,"'","")</f>
        <v>320251540011038838</v>
      </c>
      <c r="M833">
        <v>54820</v>
      </c>
    </row>
    <row r="834" spans="1:13" x14ac:dyDescent="0.4">
      <c r="A834" s="1">
        <v>45811</v>
      </c>
      <c r="B834" t="s">
        <v>4683</v>
      </c>
      <c r="C834" t="s">
        <v>5029</v>
      </c>
      <c r="D834">
        <v>54820</v>
      </c>
      <c r="E834" t="s">
        <v>3727</v>
      </c>
      <c r="F834">
        <v>48.14</v>
      </c>
      <c r="G834" t="s">
        <v>4686</v>
      </c>
      <c r="H834" t="s">
        <v>4687</v>
      </c>
      <c r="I834">
        <v>26837</v>
      </c>
      <c r="J834">
        <v>54796</v>
      </c>
      <c r="K834" t="s">
        <v>3729</v>
      </c>
      <c r="L834" t="str">
        <f>SUBSTITUTE(K834,"'","")</f>
        <v>320251540988659978</v>
      </c>
      <c r="M834">
        <v>54820</v>
      </c>
    </row>
    <row r="835" spans="1:13" x14ac:dyDescent="0.4">
      <c r="A835" s="1">
        <v>45811</v>
      </c>
      <c r="B835" t="s">
        <v>4683</v>
      </c>
      <c r="C835" t="s">
        <v>5030</v>
      </c>
      <c r="D835">
        <v>54820</v>
      </c>
      <c r="E835" t="s">
        <v>3720</v>
      </c>
      <c r="F835">
        <v>40.04</v>
      </c>
      <c r="G835" t="s">
        <v>4686</v>
      </c>
      <c r="H835" t="s">
        <v>4687</v>
      </c>
      <c r="I835">
        <v>26965</v>
      </c>
      <c r="J835">
        <v>55052</v>
      </c>
      <c r="K835" t="s">
        <v>3723</v>
      </c>
      <c r="L835" t="str">
        <f>SUBSTITUTE(K835,"'","")</f>
        <v>320251550025691913</v>
      </c>
      <c r="M835">
        <v>54820</v>
      </c>
    </row>
    <row r="836" spans="1:13" x14ac:dyDescent="0.4">
      <c r="A836" s="1">
        <v>45811</v>
      </c>
      <c r="B836" t="s">
        <v>4683</v>
      </c>
      <c r="C836" t="s">
        <v>6482</v>
      </c>
      <c r="D836">
        <v>67500</v>
      </c>
      <c r="E836" t="s">
        <v>2400</v>
      </c>
      <c r="F836">
        <v>21.39</v>
      </c>
      <c r="G836" t="s">
        <v>4686</v>
      </c>
      <c r="H836" t="s">
        <v>4687</v>
      </c>
      <c r="I836">
        <v>26281</v>
      </c>
      <c r="J836">
        <v>53684</v>
      </c>
      <c r="K836" t="s">
        <v>3726</v>
      </c>
      <c r="L836" t="str">
        <f>SUBSTITUTE(K836,"'","")</f>
        <v>320251550026119734</v>
      </c>
      <c r="M836">
        <v>67500</v>
      </c>
    </row>
    <row r="837" spans="1:13" x14ac:dyDescent="0.4">
      <c r="A837" s="1">
        <v>45811</v>
      </c>
      <c r="B837" t="s">
        <v>4683</v>
      </c>
      <c r="C837" t="s">
        <v>5907</v>
      </c>
      <c r="D837">
        <v>61131</v>
      </c>
      <c r="E837" t="s">
        <v>38</v>
      </c>
      <c r="F837">
        <v>75</v>
      </c>
      <c r="G837" t="s">
        <v>4686</v>
      </c>
      <c r="H837" t="s">
        <v>4687</v>
      </c>
      <c r="I837">
        <v>25631</v>
      </c>
      <c r="J837">
        <v>52384</v>
      </c>
      <c r="K837" t="s">
        <v>958</v>
      </c>
      <c r="L837" t="str">
        <f>SUBSTITUTE(K837,"'","")</f>
        <v>320251550036297849</v>
      </c>
      <c r="M837">
        <v>61131</v>
      </c>
    </row>
    <row r="838" spans="1:13" x14ac:dyDescent="0.4">
      <c r="A838" s="1">
        <v>45811</v>
      </c>
      <c r="B838" t="s">
        <v>4683</v>
      </c>
      <c r="C838" t="s">
        <v>5027</v>
      </c>
      <c r="D838">
        <v>54820</v>
      </c>
      <c r="E838" t="s">
        <v>977</v>
      </c>
      <c r="F838">
        <v>20</v>
      </c>
      <c r="G838" t="s">
        <v>4686</v>
      </c>
      <c r="H838" t="s">
        <v>4687</v>
      </c>
      <c r="I838">
        <v>26476</v>
      </c>
      <c r="J838">
        <v>54074</v>
      </c>
      <c r="K838" t="s">
        <v>3725</v>
      </c>
      <c r="L838" t="str">
        <f>SUBSTITUTE(K838,"'","")</f>
        <v>320251550037344024</v>
      </c>
      <c r="M838">
        <v>54820</v>
      </c>
    </row>
    <row r="839" spans="1:13" x14ac:dyDescent="0.4">
      <c r="A839" s="1">
        <v>45811</v>
      </c>
      <c r="B839" t="s">
        <v>4683</v>
      </c>
      <c r="C839" t="s">
        <v>5033</v>
      </c>
      <c r="D839">
        <v>54820</v>
      </c>
      <c r="E839" t="s">
        <v>3745</v>
      </c>
      <c r="F839">
        <v>54.87</v>
      </c>
      <c r="G839" t="s">
        <v>4686</v>
      </c>
      <c r="H839" t="s">
        <v>4687</v>
      </c>
      <c r="I839">
        <v>26968</v>
      </c>
      <c r="J839">
        <v>55058</v>
      </c>
      <c r="K839" t="s">
        <v>3748</v>
      </c>
      <c r="L839" t="str">
        <f>SUBSTITUTE(K839,"'","")</f>
        <v>320251550037463721</v>
      </c>
      <c r="M839">
        <v>54820</v>
      </c>
    </row>
    <row r="840" spans="1:13" x14ac:dyDescent="0.4">
      <c r="A840" s="1">
        <v>45811</v>
      </c>
      <c r="B840" t="s">
        <v>4683</v>
      </c>
      <c r="C840" t="s">
        <v>5032</v>
      </c>
      <c r="D840">
        <v>54820</v>
      </c>
      <c r="E840" t="s">
        <v>3486</v>
      </c>
      <c r="F840">
        <v>15.47</v>
      </c>
      <c r="G840" t="s">
        <v>4686</v>
      </c>
      <c r="H840" t="s">
        <v>4687</v>
      </c>
      <c r="I840">
        <v>26967</v>
      </c>
      <c r="J840">
        <v>55056</v>
      </c>
      <c r="K840" t="s">
        <v>3744</v>
      </c>
      <c r="L840" t="str">
        <f>SUBSTITUTE(K840,"'","")</f>
        <v>320251550037649789</v>
      </c>
      <c r="M840">
        <v>54820</v>
      </c>
    </row>
    <row r="841" spans="1:13" x14ac:dyDescent="0.4">
      <c r="A841" s="1">
        <v>45811</v>
      </c>
      <c r="B841" t="s">
        <v>4683</v>
      </c>
      <c r="C841" t="s">
        <v>6208</v>
      </c>
      <c r="D841">
        <v>64100</v>
      </c>
      <c r="E841" t="s">
        <v>3737</v>
      </c>
      <c r="F841">
        <v>32.07</v>
      </c>
      <c r="G841" t="s">
        <v>4686</v>
      </c>
      <c r="H841" t="s">
        <v>4687</v>
      </c>
      <c r="I841">
        <v>26224</v>
      </c>
      <c r="J841">
        <v>53570</v>
      </c>
      <c r="K841" t="s">
        <v>3739</v>
      </c>
      <c r="L841" t="str">
        <f>SUBSTITUTE(K841,"'","")</f>
        <v>320251550037948175</v>
      </c>
      <c r="M841">
        <v>64100</v>
      </c>
    </row>
    <row r="842" spans="1:13" x14ac:dyDescent="0.4">
      <c r="A842" s="1">
        <v>45811</v>
      </c>
      <c r="B842" t="s">
        <v>4683</v>
      </c>
      <c r="C842" t="s">
        <v>5034</v>
      </c>
      <c r="D842">
        <v>54820</v>
      </c>
      <c r="E842" t="s">
        <v>3749</v>
      </c>
      <c r="F842">
        <v>186.4</v>
      </c>
      <c r="G842" t="s">
        <v>4686</v>
      </c>
      <c r="H842" t="s">
        <v>4687</v>
      </c>
      <c r="I842">
        <v>26969</v>
      </c>
      <c r="J842">
        <v>55060</v>
      </c>
      <c r="K842" t="s">
        <v>3752</v>
      </c>
      <c r="L842" t="str">
        <f>SUBSTITUTE(K842,"'","")</f>
        <v>320251550039307715</v>
      </c>
      <c r="M842">
        <v>54820</v>
      </c>
    </row>
    <row r="843" spans="1:13" x14ac:dyDescent="0.4">
      <c r="A843" s="1">
        <v>45811</v>
      </c>
      <c r="B843" t="s">
        <v>4683</v>
      </c>
      <c r="C843" t="s">
        <v>5031</v>
      </c>
      <c r="D843">
        <v>54820</v>
      </c>
      <c r="E843" t="s">
        <v>3730</v>
      </c>
      <c r="F843">
        <v>34.9</v>
      </c>
      <c r="G843" t="s">
        <v>4686</v>
      </c>
      <c r="H843" t="s">
        <v>4687</v>
      </c>
      <c r="I843">
        <v>26966</v>
      </c>
      <c r="J843">
        <v>55054</v>
      </c>
      <c r="K843" t="s">
        <v>3733</v>
      </c>
      <c r="L843" t="str">
        <f>SUBSTITUTE(K843,"'","")</f>
        <v>320251550039372287</v>
      </c>
      <c r="M843">
        <v>54820</v>
      </c>
    </row>
    <row r="844" spans="1:13" x14ac:dyDescent="0.4">
      <c r="A844" s="1">
        <v>45811</v>
      </c>
      <c r="B844" t="s">
        <v>4683</v>
      </c>
      <c r="C844" t="s">
        <v>6207</v>
      </c>
      <c r="D844">
        <v>64100</v>
      </c>
      <c r="E844" t="s">
        <v>3734</v>
      </c>
      <c r="F844">
        <v>73.64</v>
      </c>
      <c r="G844" t="s">
        <v>4686</v>
      </c>
      <c r="H844" t="s">
        <v>4687</v>
      </c>
      <c r="I844">
        <v>26223</v>
      </c>
      <c r="J844">
        <v>53568</v>
      </c>
      <c r="K844" t="s">
        <v>3736</v>
      </c>
      <c r="L844" t="str">
        <f>SUBSTITUTE(K844,"'","")</f>
        <v>320251550039766273</v>
      </c>
      <c r="M844">
        <v>64100</v>
      </c>
    </row>
    <row r="845" spans="1:13" x14ac:dyDescent="0.4">
      <c r="A845" s="1">
        <v>45812</v>
      </c>
      <c r="B845" t="s">
        <v>4683</v>
      </c>
      <c r="C845" t="s">
        <v>5036</v>
      </c>
      <c r="D845">
        <v>54820</v>
      </c>
      <c r="E845" t="s">
        <v>977</v>
      </c>
      <c r="F845">
        <v>20</v>
      </c>
      <c r="G845" t="s">
        <v>4686</v>
      </c>
      <c r="H845" t="s">
        <v>4687</v>
      </c>
      <c r="I845">
        <v>26477</v>
      </c>
      <c r="J845">
        <v>54076</v>
      </c>
      <c r="K845" t="s">
        <v>3706</v>
      </c>
      <c r="L845" t="str">
        <f>SUBSTITUTE(K845,"'","")</f>
        <v>320251550016874286</v>
      </c>
      <c r="M845">
        <v>54820</v>
      </c>
    </row>
    <row r="846" spans="1:13" x14ac:dyDescent="0.4">
      <c r="A846" s="1">
        <v>45812</v>
      </c>
      <c r="B846" t="s">
        <v>4683</v>
      </c>
      <c r="C846" t="s">
        <v>5035</v>
      </c>
      <c r="D846">
        <v>54820</v>
      </c>
      <c r="E846" t="s">
        <v>196</v>
      </c>
      <c r="F846">
        <v>7.99</v>
      </c>
      <c r="G846" t="s">
        <v>4686</v>
      </c>
      <c r="H846" t="s">
        <v>4687</v>
      </c>
      <c r="I846">
        <v>25882</v>
      </c>
      <c r="J846">
        <v>52886</v>
      </c>
      <c r="K846" t="s">
        <v>956</v>
      </c>
      <c r="L846" t="str">
        <f>SUBSTITUTE(K846,"'","")</f>
        <v>320251550021892484</v>
      </c>
      <c r="M846">
        <v>54820</v>
      </c>
    </row>
    <row r="847" spans="1:13" x14ac:dyDescent="0.4">
      <c r="A847" s="1">
        <v>45812</v>
      </c>
      <c r="B847" t="s">
        <v>4683</v>
      </c>
      <c r="C847" t="s">
        <v>5040</v>
      </c>
      <c r="D847">
        <v>54820</v>
      </c>
      <c r="E847" t="s">
        <v>2393</v>
      </c>
      <c r="F847">
        <v>9.9499999999999993</v>
      </c>
      <c r="G847" t="s">
        <v>4686</v>
      </c>
      <c r="H847" t="s">
        <v>4687</v>
      </c>
      <c r="I847">
        <v>26971</v>
      </c>
      <c r="J847">
        <v>55064</v>
      </c>
      <c r="K847" t="s">
        <v>3704</v>
      </c>
      <c r="L847" t="str">
        <f>SUBSTITUTE(K847,"'","")</f>
        <v>320251550025276997</v>
      </c>
      <c r="M847">
        <v>54820</v>
      </c>
    </row>
    <row r="848" spans="1:13" x14ac:dyDescent="0.4">
      <c r="A848" s="1">
        <v>45812</v>
      </c>
      <c r="B848" t="s">
        <v>4683</v>
      </c>
      <c r="C848" t="s">
        <v>6209</v>
      </c>
      <c r="D848">
        <v>64100</v>
      </c>
      <c r="E848" t="s">
        <v>153</v>
      </c>
      <c r="F848">
        <v>25.84</v>
      </c>
      <c r="G848" t="s">
        <v>4686</v>
      </c>
      <c r="H848" t="s">
        <v>4687</v>
      </c>
      <c r="I848">
        <v>25598</v>
      </c>
      <c r="J848">
        <v>52318</v>
      </c>
      <c r="K848" t="s">
        <v>955</v>
      </c>
      <c r="L848" t="str">
        <f>SUBSTITUTE(K848,"'","")</f>
        <v>320251550025877453</v>
      </c>
      <c r="M848">
        <v>64100</v>
      </c>
    </row>
    <row r="849" spans="1:13" x14ac:dyDescent="0.4">
      <c r="A849" s="1">
        <v>45812</v>
      </c>
      <c r="B849" t="s">
        <v>4683</v>
      </c>
      <c r="C849" t="s">
        <v>6211</v>
      </c>
      <c r="D849">
        <v>64100</v>
      </c>
      <c r="E849" t="s">
        <v>165</v>
      </c>
      <c r="F849">
        <v>47.08</v>
      </c>
      <c r="G849" t="s">
        <v>4686</v>
      </c>
      <c r="H849" t="s">
        <v>4687</v>
      </c>
      <c r="I849">
        <v>26226</v>
      </c>
      <c r="J849">
        <v>53574</v>
      </c>
      <c r="K849" t="s">
        <v>3693</v>
      </c>
      <c r="L849" t="str">
        <f>SUBSTITUTE(K849,"'","")</f>
        <v>320251550039743167</v>
      </c>
      <c r="M849">
        <v>64100</v>
      </c>
    </row>
    <row r="850" spans="1:13" x14ac:dyDescent="0.4">
      <c r="A850" s="1">
        <v>45812</v>
      </c>
      <c r="B850" t="s">
        <v>4683</v>
      </c>
      <c r="C850" t="s">
        <v>6210</v>
      </c>
      <c r="D850">
        <v>64100</v>
      </c>
      <c r="E850" t="s">
        <v>165</v>
      </c>
      <c r="F850">
        <v>25.68</v>
      </c>
      <c r="G850" t="s">
        <v>4686</v>
      </c>
      <c r="H850" t="s">
        <v>4687</v>
      </c>
      <c r="I850">
        <v>26225</v>
      </c>
      <c r="J850">
        <v>53572</v>
      </c>
      <c r="K850" t="s">
        <v>3691</v>
      </c>
      <c r="L850" t="str">
        <f>SUBSTITUTE(K850,"'","")</f>
        <v>320251550039749215</v>
      </c>
      <c r="M850">
        <v>64100</v>
      </c>
    </row>
    <row r="851" spans="1:13" x14ac:dyDescent="0.4">
      <c r="A851" s="1">
        <v>45812</v>
      </c>
      <c r="B851" t="s">
        <v>4683</v>
      </c>
      <c r="C851" t="s">
        <v>6213</v>
      </c>
      <c r="D851">
        <v>64100</v>
      </c>
      <c r="E851" t="s">
        <v>2390</v>
      </c>
      <c r="F851">
        <v>21.4</v>
      </c>
      <c r="G851" t="s">
        <v>4686</v>
      </c>
      <c r="H851" t="s">
        <v>4687</v>
      </c>
      <c r="I851">
        <v>26703</v>
      </c>
      <c r="J851">
        <v>54528</v>
      </c>
      <c r="K851" t="s">
        <v>3697</v>
      </c>
      <c r="L851" t="str">
        <f>SUBSTITUTE(K851,"'","")</f>
        <v>320251550039773434</v>
      </c>
      <c r="M851">
        <v>64100</v>
      </c>
    </row>
    <row r="852" spans="1:13" x14ac:dyDescent="0.4">
      <c r="A852" s="1">
        <v>45812</v>
      </c>
      <c r="B852" t="s">
        <v>4683</v>
      </c>
      <c r="C852" t="s">
        <v>6212</v>
      </c>
      <c r="D852">
        <v>64100</v>
      </c>
      <c r="E852" t="s">
        <v>165</v>
      </c>
      <c r="F852">
        <v>289.06</v>
      </c>
      <c r="G852" t="s">
        <v>4686</v>
      </c>
      <c r="H852" t="s">
        <v>4687</v>
      </c>
      <c r="I852">
        <v>26227</v>
      </c>
      <c r="J852">
        <v>53576</v>
      </c>
      <c r="K852" t="s">
        <v>3695</v>
      </c>
      <c r="L852" t="str">
        <f>SUBSTITUTE(K852,"'","")</f>
        <v>320251550039780062</v>
      </c>
      <c r="M852">
        <v>64100</v>
      </c>
    </row>
    <row r="853" spans="1:13" x14ac:dyDescent="0.4">
      <c r="A853" s="1">
        <v>45812</v>
      </c>
      <c r="B853" t="s">
        <v>4683</v>
      </c>
      <c r="C853" t="s">
        <v>5037</v>
      </c>
      <c r="D853">
        <v>54820</v>
      </c>
      <c r="E853" t="s">
        <v>3711</v>
      </c>
      <c r="F853">
        <v>114.34</v>
      </c>
      <c r="G853" t="s">
        <v>4686</v>
      </c>
      <c r="H853" t="s">
        <v>4687</v>
      </c>
      <c r="I853">
        <v>26751</v>
      </c>
      <c r="J853">
        <v>54624</v>
      </c>
      <c r="K853" t="s">
        <v>3714</v>
      </c>
      <c r="L853" t="str">
        <f>SUBSTITUTE(K853,"'","")</f>
        <v>320251550040614797</v>
      </c>
      <c r="M853">
        <v>54820</v>
      </c>
    </row>
    <row r="854" spans="1:13" x14ac:dyDescent="0.4">
      <c r="A854" s="1">
        <v>45812</v>
      </c>
      <c r="B854" t="s">
        <v>4683</v>
      </c>
      <c r="C854" t="s">
        <v>5038</v>
      </c>
      <c r="D854">
        <v>54820</v>
      </c>
      <c r="E854" t="s">
        <v>3715</v>
      </c>
      <c r="F854">
        <v>37.24</v>
      </c>
      <c r="G854" t="s">
        <v>4686</v>
      </c>
      <c r="H854" t="s">
        <v>4687</v>
      </c>
      <c r="I854">
        <v>26752</v>
      </c>
      <c r="J854">
        <v>54626</v>
      </c>
      <c r="K854" t="s">
        <v>3719</v>
      </c>
      <c r="L854" t="str">
        <f>SUBSTITUTE(K854,"'","")</f>
        <v>320251560056205162</v>
      </c>
      <c r="M854">
        <v>54820</v>
      </c>
    </row>
    <row r="855" spans="1:13" x14ac:dyDescent="0.4">
      <c r="A855" s="1">
        <v>45812</v>
      </c>
      <c r="B855" t="s">
        <v>4683</v>
      </c>
      <c r="C855" t="s">
        <v>6021</v>
      </c>
      <c r="D855">
        <v>61215</v>
      </c>
      <c r="E855" t="s">
        <v>948</v>
      </c>
      <c r="F855" s="5">
        <v>1400</v>
      </c>
      <c r="G855" t="s">
        <v>4686</v>
      </c>
      <c r="H855" t="s">
        <v>4687</v>
      </c>
      <c r="I855">
        <v>25982</v>
      </c>
      <c r="J855">
        <v>53086</v>
      </c>
      <c r="K855" t="s">
        <v>953</v>
      </c>
      <c r="L855" t="str">
        <f>SUBSTITUTE(K855,"'","")</f>
        <v>320251560056868446</v>
      </c>
      <c r="M855">
        <v>61215</v>
      </c>
    </row>
    <row r="856" spans="1:13" x14ac:dyDescent="0.4">
      <c r="A856" s="1">
        <v>45812</v>
      </c>
      <c r="B856" t="s">
        <v>4683</v>
      </c>
      <c r="C856" t="s">
        <v>5951</v>
      </c>
      <c r="D856">
        <v>61133</v>
      </c>
      <c r="E856" t="s">
        <v>2458</v>
      </c>
      <c r="F856">
        <v>2.9</v>
      </c>
      <c r="G856" t="s">
        <v>4686</v>
      </c>
      <c r="H856" t="s">
        <v>4687</v>
      </c>
      <c r="I856">
        <v>26684</v>
      </c>
      <c r="J856">
        <v>54490</v>
      </c>
      <c r="K856" t="s">
        <v>3710</v>
      </c>
      <c r="L856" t="str">
        <f>SUBSTITUTE(K856,"'","")</f>
        <v>320251560058163087</v>
      </c>
      <c r="M856">
        <v>61133</v>
      </c>
    </row>
    <row r="857" spans="1:13" x14ac:dyDescent="0.4">
      <c r="A857" s="1">
        <v>45812</v>
      </c>
      <c r="B857" t="s">
        <v>4683</v>
      </c>
      <c r="C857" t="s">
        <v>6020</v>
      </c>
      <c r="D857">
        <v>61215</v>
      </c>
      <c r="E857" t="s">
        <v>948</v>
      </c>
      <c r="F857">
        <v>82</v>
      </c>
      <c r="G857" t="s">
        <v>4686</v>
      </c>
      <c r="H857" t="s">
        <v>4687</v>
      </c>
      <c r="I857">
        <v>25981</v>
      </c>
      <c r="J857">
        <v>53084</v>
      </c>
      <c r="K857" t="s">
        <v>951</v>
      </c>
      <c r="L857" t="str">
        <f>SUBSTITUTE(K857,"'","")</f>
        <v>320251560058432173</v>
      </c>
      <c r="M857">
        <v>61215</v>
      </c>
    </row>
    <row r="858" spans="1:13" x14ac:dyDescent="0.4">
      <c r="A858" s="1">
        <v>45812</v>
      </c>
      <c r="B858" t="s">
        <v>4683</v>
      </c>
      <c r="C858" t="s">
        <v>6427</v>
      </c>
      <c r="D858">
        <v>65700</v>
      </c>
      <c r="E858" t="s">
        <v>2340</v>
      </c>
      <c r="F858">
        <v>16.87</v>
      </c>
      <c r="G858" t="s">
        <v>4686</v>
      </c>
      <c r="H858" t="s">
        <v>4687</v>
      </c>
      <c r="I858">
        <v>26420</v>
      </c>
      <c r="J858">
        <v>53962</v>
      </c>
      <c r="K858" t="s">
        <v>3708</v>
      </c>
      <c r="L858" t="str">
        <f>SUBSTITUTE(K858,"'","")</f>
        <v>320251560063070761</v>
      </c>
      <c r="M858">
        <v>65700</v>
      </c>
    </row>
    <row r="859" spans="1:13" x14ac:dyDescent="0.4">
      <c r="A859" s="1">
        <v>45812</v>
      </c>
      <c r="B859" t="s">
        <v>4683</v>
      </c>
      <c r="C859" t="s">
        <v>5039</v>
      </c>
      <c r="D859">
        <v>54820</v>
      </c>
      <c r="E859" t="s">
        <v>3698</v>
      </c>
      <c r="F859" s="5">
        <v>1234.0899999999999</v>
      </c>
      <c r="G859" t="s">
        <v>4686</v>
      </c>
      <c r="H859" t="s">
        <v>4687</v>
      </c>
      <c r="I859">
        <v>26970</v>
      </c>
      <c r="J859">
        <v>55062</v>
      </c>
      <c r="K859" t="s">
        <v>3702</v>
      </c>
      <c r="L859" t="str">
        <f>SUBSTITUTE(K859,"'","")</f>
        <v>320251560065831550</v>
      </c>
      <c r="M859">
        <v>54820</v>
      </c>
    </row>
    <row r="860" spans="1:13" x14ac:dyDescent="0.4">
      <c r="A860" s="1">
        <v>45813</v>
      </c>
      <c r="B860" t="s">
        <v>4683</v>
      </c>
      <c r="C860" t="s">
        <v>5041</v>
      </c>
      <c r="D860">
        <v>54820</v>
      </c>
      <c r="E860" t="s">
        <v>977</v>
      </c>
      <c r="F860">
        <v>20</v>
      </c>
      <c r="G860" t="s">
        <v>4686</v>
      </c>
      <c r="H860" t="s">
        <v>4687</v>
      </c>
      <c r="I860">
        <v>26478</v>
      </c>
      <c r="J860">
        <v>54078</v>
      </c>
      <c r="K860" t="s">
        <v>3679</v>
      </c>
      <c r="L860" t="str">
        <f>SUBSTITUTE(K860,"'","")</f>
        <v>320251560043915478</v>
      </c>
      <c r="M860">
        <v>54820</v>
      </c>
    </row>
    <row r="861" spans="1:13" x14ac:dyDescent="0.4">
      <c r="A861" s="1">
        <v>45813</v>
      </c>
      <c r="B861" t="s">
        <v>4683</v>
      </c>
      <c r="C861" t="s">
        <v>5732</v>
      </c>
      <c r="D861">
        <v>61130</v>
      </c>
      <c r="E861" t="s">
        <v>478</v>
      </c>
      <c r="F861">
        <v>35</v>
      </c>
      <c r="G861" t="s">
        <v>4686</v>
      </c>
      <c r="H861" t="s">
        <v>4687</v>
      </c>
      <c r="I861">
        <v>25466</v>
      </c>
      <c r="J861">
        <v>52054</v>
      </c>
      <c r="K861" t="s">
        <v>947</v>
      </c>
      <c r="L861" t="str">
        <f>SUBSTITUTE(K861,"'","")</f>
        <v>320251560047407252</v>
      </c>
      <c r="M861">
        <v>61130</v>
      </c>
    </row>
    <row r="862" spans="1:13" x14ac:dyDescent="0.4">
      <c r="A862" s="1">
        <v>45813</v>
      </c>
      <c r="B862" t="s">
        <v>4683</v>
      </c>
      <c r="C862" t="s">
        <v>6214</v>
      </c>
      <c r="D862">
        <v>64100</v>
      </c>
      <c r="E862" t="s">
        <v>517</v>
      </c>
      <c r="F862">
        <v>4</v>
      </c>
      <c r="G862" t="s">
        <v>4686</v>
      </c>
      <c r="H862" t="s">
        <v>4687</v>
      </c>
      <c r="I862">
        <v>25658</v>
      </c>
      <c r="J862">
        <v>52438</v>
      </c>
      <c r="K862" t="s">
        <v>941</v>
      </c>
      <c r="L862" t="str">
        <f>SUBSTITUTE(K862,"'","")</f>
        <v>320251560049686040</v>
      </c>
      <c r="M862">
        <v>64100</v>
      </c>
    </row>
    <row r="863" spans="1:13" x14ac:dyDescent="0.4">
      <c r="A863" s="1">
        <v>45813</v>
      </c>
      <c r="B863" t="s">
        <v>4683</v>
      </c>
      <c r="C863" t="s">
        <v>5731</v>
      </c>
      <c r="D863">
        <v>61130</v>
      </c>
      <c r="E863" t="s">
        <v>478</v>
      </c>
      <c r="F863">
        <v>27.77</v>
      </c>
      <c r="G863" t="s">
        <v>4686</v>
      </c>
      <c r="H863" t="s">
        <v>4687</v>
      </c>
      <c r="I863">
        <v>25465</v>
      </c>
      <c r="J863">
        <v>52052</v>
      </c>
      <c r="K863" t="s">
        <v>945</v>
      </c>
      <c r="L863" t="str">
        <f>SUBSTITUTE(K863,"'","")</f>
        <v>320251560050783200</v>
      </c>
      <c r="M863">
        <v>61130</v>
      </c>
    </row>
    <row r="864" spans="1:13" x14ac:dyDescent="0.4">
      <c r="A864" s="1">
        <v>45813</v>
      </c>
      <c r="B864" t="s">
        <v>4683</v>
      </c>
      <c r="C864" t="s">
        <v>5908</v>
      </c>
      <c r="D864">
        <v>61131</v>
      </c>
      <c r="E864" t="s">
        <v>317</v>
      </c>
      <c r="F864">
        <v>24.95</v>
      </c>
      <c r="G864" t="s">
        <v>4686</v>
      </c>
      <c r="H864" t="s">
        <v>4687</v>
      </c>
      <c r="I864">
        <v>25648</v>
      </c>
      <c r="J864">
        <v>52418</v>
      </c>
      <c r="K864" t="s">
        <v>943</v>
      </c>
      <c r="L864" t="str">
        <f>SUBSTITUTE(K864,"'","")</f>
        <v>320251560067875768</v>
      </c>
      <c r="M864">
        <v>61131</v>
      </c>
    </row>
    <row r="865" spans="1:13" x14ac:dyDescent="0.4">
      <c r="A865" s="1">
        <v>45813</v>
      </c>
      <c r="B865" t="s">
        <v>4683</v>
      </c>
      <c r="C865" t="s">
        <v>5043</v>
      </c>
      <c r="D865">
        <v>54820</v>
      </c>
      <c r="E865" t="s">
        <v>3682</v>
      </c>
      <c r="F865">
        <v>114.13</v>
      </c>
      <c r="G865" t="s">
        <v>4686</v>
      </c>
      <c r="H865" t="s">
        <v>4687</v>
      </c>
      <c r="I865">
        <v>26972</v>
      </c>
      <c r="J865">
        <v>55066</v>
      </c>
      <c r="K865" t="s">
        <v>3687</v>
      </c>
      <c r="L865" t="str">
        <f>SUBSTITUTE(K865,"'","")</f>
        <v>320251570083790054</v>
      </c>
      <c r="M865">
        <v>54820</v>
      </c>
    </row>
    <row r="866" spans="1:13" x14ac:dyDescent="0.4">
      <c r="A866" s="1">
        <v>45813</v>
      </c>
      <c r="B866" t="s">
        <v>4683</v>
      </c>
      <c r="C866" t="s">
        <v>5044</v>
      </c>
      <c r="D866">
        <v>54820</v>
      </c>
      <c r="E866" t="s">
        <v>3682</v>
      </c>
      <c r="F866">
        <v>136.94</v>
      </c>
      <c r="G866" t="s">
        <v>4686</v>
      </c>
      <c r="H866" t="s">
        <v>4687</v>
      </c>
      <c r="I866">
        <v>26973</v>
      </c>
      <c r="J866">
        <v>55068</v>
      </c>
      <c r="K866" t="s">
        <v>3689</v>
      </c>
      <c r="L866" t="str">
        <f>SUBSTITUTE(K866,"'","")</f>
        <v>320251570084544495</v>
      </c>
      <c r="M866">
        <v>54820</v>
      </c>
    </row>
    <row r="867" spans="1:13" x14ac:dyDescent="0.4">
      <c r="A867" s="1">
        <v>45813</v>
      </c>
      <c r="B867" t="s">
        <v>4683</v>
      </c>
      <c r="C867" t="s">
        <v>5042</v>
      </c>
      <c r="D867">
        <v>54820</v>
      </c>
      <c r="E867" t="s">
        <v>2934</v>
      </c>
      <c r="F867">
        <v>12.79</v>
      </c>
      <c r="G867" t="s">
        <v>4686</v>
      </c>
      <c r="H867" t="s">
        <v>4687</v>
      </c>
      <c r="I867">
        <v>26553</v>
      </c>
      <c r="J867">
        <v>54228</v>
      </c>
      <c r="K867" t="s">
        <v>3681</v>
      </c>
      <c r="L867" t="str">
        <f>SUBSTITUTE(K867,"'","")</f>
        <v>320251570085031721</v>
      </c>
      <c r="M867">
        <v>54820</v>
      </c>
    </row>
    <row r="868" spans="1:13" x14ac:dyDescent="0.4">
      <c r="A868" s="1">
        <v>45814</v>
      </c>
      <c r="B868" t="s">
        <v>4683</v>
      </c>
      <c r="C868" t="s">
        <v>6525</v>
      </c>
      <c r="D868">
        <v>80100</v>
      </c>
      <c r="E868" t="s">
        <v>2303</v>
      </c>
      <c r="F868">
        <v>382.71</v>
      </c>
      <c r="G868" t="s">
        <v>4686</v>
      </c>
      <c r="H868" t="s">
        <v>4687</v>
      </c>
      <c r="I868">
        <v>26347</v>
      </c>
      <c r="J868">
        <v>53816</v>
      </c>
      <c r="K868" t="s">
        <v>3662</v>
      </c>
      <c r="L868" t="str">
        <f>SUBSTITUTE(K868,"'","")</f>
        <v>150607050001219761</v>
      </c>
      <c r="M868">
        <v>80100</v>
      </c>
    </row>
    <row r="869" spans="1:13" x14ac:dyDescent="0.4">
      <c r="A869" s="1">
        <v>45814</v>
      </c>
      <c r="B869" t="s">
        <v>4683</v>
      </c>
      <c r="C869" t="s">
        <v>5046</v>
      </c>
      <c r="D869">
        <v>54820</v>
      </c>
      <c r="E869" t="s">
        <v>2344</v>
      </c>
      <c r="F869">
        <v>9.42</v>
      </c>
      <c r="G869" t="s">
        <v>4686</v>
      </c>
      <c r="H869" t="s">
        <v>4687</v>
      </c>
      <c r="I869">
        <v>26267</v>
      </c>
      <c r="J869">
        <v>53656</v>
      </c>
      <c r="K869" t="s">
        <v>3666</v>
      </c>
      <c r="L869" t="str">
        <f>SUBSTITUTE(K869,"'","")</f>
        <v>320251570072093695</v>
      </c>
      <c r="M869">
        <v>54820</v>
      </c>
    </row>
    <row r="870" spans="1:13" x14ac:dyDescent="0.4">
      <c r="A870" s="1">
        <v>45814</v>
      </c>
      <c r="B870" t="s">
        <v>4683</v>
      </c>
      <c r="C870" t="s">
        <v>5733</v>
      </c>
      <c r="D870">
        <v>61130</v>
      </c>
      <c r="E870" t="s">
        <v>478</v>
      </c>
      <c r="F870">
        <v>72.81</v>
      </c>
      <c r="G870" t="s">
        <v>4686</v>
      </c>
      <c r="H870" t="s">
        <v>4687</v>
      </c>
      <c r="I870">
        <v>25467</v>
      </c>
      <c r="J870">
        <v>52056</v>
      </c>
      <c r="K870" t="s">
        <v>937</v>
      </c>
      <c r="L870" t="str">
        <f>SUBSTITUTE(K870,"'","")</f>
        <v>320251570076251281</v>
      </c>
      <c r="M870">
        <v>61130</v>
      </c>
    </row>
    <row r="871" spans="1:13" x14ac:dyDescent="0.4">
      <c r="A871" s="1">
        <v>45814</v>
      </c>
      <c r="B871" t="s">
        <v>4683</v>
      </c>
      <c r="C871" t="s">
        <v>5734</v>
      </c>
      <c r="D871">
        <v>61130</v>
      </c>
      <c r="E871" t="s">
        <v>478</v>
      </c>
      <c r="F871">
        <v>74.56</v>
      </c>
      <c r="G871" t="s">
        <v>4686</v>
      </c>
      <c r="H871" t="s">
        <v>4687</v>
      </c>
      <c r="I871">
        <v>25468</v>
      </c>
      <c r="J871">
        <v>52058</v>
      </c>
      <c r="K871" t="s">
        <v>939</v>
      </c>
      <c r="L871" t="str">
        <f>SUBSTITUTE(K871,"'","")</f>
        <v>320251570077367585</v>
      </c>
      <c r="M871">
        <v>61130</v>
      </c>
    </row>
    <row r="872" spans="1:13" x14ac:dyDescent="0.4">
      <c r="A872" s="1">
        <v>45814</v>
      </c>
      <c r="B872" t="s">
        <v>4683</v>
      </c>
      <c r="C872" t="s">
        <v>5048</v>
      </c>
      <c r="D872">
        <v>54820</v>
      </c>
      <c r="E872" t="s">
        <v>3656</v>
      </c>
      <c r="F872">
        <v>4.82</v>
      </c>
      <c r="G872" t="s">
        <v>4686</v>
      </c>
      <c r="H872" t="s">
        <v>4687</v>
      </c>
      <c r="I872">
        <v>26309</v>
      </c>
      <c r="J872">
        <v>53740</v>
      </c>
      <c r="K872" t="s">
        <v>3658</v>
      </c>
      <c r="L872" t="str">
        <f>SUBSTITUTE(K872,"'","")</f>
        <v>320251570077849571</v>
      </c>
      <c r="M872">
        <v>54820</v>
      </c>
    </row>
    <row r="873" spans="1:13" x14ac:dyDescent="0.4">
      <c r="A873" s="1">
        <v>45814</v>
      </c>
      <c r="B873" t="s">
        <v>4683</v>
      </c>
      <c r="C873" t="s">
        <v>6215</v>
      </c>
      <c r="D873">
        <v>64100</v>
      </c>
      <c r="E873" t="s">
        <v>184</v>
      </c>
      <c r="F873">
        <v>25.68</v>
      </c>
      <c r="G873" t="s">
        <v>4686</v>
      </c>
      <c r="H873" t="s">
        <v>4687</v>
      </c>
      <c r="I873">
        <v>25918</v>
      </c>
      <c r="J873">
        <v>52958</v>
      </c>
      <c r="K873" t="s">
        <v>935</v>
      </c>
      <c r="L873" t="str">
        <f>SUBSTITUTE(K873,"'","")</f>
        <v>320251570078056038</v>
      </c>
      <c r="M873">
        <v>64100</v>
      </c>
    </row>
    <row r="874" spans="1:13" x14ac:dyDescent="0.4">
      <c r="A874" s="1">
        <v>45814</v>
      </c>
      <c r="B874" t="s">
        <v>4683</v>
      </c>
      <c r="C874" t="s">
        <v>6428</v>
      </c>
      <c r="D874">
        <v>65700</v>
      </c>
      <c r="E874" t="s">
        <v>2354</v>
      </c>
      <c r="F874">
        <v>113</v>
      </c>
      <c r="G874" t="s">
        <v>4686</v>
      </c>
      <c r="H874" t="s">
        <v>4687</v>
      </c>
      <c r="I874">
        <v>26290</v>
      </c>
      <c r="J874">
        <v>53702</v>
      </c>
      <c r="K874" t="s">
        <v>3670</v>
      </c>
      <c r="L874" t="str">
        <f>SUBSTITUTE(K874,"'","")</f>
        <v>320251570080848759</v>
      </c>
      <c r="M874">
        <v>65700</v>
      </c>
    </row>
    <row r="875" spans="1:13" x14ac:dyDescent="0.4">
      <c r="A875" s="1">
        <v>45814</v>
      </c>
      <c r="B875" t="s">
        <v>4683</v>
      </c>
      <c r="C875" t="s">
        <v>5047</v>
      </c>
      <c r="D875">
        <v>54820</v>
      </c>
      <c r="E875" t="s">
        <v>3653</v>
      </c>
      <c r="F875">
        <v>18.37</v>
      </c>
      <c r="G875" t="s">
        <v>4686</v>
      </c>
      <c r="H875" t="s">
        <v>4687</v>
      </c>
      <c r="I875">
        <v>26308</v>
      </c>
      <c r="J875">
        <v>53738</v>
      </c>
      <c r="K875" t="s">
        <v>3655</v>
      </c>
      <c r="L875" t="str">
        <f>SUBSTITUTE(K875,"'","")</f>
        <v>320251570082105911</v>
      </c>
      <c r="M875">
        <v>54820</v>
      </c>
    </row>
    <row r="876" spans="1:13" x14ac:dyDescent="0.4">
      <c r="A876" s="1">
        <v>45814</v>
      </c>
      <c r="B876" t="s">
        <v>4683</v>
      </c>
      <c r="C876" t="s">
        <v>5050</v>
      </c>
      <c r="D876">
        <v>54820</v>
      </c>
      <c r="E876" t="s">
        <v>3659</v>
      </c>
      <c r="F876">
        <v>126.47</v>
      </c>
      <c r="G876" t="s">
        <v>4686</v>
      </c>
      <c r="H876" t="s">
        <v>4687</v>
      </c>
      <c r="I876">
        <v>26974</v>
      </c>
      <c r="J876">
        <v>55070</v>
      </c>
      <c r="K876" t="s">
        <v>3661</v>
      </c>
      <c r="L876" t="str">
        <f>SUBSTITUTE(K876,"'","")</f>
        <v>320251570096591339</v>
      </c>
      <c r="M876">
        <v>54820</v>
      </c>
    </row>
    <row r="877" spans="1:13" x14ac:dyDescent="0.4">
      <c r="A877" s="1">
        <v>45814</v>
      </c>
      <c r="B877" t="s">
        <v>4683</v>
      </c>
      <c r="C877" t="s">
        <v>5051</v>
      </c>
      <c r="D877">
        <v>54820</v>
      </c>
      <c r="E877" t="s">
        <v>2690</v>
      </c>
      <c r="F877">
        <v>100</v>
      </c>
      <c r="G877" t="s">
        <v>4686</v>
      </c>
      <c r="H877" t="s">
        <v>4687</v>
      </c>
      <c r="I877">
        <v>26975</v>
      </c>
      <c r="J877">
        <v>55072</v>
      </c>
      <c r="K877" t="s">
        <v>3668</v>
      </c>
      <c r="L877" t="str">
        <f>SUBSTITUTE(K877,"'","")</f>
        <v>320251580111412874</v>
      </c>
      <c r="M877">
        <v>54820</v>
      </c>
    </row>
    <row r="878" spans="1:13" x14ac:dyDescent="0.4">
      <c r="A878" s="1">
        <v>45814</v>
      </c>
      <c r="B878" t="s">
        <v>4683</v>
      </c>
      <c r="C878" t="s">
        <v>5045</v>
      </c>
      <c r="D878">
        <v>54820</v>
      </c>
      <c r="E878" t="s">
        <v>2240</v>
      </c>
      <c r="F878">
        <v>78</v>
      </c>
      <c r="G878" t="s">
        <v>4686</v>
      </c>
      <c r="H878" t="s">
        <v>4687</v>
      </c>
      <c r="I878">
        <v>26137</v>
      </c>
      <c r="J878">
        <v>53396</v>
      </c>
      <c r="K878" t="s">
        <v>3672</v>
      </c>
      <c r="L878" t="str">
        <f>SUBSTITUTE(K878,"'","")</f>
        <v>320251580114379985</v>
      </c>
      <c r="M878">
        <v>54820</v>
      </c>
    </row>
    <row r="879" spans="1:13" x14ac:dyDescent="0.4">
      <c r="A879" s="1">
        <v>45814</v>
      </c>
      <c r="B879" t="s">
        <v>4683</v>
      </c>
      <c r="C879" t="s">
        <v>5049</v>
      </c>
      <c r="D879">
        <v>54820</v>
      </c>
      <c r="E879" t="s">
        <v>2934</v>
      </c>
      <c r="F879">
        <v>12.79</v>
      </c>
      <c r="G879" t="s">
        <v>4686</v>
      </c>
      <c r="H879" t="s">
        <v>4687</v>
      </c>
      <c r="I879">
        <v>26554</v>
      </c>
      <c r="J879">
        <v>54230</v>
      </c>
      <c r="K879" t="s">
        <v>3664</v>
      </c>
      <c r="L879" t="str">
        <f>SUBSTITUTE(K879,"'","")</f>
        <v>320251580119899500</v>
      </c>
      <c r="M879">
        <v>54820</v>
      </c>
    </row>
    <row r="880" spans="1:13" x14ac:dyDescent="0.4">
      <c r="A880" s="1">
        <v>45814</v>
      </c>
      <c r="B880" t="s">
        <v>4683</v>
      </c>
      <c r="C880" t="s">
        <v>6217</v>
      </c>
      <c r="D880">
        <v>64100</v>
      </c>
      <c r="E880" t="s">
        <v>3535</v>
      </c>
      <c r="F880">
        <v>137.16999999999999</v>
      </c>
      <c r="G880" t="s">
        <v>4686</v>
      </c>
      <c r="H880" t="s">
        <v>4687</v>
      </c>
      <c r="I880">
        <v>26723</v>
      </c>
      <c r="J880">
        <v>54568</v>
      </c>
      <c r="K880" t="s">
        <v>3677</v>
      </c>
      <c r="L880" t="str">
        <f>SUBSTITUTE(K880,"'","")</f>
        <v>320251590128576645</v>
      </c>
      <c r="M880">
        <v>64100</v>
      </c>
    </row>
    <row r="881" spans="1:13" x14ac:dyDescent="0.4">
      <c r="A881" s="1">
        <v>45814</v>
      </c>
      <c r="B881" t="s">
        <v>4683</v>
      </c>
      <c r="C881" t="s">
        <v>6216</v>
      </c>
      <c r="D881">
        <v>64100</v>
      </c>
      <c r="E881" t="s">
        <v>3673</v>
      </c>
      <c r="F881">
        <v>12.9</v>
      </c>
      <c r="G881" t="s">
        <v>4686</v>
      </c>
      <c r="H881" t="s">
        <v>4687</v>
      </c>
      <c r="I881">
        <v>26722</v>
      </c>
      <c r="J881">
        <v>54566</v>
      </c>
      <c r="K881" t="s">
        <v>3675</v>
      </c>
      <c r="L881" t="str">
        <f>SUBSTITUTE(K881,"'","")</f>
        <v>320251590134718160</v>
      </c>
      <c r="M881">
        <v>64100</v>
      </c>
    </row>
    <row r="882" spans="1:13" x14ac:dyDescent="0.4">
      <c r="A882" s="1">
        <v>45815</v>
      </c>
      <c r="B882" t="s">
        <v>4683</v>
      </c>
      <c r="C882" t="s">
        <v>5055</v>
      </c>
      <c r="D882">
        <v>54820</v>
      </c>
      <c r="E882" t="s">
        <v>2425</v>
      </c>
      <c r="F882">
        <v>259.19</v>
      </c>
      <c r="G882" t="s">
        <v>4686</v>
      </c>
      <c r="H882" t="s">
        <v>4687</v>
      </c>
      <c r="I882">
        <v>26976</v>
      </c>
      <c r="J882">
        <v>55074</v>
      </c>
      <c r="K882" t="s">
        <v>3643</v>
      </c>
      <c r="L882" t="str">
        <f>SUBSTITUTE(K882,"'","")</f>
        <v>320251580107395743</v>
      </c>
      <c r="M882">
        <v>54820</v>
      </c>
    </row>
    <row r="883" spans="1:13" x14ac:dyDescent="0.4">
      <c r="A883" s="1">
        <v>45815</v>
      </c>
      <c r="B883" t="s">
        <v>4683</v>
      </c>
      <c r="C883" t="s">
        <v>5909</v>
      </c>
      <c r="D883">
        <v>61131</v>
      </c>
      <c r="E883" t="s">
        <v>574</v>
      </c>
      <c r="F883">
        <v>10.48</v>
      </c>
      <c r="G883" t="s">
        <v>4686</v>
      </c>
      <c r="H883" t="s">
        <v>4687</v>
      </c>
      <c r="I883">
        <v>25737</v>
      </c>
      <c r="J883">
        <v>52596</v>
      </c>
      <c r="K883" t="s">
        <v>933</v>
      </c>
      <c r="L883" t="str">
        <f>SUBSTITUTE(K883,"'","")</f>
        <v>320251580113651804</v>
      </c>
      <c r="M883">
        <v>61131</v>
      </c>
    </row>
    <row r="884" spans="1:13" x14ac:dyDescent="0.4">
      <c r="A884" s="1">
        <v>45815</v>
      </c>
      <c r="B884" t="s">
        <v>4683</v>
      </c>
      <c r="C884" t="s">
        <v>6218</v>
      </c>
      <c r="D884">
        <v>64100</v>
      </c>
      <c r="E884" t="s">
        <v>165</v>
      </c>
      <c r="F884">
        <v>21.38</v>
      </c>
      <c r="G884" t="s">
        <v>4686</v>
      </c>
      <c r="H884" t="s">
        <v>4687</v>
      </c>
      <c r="I884">
        <v>25599</v>
      </c>
      <c r="J884">
        <v>52320</v>
      </c>
      <c r="K884" t="s">
        <v>925</v>
      </c>
      <c r="L884" t="str">
        <f>SUBSTITUTE(K884,"'","")</f>
        <v>320251580125419072</v>
      </c>
      <c r="M884">
        <v>64100</v>
      </c>
    </row>
    <row r="885" spans="1:13" x14ac:dyDescent="0.4">
      <c r="A885" s="1">
        <v>45815</v>
      </c>
      <c r="B885" t="s">
        <v>4683</v>
      </c>
      <c r="C885" t="s">
        <v>5054</v>
      </c>
      <c r="D885">
        <v>54820</v>
      </c>
      <c r="E885" t="s">
        <v>3646</v>
      </c>
      <c r="F885">
        <v>78.209999999999994</v>
      </c>
      <c r="G885" t="s">
        <v>4686</v>
      </c>
      <c r="H885" t="s">
        <v>4687</v>
      </c>
      <c r="I885">
        <v>26685</v>
      </c>
      <c r="J885">
        <v>54492</v>
      </c>
      <c r="K885" t="s">
        <v>3649</v>
      </c>
      <c r="L885" t="str">
        <f>SUBSTITUTE(K885,"'","")</f>
        <v>320251590134294068</v>
      </c>
      <c r="M885">
        <v>54820</v>
      </c>
    </row>
    <row r="886" spans="1:13" x14ac:dyDescent="0.4">
      <c r="A886" s="1">
        <v>45815</v>
      </c>
      <c r="B886" t="s">
        <v>4683</v>
      </c>
      <c r="C886" t="s">
        <v>5053</v>
      </c>
      <c r="D886">
        <v>54820</v>
      </c>
      <c r="E886" t="s">
        <v>738</v>
      </c>
      <c r="F886">
        <v>382.3</v>
      </c>
      <c r="G886" t="s">
        <v>4686</v>
      </c>
      <c r="H886" t="s">
        <v>4687</v>
      </c>
      <c r="I886">
        <v>26043</v>
      </c>
      <c r="J886">
        <v>53208</v>
      </c>
      <c r="K886" t="s">
        <v>929</v>
      </c>
      <c r="L886" t="str">
        <f>SUBSTITUTE(K886,"'","")</f>
        <v>320251590137159305</v>
      </c>
      <c r="M886">
        <v>54820</v>
      </c>
    </row>
    <row r="887" spans="1:13" x14ac:dyDescent="0.4">
      <c r="A887" s="1">
        <v>45815</v>
      </c>
      <c r="B887" t="s">
        <v>4683</v>
      </c>
      <c r="C887" t="s">
        <v>5052</v>
      </c>
      <c r="D887">
        <v>54820</v>
      </c>
      <c r="E887" t="s">
        <v>738</v>
      </c>
      <c r="F887">
        <v>21.7</v>
      </c>
      <c r="G887" t="s">
        <v>4686</v>
      </c>
      <c r="H887" t="s">
        <v>4687</v>
      </c>
      <c r="I887">
        <v>26042</v>
      </c>
      <c r="J887">
        <v>53206</v>
      </c>
      <c r="K887" t="s">
        <v>927</v>
      </c>
      <c r="L887" t="str">
        <f>SUBSTITUTE(K887,"'","")</f>
        <v>320251590137160788</v>
      </c>
      <c r="M887">
        <v>54820</v>
      </c>
    </row>
    <row r="888" spans="1:13" x14ac:dyDescent="0.4">
      <c r="A888" s="1">
        <v>45815</v>
      </c>
      <c r="B888" t="s">
        <v>4683</v>
      </c>
      <c r="C888" t="s">
        <v>6220</v>
      </c>
      <c r="D888">
        <v>64100</v>
      </c>
      <c r="E888" t="s">
        <v>2311</v>
      </c>
      <c r="F888">
        <v>41.12</v>
      </c>
      <c r="G888" t="s">
        <v>4686</v>
      </c>
      <c r="H888" t="s">
        <v>4687</v>
      </c>
      <c r="I888">
        <v>26443</v>
      </c>
      <c r="J888">
        <v>54008</v>
      </c>
      <c r="K888" t="s">
        <v>3645</v>
      </c>
      <c r="L888" t="str">
        <f>SUBSTITUTE(K888,"'","")</f>
        <v>320251590141113717</v>
      </c>
      <c r="M888">
        <v>64100</v>
      </c>
    </row>
    <row r="889" spans="1:13" x14ac:dyDescent="0.4">
      <c r="A889" s="1">
        <v>45815</v>
      </c>
      <c r="B889" t="s">
        <v>4683</v>
      </c>
      <c r="C889" t="s">
        <v>6221</v>
      </c>
      <c r="D889">
        <v>64100</v>
      </c>
      <c r="E889" t="s">
        <v>3650</v>
      </c>
      <c r="F889">
        <v>180.08</v>
      </c>
      <c r="G889" t="s">
        <v>4686</v>
      </c>
      <c r="H889" t="s">
        <v>4687</v>
      </c>
      <c r="I889">
        <v>26724</v>
      </c>
      <c r="J889">
        <v>54570</v>
      </c>
      <c r="K889" t="s">
        <v>3652</v>
      </c>
      <c r="L889" t="str">
        <f>SUBSTITUTE(K889,"'","")</f>
        <v>320251600154745171</v>
      </c>
      <c r="M889">
        <v>64100</v>
      </c>
    </row>
    <row r="890" spans="1:13" x14ac:dyDescent="0.4">
      <c r="A890" s="1">
        <v>45815</v>
      </c>
      <c r="B890" t="s">
        <v>4683</v>
      </c>
      <c r="C890" t="s">
        <v>6219</v>
      </c>
      <c r="D890">
        <v>64100</v>
      </c>
      <c r="E890" t="s">
        <v>169</v>
      </c>
      <c r="F890">
        <v>21.39</v>
      </c>
      <c r="G890" t="s">
        <v>4686</v>
      </c>
      <c r="H890" t="s">
        <v>4687</v>
      </c>
      <c r="I890">
        <v>25805</v>
      </c>
      <c r="J890">
        <v>52732</v>
      </c>
      <c r="K890" t="s">
        <v>931</v>
      </c>
      <c r="L890" t="str">
        <f>SUBSTITUTE(K890,"'","")</f>
        <v>320251600158528271</v>
      </c>
      <c r="M890">
        <v>64100</v>
      </c>
    </row>
    <row r="891" spans="1:13" x14ac:dyDescent="0.4">
      <c r="A891" s="1">
        <v>45816</v>
      </c>
      <c r="B891" t="s">
        <v>4683</v>
      </c>
      <c r="C891" t="s">
        <v>5735</v>
      </c>
      <c r="D891">
        <v>61130</v>
      </c>
      <c r="E891" t="s">
        <v>478</v>
      </c>
      <c r="F891">
        <v>22.51</v>
      </c>
      <c r="G891" t="s">
        <v>4686</v>
      </c>
      <c r="H891" t="s">
        <v>4687</v>
      </c>
      <c r="I891">
        <v>25469</v>
      </c>
      <c r="J891">
        <v>52060</v>
      </c>
      <c r="K891" t="s">
        <v>921</v>
      </c>
      <c r="L891" t="str">
        <f>SUBSTITUTE(K891,"'","")</f>
        <v>320251590131221470</v>
      </c>
      <c r="M891">
        <v>61130</v>
      </c>
    </row>
    <row r="892" spans="1:13" x14ac:dyDescent="0.4">
      <c r="A892" s="1">
        <v>45816</v>
      </c>
      <c r="B892" t="s">
        <v>4683</v>
      </c>
      <c r="C892" t="s">
        <v>5057</v>
      </c>
      <c r="D892">
        <v>54820</v>
      </c>
      <c r="E892" t="s">
        <v>3628</v>
      </c>
      <c r="F892">
        <v>80</v>
      </c>
      <c r="G892" t="s">
        <v>4686</v>
      </c>
      <c r="H892" t="s">
        <v>4687</v>
      </c>
      <c r="I892">
        <v>26977</v>
      </c>
      <c r="J892">
        <v>55076</v>
      </c>
      <c r="K892" t="s">
        <v>3632</v>
      </c>
      <c r="L892" t="str">
        <f>SUBSTITUTE(K892,"'","")</f>
        <v>320251590132314158</v>
      </c>
      <c r="M892">
        <v>54820</v>
      </c>
    </row>
    <row r="893" spans="1:13" x14ac:dyDescent="0.4">
      <c r="A893" s="1">
        <v>45816</v>
      </c>
      <c r="B893" t="s">
        <v>4683</v>
      </c>
      <c r="C893" t="s">
        <v>5058</v>
      </c>
      <c r="D893">
        <v>54820</v>
      </c>
      <c r="E893" t="s">
        <v>3633</v>
      </c>
      <c r="F893">
        <v>37.880000000000003</v>
      </c>
      <c r="G893" t="s">
        <v>4686</v>
      </c>
      <c r="H893" t="s">
        <v>4687</v>
      </c>
      <c r="I893">
        <v>26978</v>
      </c>
      <c r="J893">
        <v>55078</v>
      </c>
      <c r="K893" t="s">
        <v>3637</v>
      </c>
      <c r="L893" t="str">
        <f>SUBSTITUTE(K893,"'","")</f>
        <v>320251590132314243</v>
      </c>
      <c r="M893">
        <v>54820</v>
      </c>
    </row>
    <row r="894" spans="1:13" x14ac:dyDescent="0.4">
      <c r="A894" s="1">
        <v>45816</v>
      </c>
      <c r="B894" t="s">
        <v>4683</v>
      </c>
      <c r="C894" t="s">
        <v>5056</v>
      </c>
      <c r="D894">
        <v>54820</v>
      </c>
      <c r="E894" t="s">
        <v>677</v>
      </c>
      <c r="F894" s="5">
        <v>1329.05</v>
      </c>
      <c r="G894" t="s">
        <v>4686</v>
      </c>
      <c r="H894" t="s">
        <v>4687</v>
      </c>
      <c r="I894">
        <v>26062</v>
      </c>
      <c r="J894">
        <v>53246</v>
      </c>
      <c r="K894" t="s">
        <v>923</v>
      </c>
      <c r="L894" t="str">
        <f>SUBSTITUTE(K894,"'","")</f>
        <v>320251590150731051</v>
      </c>
      <c r="M894">
        <v>54820</v>
      </c>
    </row>
    <row r="895" spans="1:13" x14ac:dyDescent="0.4">
      <c r="A895" s="1">
        <v>45816</v>
      </c>
      <c r="B895" t="s">
        <v>4683</v>
      </c>
      <c r="C895" t="s">
        <v>6222</v>
      </c>
      <c r="D895">
        <v>64100</v>
      </c>
      <c r="E895" t="s">
        <v>3638</v>
      </c>
      <c r="F895">
        <v>199.88</v>
      </c>
      <c r="G895" t="s">
        <v>4686</v>
      </c>
      <c r="H895" t="s">
        <v>4687</v>
      </c>
      <c r="I895">
        <v>26725</v>
      </c>
      <c r="J895">
        <v>54572</v>
      </c>
      <c r="K895" t="s">
        <v>3641</v>
      </c>
      <c r="L895" t="str">
        <f>SUBSTITUTE(K895,"'","")</f>
        <v>320251600175305692</v>
      </c>
      <c r="M895">
        <v>64100</v>
      </c>
    </row>
    <row r="896" spans="1:13" x14ac:dyDescent="0.4">
      <c r="A896" s="1">
        <v>45817</v>
      </c>
      <c r="B896" t="s">
        <v>4683</v>
      </c>
      <c r="C896" t="s">
        <v>5737</v>
      </c>
      <c r="D896">
        <v>61130</v>
      </c>
      <c r="E896" t="s">
        <v>478</v>
      </c>
      <c r="F896">
        <v>83.81</v>
      </c>
      <c r="G896" t="s">
        <v>4686</v>
      </c>
      <c r="H896" t="s">
        <v>4687</v>
      </c>
      <c r="I896">
        <v>25471</v>
      </c>
      <c r="J896">
        <v>52064</v>
      </c>
      <c r="K896" t="s">
        <v>917</v>
      </c>
      <c r="L896" t="str">
        <f>SUBSTITUTE(K896,"'","")</f>
        <v>320251600161123797</v>
      </c>
      <c r="M896">
        <v>61130</v>
      </c>
    </row>
    <row r="897" spans="1:13" x14ac:dyDescent="0.4">
      <c r="A897" s="1">
        <v>45817</v>
      </c>
      <c r="B897" t="s">
        <v>4683</v>
      </c>
      <c r="C897" t="s">
        <v>5736</v>
      </c>
      <c r="D897">
        <v>61130</v>
      </c>
      <c r="E897" t="s">
        <v>478</v>
      </c>
      <c r="F897">
        <v>82.74</v>
      </c>
      <c r="G897" t="s">
        <v>4686</v>
      </c>
      <c r="H897" t="s">
        <v>4687</v>
      </c>
      <c r="I897">
        <v>25470</v>
      </c>
      <c r="J897">
        <v>52062</v>
      </c>
      <c r="K897" t="s">
        <v>915</v>
      </c>
      <c r="L897" t="str">
        <f>SUBSTITUTE(K897,"'","")</f>
        <v>320251600161322017</v>
      </c>
      <c r="M897">
        <v>61130</v>
      </c>
    </row>
    <row r="898" spans="1:13" x14ac:dyDescent="0.4">
      <c r="A898" s="1">
        <v>45817</v>
      </c>
      <c r="B898" t="s">
        <v>4683</v>
      </c>
      <c r="C898" t="s">
        <v>6224</v>
      </c>
      <c r="D898">
        <v>64100</v>
      </c>
      <c r="E898" t="s">
        <v>153</v>
      </c>
      <c r="F898">
        <v>223.27</v>
      </c>
      <c r="G898" t="s">
        <v>4686</v>
      </c>
      <c r="H898" t="s">
        <v>4687</v>
      </c>
      <c r="I898">
        <v>25601</v>
      </c>
      <c r="J898">
        <v>52324</v>
      </c>
      <c r="K898" t="s">
        <v>905</v>
      </c>
      <c r="L898" t="str">
        <f>SUBSTITUTE(K898,"'","")</f>
        <v>320251600164355623</v>
      </c>
      <c r="M898">
        <v>64100</v>
      </c>
    </row>
    <row r="899" spans="1:13" x14ac:dyDescent="0.4">
      <c r="A899" s="1">
        <v>45817</v>
      </c>
      <c r="B899" t="s">
        <v>4683</v>
      </c>
      <c r="C899" t="s">
        <v>6223</v>
      </c>
      <c r="D899">
        <v>64100</v>
      </c>
      <c r="E899" t="s">
        <v>153</v>
      </c>
      <c r="F899">
        <v>165.4</v>
      </c>
      <c r="G899" t="s">
        <v>4686</v>
      </c>
      <c r="H899" t="s">
        <v>4687</v>
      </c>
      <c r="I899">
        <v>25600</v>
      </c>
      <c r="J899">
        <v>52322</v>
      </c>
      <c r="K899" t="s">
        <v>903</v>
      </c>
      <c r="L899" t="str">
        <f>SUBSTITUTE(K899,"'","")</f>
        <v>320251600164388304</v>
      </c>
      <c r="M899">
        <v>64100</v>
      </c>
    </row>
    <row r="900" spans="1:13" x14ac:dyDescent="0.4">
      <c r="A900" s="1">
        <v>45817</v>
      </c>
      <c r="B900" t="s">
        <v>4683</v>
      </c>
      <c r="C900" t="s">
        <v>5605</v>
      </c>
      <c r="D900">
        <v>61120</v>
      </c>
      <c r="E900" t="s">
        <v>888</v>
      </c>
      <c r="F900">
        <v>14</v>
      </c>
      <c r="G900" t="s">
        <v>4686</v>
      </c>
      <c r="H900" t="s">
        <v>4687</v>
      </c>
      <c r="I900">
        <v>25784</v>
      </c>
      <c r="J900">
        <v>52690</v>
      </c>
      <c r="K900" t="s">
        <v>892</v>
      </c>
      <c r="L900" t="str">
        <f>SUBSTITUTE(K900,"'","")</f>
        <v>320251600178019290</v>
      </c>
      <c r="M900">
        <v>61120</v>
      </c>
    </row>
    <row r="901" spans="1:13" x14ac:dyDescent="0.4">
      <c r="A901" s="1">
        <v>45817</v>
      </c>
      <c r="B901" t="s">
        <v>4683</v>
      </c>
      <c r="C901" t="s">
        <v>5606</v>
      </c>
      <c r="D901">
        <v>61120</v>
      </c>
      <c r="E901" t="s">
        <v>888</v>
      </c>
      <c r="F901">
        <v>14</v>
      </c>
      <c r="G901" t="s">
        <v>4686</v>
      </c>
      <c r="H901" t="s">
        <v>4687</v>
      </c>
      <c r="I901">
        <v>25785</v>
      </c>
      <c r="J901">
        <v>52692</v>
      </c>
      <c r="K901" t="s">
        <v>894</v>
      </c>
      <c r="L901" t="str">
        <f>SUBSTITUTE(K901,"'","")</f>
        <v>320251600178019291</v>
      </c>
      <c r="M901">
        <v>61120</v>
      </c>
    </row>
    <row r="902" spans="1:13" x14ac:dyDescent="0.4">
      <c r="A902" s="1">
        <v>45817</v>
      </c>
      <c r="B902" t="s">
        <v>4683</v>
      </c>
      <c r="C902" t="s">
        <v>5607</v>
      </c>
      <c r="D902">
        <v>61120</v>
      </c>
      <c r="E902" t="s">
        <v>895</v>
      </c>
      <c r="F902">
        <v>9.9499999999999993</v>
      </c>
      <c r="G902" t="s">
        <v>4686</v>
      </c>
      <c r="H902" t="s">
        <v>4687</v>
      </c>
      <c r="I902">
        <v>25786</v>
      </c>
      <c r="J902">
        <v>52694</v>
      </c>
      <c r="K902" t="s">
        <v>899</v>
      </c>
      <c r="L902" t="str">
        <f>SUBSTITUTE(K902,"'","")</f>
        <v>320251600178019292</v>
      </c>
      <c r="M902">
        <v>61120</v>
      </c>
    </row>
    <row r="903" spans="1:13" x14ac:dyDescent="0.4">
      <c r="A903" s="1">
        <v>45817</v>
      </c>
      <c r="B903" t="s">
        <v>4683</v>
      </c>
      <c r="C903" t="s">
        <v>5608</v>
      </c>
      <c r="D903">
        <v>61120</v>
      </c>
      <c r="E903" t="s">
        <v>895</v>
      </c>
      <c r="F903">
        <v>9.9499999999999993</v>
      </c>
      <c r="G903" t="s">
        <v>4686</v>
      </c>
      <c r="H903" t="s">
        <v>4687</v>
      </c>
      <c r="I903">
        <v>25787</v>
      </c>
      <c r="J903">
        <v>52696</v>
      </c>
      <c r="K903" t="s">
        <v>901</v>
      </c>
      <c r="L903" t="str">
        <f>SUBSTITUTE(K903,"'","")</f>
        <v>320251600178019293</v>
      </c>
      <c r="M903">
        <v>61120</v>
      </c>
    </row>
    <row r="904" spans="1:13" x14ac:dyDescent="0.4">
      <c r="A904" s="1">
        <v>45817</v>
      </c>
      <c r="B904" t="s">
        <v>4683</v>
      </c>
      <c r="C904" t="s">
        <v>5609</v>
      </c>
      <c r="D904">
        <v>61120</v>
      </c>
      <c r="E904" t="s">
        <v>906</v>
      </c>
      <c r="F904">
        <v>9.9499999999999993</v>
      </c>
      <c r="G904" t="s">
        <v>4686</v>
      </c>
      <c r="H904" t="s">
        <v>4687</v>
      </c>
      <c r="I904">
        <v>25799</v>
      </c>
      <c r="J904">
        <v>52720</v>
      </c>
      <c r="K904" t="s">
        <v>911</v>
      </c>
      <c r="L904" t="str">
        <f>SUBSTITUTE(K904,"'","")</f>
        <v>320251600178019294</v>
      </c>
      <c r="M904">
        <v>61120</v>
      </c>
    </row>
    <row r="905" spans="1:13" x14ac:dyDescent="0.4">
      <c r="A905" s="1">
        <v>45817</v>
      </c>
      <c r="B905" t="s">
        <v>4683</v>
      </c>
      <c r="C905" t="s">
        <v>5610</v>
      </c>
      <c r="D905">
        <v>61120</v>
      </c>
      <c r="E905" t="s">
        <v>906</v>
      </c>
      <c r="F905">
        <v>9.9499999999999993</v>
      </c>
      <c r="G905" t="s">
        <v>4686</v>
      </c>
      <c r="H905" t="s">
        <v>4687</v>
      </c>
      <c r="I905">
        <v>25800</v>
      </c>
      <c r="J905">
        <v>52722</v>
      </c>
      <c r="K905" t="s">
        <v>913</v>
      </c>
      <c r="L905" t="str">
        <f>SUBSTITUTE(K905,"'","")</f>
        <v>320251600178019295</v>
      </c>
      <c r="M905">
        <v>61120</v>
      </c>
    </row>
    <row r="906" spans="1:13" x14ac:dyDescent="0.4">
      <c r="A906" s="1">
        <v>45817</v>
      </c>
      <c r="B906" t="s">
        <v>4683</v>
      </c>
      <c r="C906" t="s">
        <v>5059</v>
      </c>
      <c r="D906">
        <v>54820</v>
      </c>
      <c r="E906" t="s">
        <v>2934</v>
      </c>
      <c r="F906">
        <v>12.79</v>
      </c>
      <c r="G906" t="s">
        <v>4686</v>
      </c>
      <c r="H906" t="s">
        <v>4687</v>
      </c>
      <c r="I906">
        <v>26555</v>
      </c>
      <c r="J906">
        <v>54232</v>
      </c>
      <c r="K906" t="s">
        <v>3627</v>
      </c>
      <c r="L906" t="str">
        <f>SUBSTITUTE(K906,"'","")</f>
        <v>320251610192015050</v>
      </c>
      <c r="M906">
        <v>54820</v>
      </c>
    </row>
    <row r="907" spans="1:13" x14ac:dyDescent="0.4">
      <c r="A907" s="1">
        <v>45817</v>
      </c>
      <c r="B907" t="s">
        <v>4683</v>
      </c>
      <c r="C907" t="s">
        <v>6225</v>
      </c>
      <c r="D907">
        <v>64100</v>
      </c>
      <c r="E907" t="s">
        <v>160</v>
      </c>
      <c r="F907">
        <v>21.4</v>
      </c>
      <c r="G907" t="s">
        <v>4686</v>
      </c>
      <c r="H907" t="s">
        <v>4687</v>
      </c>
      <c r="I907">
        <v>25904</v>
      </c>
      <c r="J907">
        <v>52930</v>
      </c>
      <c r="K907" t="s">
        <v>919</v>
      </c>
      <c r="L907" t="str">
        <f>SUBSTITUTE(K907,"'","")</f>
        <v>320251610196862427</v>
      </c>
      <c r="M907">
        <v>64100</v>
      </c>
    </row>
    <row r="908" spans="1:13" x14ac:dyDescent="0.4">
      <c r="A908" s="1">
        <v>45817</v>
      </c>
      <c r="B908" t="s">
        <v>4683</v>
      </c>
      <c r="C908" t="s">
        <v>5060</v>
      </c>
      <c r="D908">
        <v>54820</v>
      </c>
      <c r="E908" t="s">
        <v>2764</v>
      </c>
      <c r="F908">
        <v>20.41</v>
      </c>
      <c r="G908" t="s">
        <v>4686</v>
      </c>
      <c r="H908" t="s">
        <v>4687</v>
      </c>
      <c r="I908">
        <v>26735</v>
      </c>
      <c r="J908">
        <v>54592</v>
      </c>
      <c r="K908" t="s">
        <v>3625</v>
      </c>
      <c r="L908" t="str">
        <f>SUBSTITUTE(K908,"'","")</f>
        <v>320251610197595167</v>
      </c>
      <c r="M908">
        <v>54820</v>
      </c>
    </row>
    <row r="909" spans="1:13" x14ac:dyDescent="0.4">
      <c r="A909" s="1">
        <v>45818</v>
      </c>
      <c r="B909" t="s">
        <v>4683</v>
      </c>
      <c r="C909" t="s">
        <v>6483</v>
      </c>
      <c r="D909">
        <v>67500</v>
      </c>
      <c r="E909" t="s">
        <v>885</v>
      </c>
      <c r="F909">
        <v>96.7</v>
      </c>
      <c r="G909" t="s">
        <v>4686</v>
      </c>
      <c r="H909" t="s">
        <v>4687</v>
      </c>
      <c r="I909">
        <v>25873</v>
      </c>
      <c r="J909">
        <v>52868</v>
      </c>
      <c r="K909" t="s">
        <v>887</v>
      </c>
      <c r="L909" t="str">
        <f>SUBSTITUTE(K909,"'","")</f>
        <v>320251610186199653</v>
      </c>
      <c r="M909">
        <v>67500</v>
      </c>
    </row>
    <row r="910" spans="1:13" x14ac:dyDescent="0.4">
      <c r="A910" s="1">
        <v>45818</v>
      </c>
      <c r="B910" t="s">
        <v>4683</v>
      </c>
      <c r="C910" t="s">
        <v>6022</v>
      </c>
      <c r="D910">
        <v>61215</v>
      </c>
      <c r="E910" t="s">
        <v>175</v>
      </c>
      <c r="F910">
        <v>390</v>
      </c>
      <c r="G910" t="s">
        <v>4686</v>
      </c>
      <c r="H910" t="s">
        <v>4687</v>
      </c>
      <c r="I910">
        <v>26753</v>
      </c>
      <c r="J910">
        <v>54628</v>
      </c>
      <c r="K910" t="s">
        <v>3623</v>
      </c>
      <c r="L910" t="str">
        <f>SUBSTITUTE(K910,"'","")</f>
        <v>320251620220463903</v>
      </c>
      <c r="M910">
        <v>61215</v>
      </c>
    </row>
    <row r="911" spans="1:13" x14ac:dyDescent="0.4">
      <c r="A911" s="1">
        <v>45818</v>
      </c>
      <c r="B911" t="s">
        <v>4683</v>
      </c>
      <c r="C911" t="s">
        <v>5061</v>
      </c>
      <c r="D911">
        <v>54820</v>
      </c>
      <c r="E911" t="s">
        <v>3151</v>
      </c>
      <c r="F911">
        <v>85.63</v>
      </c>
      <c r="G911" t="s">
        <v>4686</v>
      </c>
      <c r="H911" t="s">
        <v>4687</v>
      </c>
      <c r="I911">
        <v>26193</v>
      </c>
      <c r="J911">
        <v>53508</v>
      </c>
      <c r="K911" t="s">
        <v>3621</v>
      </c>
      <c r="L911" t="str">
        <f>SUBSTITUTE(K911,"'","")</f>
        <v>320251620222317178</v>
      </c>
      <c r="M911">
        <v>54820</v>
      </c>
    </row>
    <row r="912" spans="1:13" x14ac:dyDescent="0.4">
      <c r="A912" s="1">
        <v>45819</v>
      </c>
      <c r="B912" t="s">
        <v>4683</v>
      </c>
      <c r="C912" t="s">
        <v>5063</v>
      </c>
      <c r="D912">
        <v>54820</v>
      </c>
      <c r="E912" t="s">
        <v>977</v>
      </c>
      <c r="F912">
        <v>30</v>
      </c>
      <c r="G912" t="s">
        <v>4686</v>
      </c>
      <c r="H912" t="s">
        <v>4687</v>
      </c>
      <c r="I912">
        <v>26480</v>
      </c>
      <c r="J912">
        <v>54082</v>
      </c>
      <c r="K912" t="s">
        <v>3615</v>
      </c>
      <c r="L912" t="str">
        <f>SUBSTITUTE(K912,"'","")</f>
        <v>320251620210497683</v>
      </c>
      <c r="M912">
        <v>54820</v>
      </c>
    </row>
    <row r="913" spans="1:13" x14ac:dyDescent="0.4">
      <c r="A913" s="1">
        <v>45819</v>
      </c>
      <c r="B913" t="s">
        <v>4683</v>
      </c>
      <c r="C913" t="s">
        <v>5062</v>
      </c>
      <c r="D913">
        <v>54820</v>
      </c>
      <c r="E913" t="s">
        <v>977</v>
      </c>
      <c r="F913">
        <v>10</v>
      </c>
      <c r="G913" t="s">
        <v>4686</v>
      </c>
      <c r="H913" t="s">
        <v>4687</v>
      </c>
      <c r="I913">
        <v>26479</v>
      </c>
      <c r="J913">
        <v>54080</v>
      </c>
      <c r="K913" t="s">
        <v>3613</v>
      </c>
      <c r="L913" t="str">
        <f>SUBSTITUTE(K913,"'","")</f>
        <v>320251620210567128</v>
      </c>
      <c r="M913">
        <v>54820</v>
      </c>
    </row>
    <row r="914" spans="1:13" x14ac:dyDescent="0.4">
      <c r="A914" s="1">
        <v>45819</v>
      </c>
      <c r="B914" t="s">
        <v>4683</v>
      </c>
      <c r="C914" t="s">
        <v>5064</v>
      </c>
      <c r="D914">
        <v>54820</v>
      </c>
      <c r="E914" t="s">
        <v>2285</v>
      </c>
      <c r="F914">
        <v>1.06</v>
      </c>
      <c r="G914" t="s">
        <v>4686</v>
      </c>
      <c r="H914" t="s">
        <v>4687</v>
      </c>
      <c r="I914">
        <v>26838</v>
      </c>
      <c r="J914">
        <v>54798</v>
      </c>
      <c r="K914" t="s">
        <v>3617</v>
      </c>
      <c r="L914" t="str">
        <f>SUBSTITUTE(K914,"'","")</f>
        <v>320251620211838013</v>
      </c>
      <c r="M914">
        <v>54820</v>
      </c>
    </row>
    <row r="915" spans="1:13" x14ac:dyDescent="0.4">
      <c r="A915" s="1">
        <v>45819</v>
      </c>
      <c r="B915" t="s">
        <v>4683</v>
      </c>
      <c r="C915" t="s">
        <v>5739</v>
      </c>
      <c r="D915">
        <v>61130</v>
      </c>
      <c r="E915" t="s">
        <v>478</v>
      </c>
      <c r="F915">
        <v>51.73</v>
      </c>
      <c r="G915" t="s">
        <v>4686</v>
      </c>
      <c r="H915" t="s">
        <v>4687</v>
      </c>
      <c r="I915">
        <v>25473</v>
      </c>
      <c r="J915">
        <v>52068</v>
      </c>
      <c r="K915" t="s">
        <v>884</v>
      </c>
      <c r="L915" t="str">
        <f>SUBSTITUTE(K915,"'","")</f>
        <v>320251620215676798</v>
      </c>
      <c r="M915">
        <v>61130</v>
      </c>
    </row>
    <row r="916" spans="1:13" x14ac:dyDescent="0.4">
      <c r="A916" s="1">
        <v>45819</v>
      </c>
      <c r="B916" t="s">
        <v>4683</v>
      </c>
      <c r="C916" t="s">
        <v>5738</v>
      </c>
      <c r="D916">
        <v>61130</v>
      </c>
      <c r="E916" t="s">
        <v>478</v>
      </c>
      <c r="F916">
        <v>43.66</v>
      </c>
      <c r="G916" t="s">
        <v>4686</v>
      </c>
      <c r="H916" t="s">
        <v>4687</v>
      </c>
      <c r="I916">
        <v>25472</v>
      </c>
      <c r="J916">
        <v>52066</v>
      </c>
      <c r="K916" t="s">
        <v>882</v>
      </c>
      <c r="L916" t="str">
        <f>SUBSTITUTE(K916,"'","")</f>
        <v>320251620215798702</v>
      </c>
      <c r="M916">
        <v>61130</v>
      </c>
    </row>
    <row r="917" spans="1:13" x14ac:dyDescent="0.4">
      <c r="A917" s="1">
        <v>45819</v>
      </c>
      <c r="B917" t="s">
        <v>4683</v>
      </c>
      <c r="C917" t="s">
        <v>6228</v>
      </c>
      <c r="D917">
        <v>64100</v>
      </c>
      <c r="E917" t="s">
        <v>2265</v>
      </c>
      <c r="F917">
        <v>36.9</v>
      </c>
      <c r="G917" t="s">
        <v>4686</v>
      </c>
      <c r="H917" t="s">
        <v>4687</v>
      </c>
      <c r="I917">
        <v>26335</v>
      </c>
      <c r="J917">
        <v>53792</v>
      </c>
      <c r="K917" t="s">
        <v>3619</v>
      </c>
      <c r="L917" t="str">
        <f>SUBSTITUTE(K917,"'","")</f>
        <v>320251630246469321</v>
      </c>
      <c r="M917">
        <v>64100</v>
      </c>
    </row>
    <row r="918" spans="1:13" x14ac:dyDescent="0.4">
      <c r="A918" s="1">
        <v>45819</v>
      </c>
      <c r="B918" t="s">
        <v>4683</v>
      </c>
      <c r="C918" t="s">
        <v>6227</v>
      </c>
      <c r="D918">
        <v>64100</v>
      </c>
      <c r="E918" t="s">
        <v>2259</v>
      </c>
      <c r="F918">
        <v>21.39</v>
      </c>
      <c r="G918" t="s">
        <v>4686</v>
      </c>
      <c r="H918" t="s">
        <v>4687</v>
      </c>
      <c r="I918">
        <v>26334</v>
      </c>
      <c r="J918">
        <v>53790</v>
      </c>
      <c r="K918" t="s">
        <v>3611</v>
      </c>
      <c r="L918" t="str">
        <f>SUBSTITUTE(K918,"'","")</f>
        <v>320251630247620664</v>
      </c>
      <c r="M918">
        <v>64100</v>
      </c>
    </row>
    <row r="919" spans="1:13" x14ac:dyDescent="0.4">
      <c r="A919" s="1">
        <v>45819</v>
      </c>
      <c r="B919" t="s">
        <v>4683</v>
      </c>
      <c r="C919" t="s">
        <v>6226</v>
      </c>
      <c r="D919">
        <v>64100</v>
      </c>
      <c r="E919" t="s">
        <v>461</v>
      </c>
      <c r="F919">
        <v>15</v>
      </c>
      <c r="G919" t="s">
        <v>4686</v>
      </c>
      <c r="H919" t="s">
        <v>4687</v>
      </c>
      <c r="I919">
        <v>26039</v>
      </c>
      <c r="J919">
        <v>53200</v>
      </c>
      <c r="K919" t="s">
        <v>879</v>
      </c>
      <c r="L919" t="str">
        <f>SUBSTITUTE(K919,"'","")</f>
        <v>320251630254354968</v>
      </c>
      <c r="M919">
        <v>64100</v>
      </c>
    </row>
    <row r="920" spans="1:13" x14ac:dyDescent="0.4">
      <c r="A920" s="1">
        <v>45820</v>
      </c>
      <c r="B920" t="s">
        <v>4683</v>
      </c>
      <c r="C920" t="s">
        <v>5740</v>
      </c>
      <c r="D920">
        <v>61130</v>
      </c>
      <c r="E920" t="s">
        <v>478</v>
      </c>
      <c r="F920">
        <v>48.43</v>
      </c>
      <c r="G920" t="s">
        <v>4686</v>
      </c>
      <c r="H920" t="s">
        <v>4687</v>
      </c>
      <c r="I920">
        <v>25474</v>
      </c>
      <c r="J920">
        <v>52070</v>
      </c>
      <c r="K920" t="s">
        <v>875</v>
      </c>
      <c r="L920" t="str">
        <f>SUBSTITUTE(K920,"'","")</f>
        <v>320251630242430112</v>
      </c>
      <c r="M920">
        <v>61130</v>
      </c>
    </row>
    <row r="921" spans="1:13" x14ac:dyDescent="0.4">
      <c r="A921" s="1">
        <v>45820</v>
      </c>
      <c r="B921" t="s">
        <v>4683</v>
      </c>
      <c r="C921" t="s">
        <v>5741</v>
      </c>
      <c r="D921">
        <v>61130</v>
      </c>
      <c r="E921" t="s">
        <v>478</v>
      </c>
      <c r="F921">
        <v>109.14</v>
      </c>
      <c r="G921" t="s">
        <v>4686</v>
      </c>
      <c r="H921" t="s">
        <v>4687</v>
      </c>
      <c r="I921">
        <v>25475</v>
      </c>
      <c r="J921">
        <v>52072</v>
      </c>
      <c r="K921" t="s">
        <v>877</v>
      </c>
      <c r="L921" t="str">
        <f>SUBSTITUTE(K921,"'","")</f>
        <v>320251630242509829</v>
      </c>
      <c r="M921">
        <v>61130</v>
      </c>
    </row>
    <row r="922" spans="1:13" x14ac:dyDescent="0.4">
      <c r="A922" s="1">
        <v>45820</v>
      </c>
      <c r="B922" t="s">
        <v>4683</v>
      </c>
      <c r="C922" t="s">
        <v>6229</v>
      </c>
      <c r="D922">
        <v>64100</v>
      </c>
      <c r="E922" t="s">
        <v>458</v>
      </c>
      <c r="F922">
        <v>16.04</v>
      </c>
      <c r="G922" t="s">
        <v>4686</v>
      </c>
      <c r="H922" t="s">
        <v>4687</v>
      </c>
      <c r="I922">
        <v>25539</v>
      </c>
      <c r="J922">
        <v>52200</v>
      </c>
      <c r="K922" t="s">
        <v>872</v>
      </c>
      <c r="L922" t="str">
        <f>SUBSTITUTE(K922,"'","")</f>
        <v>320251630251012321</v>
      </c>
      <c r="M922">
        <v>64100</v>
      </c>
    </row>
    <row r="923" spans="1:13" x14ac:dyDescent="0.4">
      <c r="A923" s="1">
        <v>45820</v>
      </c>
      <c r="B923" t="s">
        <v>4683</v>
      </c>
      <c r="C923" t="s">
        <v>5065</v>
      </c>
      <c r="D923">
        <v>54820</v>
      </c>
      <c r="E923" t="s">
        <v>2246</v>
      </c>
      <c r="F923">
        <v>11.99</v>
      </c>
      <c r="G923" t="s">
        <v>4686</v>
      </c>
      <c r="H923" t="s">
        <v>4687</v>
      </c>
      <c r="I923">
        <v>26310</v>
      </c>
      <c r="J923">
        <v>53742</v>
      </c>
      <c r="K923" t="s">
        <v>3608</v>
      </c>
      <c r="L923" t="str">
        <f>SUBSTITUTE(K923,"'","")</f>
        <v>320251640289542783</v>
      </c>
      <c r="M923">
        <v>54820</v>
      </c>
    </row>
    <row r="924" spans="1:13" x14ac:dyDescent="0.4">
      <c r="A924" s="1">
        <v>45821</v>
      </c>
      <c r="B924" t="s">
        <v>4683</v>
      </c>
      <c r="C924" t="s">
        <v>5525</v>
      </c>
      <c r="D924">
        <v>61100</v>
      </c>
      <c r="E924" t="s">
        <v>3604</v>
      </c>
      <c r="F924">
        <v>106.99</v>
      </c>
      <c r="G924" t="s">
        <v>4686</v>
      </c>
      <c r="H924" t="s">
        <v>4687</v>
      </c>
      <c r="I924">
        <v>26253</v>
      </c>
      <c r="J924">
        <v>53628</v>
      </c>
      <c r="K924" t="s">
        <v>3606</v>
      </c>
      <c r="L924" t="str">
        <f>SUBSTITUTE(K924,"'","")</f>
        <v>320251640268043173</v>
      </c>
      <c r="M924">
        <v>61100</v>
      </c>
    </row>
    <row r="925" spans="1:13" x14ac:dyDescent="0.4">
      <c r="A925" s="1">
        <v>45821</v>
      </c>
      <c r="B925" t="s">
        <v>4683</v>
      </c>
      <c r="C925" t="s">
        <v>5742</v>
      </c>
      <c r="D925">
        <v>61130</v>
      </c>
      <c r="E925" t="s">
        <v>478</v>
      </c>
      <c r="F925">
        <v>57.18</v>
      </c>
      <c r="G925" t="s">
        <v>4686</v>
      </c>
      <c r="H925" t="s">
        <v>4687</v>
      </c>
      <c r="I925">
        <v>25476</v>
      </c>
      <c r="J925">
        <v>52074</v>
      </c>
      <c r="K925" t="s">
        <v>870</v>
      </c>
      <c r="L925" t="str">
        <f>SUBSTITUTE(K925,"'","")</f>
        <v>320251640270872978</v>
      </c>
      <c r="M925">
        <v>61130</v>
      </c>
    </row>
    <row r="926" spans="1:13" x14ac:dyDescent="0.4">
      <c r="A926" s="1">
        <v>45821</v>
      </c>
      <c r="B926" t="s">
        <v>4683</v>
      </c>
      <c r="C926" t="s">
        <v>5068</v>
      </c>
      <c r="D926">
        <v>54820</v>
      </c>
      <c r="E926" t="s">
        <v>2142</v>
      </c>
      <c r="F926">
        <v>49.64</v>
      </c>
      <c r="G926" t="s">
        <v>4686</v>
      </c>
      <c r="H926" t="s">
        <v>4687</v>
      </c>
      <c r="I926">
        <v>26595</v>
      </c>
      <c r="J926">
        <v>54312</v>
      </c>
      <c r="K926" t="s">
        <v>3601</v>
      </c>
      <c r="L926" t="str">
        <f>SUBSTITUTE(K926,"'","")</f>
        <v>320251650309700809</v>
      </c>
      <c r="M926">
        <v>54820</v>
      </c>
    </row>
    <row r="927" spans="1:13" x14ac:dyDescent="0.4">
      <c r="A927" s="1">
        <v>45821</v>
      </c>
      <c r="B927" t="s">
        <v>4683</v>
      </c>
      <c r="C927" t="s">
        <v>5066</v>
      </c>
      <c r="D927">
        <v>54820</v>
      </c>
      <c r="E927" t="s">
        <v>977</v>
      </c>
      <c r="F927">
        <v>20</v>
      </c>
      <c r="G927" t="s">
        <v>4686</v>
      </c>
      <c r="H927" t="s">
        <v>4687</v>
      </c>
      <c r="I927">
        <v>26481</v>
      </c>
      <c r="J927">
        <v>54084</v>
      </c>
      <c r="K927" t="s">
        <v>3599</v>
      </c>
      <c r="L927" t="str">
        <f>SUBSTITUTE(K927,"'","")</f>
        <v>320251650311901789</v>
      </c>
      <c r="M927">
        <v>54820</v>
      </c>
    </row>
    <row r="928" spans="1:13" x14ac:dyDescent="0.4">
      <c r="A928" s="1">
        <v>45821</v>
      </c>
      <c r="B928" t="s">
        <v>4683</v>
      </c>
      <c r="C928" t="s">
        <v>5067</v>
      </c>
      <c r="D928">
        <v>54820</v>
      </c>
      <c r="E928" t="s">
        <v>2934</v>
      </c>
      <c r="F928">
        <v>12.79</v>
      </c>
      <c r="G928" t="s">
        <v>4686</v>
      </c>
      <c r="H928" t="s">
        <v>4687</v>
      </c>
      <c r="I928">
        <v>26556</v>
      </c>
      <c r="J928">
        <v>54234</v>
      </c>
      <c r="K928" t="s">
        <v>3603</v>
      </c>
      <c r="L928" t="str">
        <f>SUBSTITUTE(K928,"'","")</f>
        <v>320251650315235006</v>
      </c>
      <c r="M928">
        <v>54820</v>
      </c>
    </row>
    <row r="929" spans="1:13" x14ac:dyDescent="0.4">
      <c r="A929" s="1">
        <v>45822</v>
      </c>
      <c r="B929" t="s">
        <v>4683</v>
      </c>
      <c r="C929" t="s">
        <v>5069</v>
      </c>
      <c r="D929">
        <v>54820</v>
      </c>
      <c r="E929" t="s">
        <v>2222</v>
      </c>
      <c r="F929">
        <v>20.18</v>
      </c>
      <c r="G929" t="s">
        <v>4686</v>
      </c>
      <c r="H929" t="s">
        <v>4687</v>
      </c>
      <c r="I929">
        <v>26453</v>
      </c>
      <c r="J929">
        <v>54028</v>
      </c>
      <c r="K929" t="s">
        <v>3592</v>
      </c>
      <c r="L929" t="str">
        <f>SUBSTITUTE(K929,"'","")</f>
        <v>320251650298331854</v>
      </c>
      <c r="M929">
        <v>54820</v>
      </c>
    </row>
    <row r="930" spans="1:13" x14ac:dyDescent="0.4">
      <c r="A930" s="1">
        <v>45822</v>
      </c>
      <c r="B930" t="s">
        <v>4683</v>
      </c>
      <c r="C930" t="s">
        <v>6429</v>
      </c>
      <c r="D930">
        <v>65700</v>
      </c>
      <c r="E930" t="s">
        <v>83</v>
      </c>
      <c r="F930">
        <v>109.42</v>
      </c>
      <c r="G930" t="s">
        <v>4686</v>
      </c>
      <c r="H930" t="s">
        <v>4687</v>
      </c>
      <c r="I930">
        <v>25549</v>
      </c>
      <c r="J930">
        <v>52220</v>
      </c>
      <c r="K930" t="s">
        <v>868</v>
      </c>
      <c r="L930" t="str">
        <f>SUBSTITUTE(K930,"'","")</f>
        <v>320251660339393993</v>
      </c>
      <c r="M930">
        <v>65700</v>
      </c>
    </row>
    <row r="931" spans="1:13" x14ac:dyDescent="0.4">
      <c r="A931" s="1">
        <v>45822</v>
      </c>
      <c r="B931" t="s">
        <v>4683</v>
      </c>
      <c r="C931" t="s">
        <v>5070</v>
      </c>
      <c r="D931">
        <v>54820</v>
      </c>
      <c r="E931" t="s">
        <v>3593</v>
      </c>
      <c r="F931">
        <v>100</v>
      </c>
      <c r="G931" t="s">
        <v>4686</v>
      </c>
      <c r="H931" t="s">
        <v>4687</v>
      </c>
      <c r="I931">
        <v>26979</v>
      </c>
      <c r="J931">
        <v>55080</v>
      </c>
      <c r="K931" t="s">
        <v>3597</v>
      </c>
      <c r="L931" t="str">
        <f>SUBSTITUTE(K931,"'","")</f>
        <v>320251660343403487</v>
      </c>
      <c r="M931">
        <v>54820</v>
      </c>
    </row>
    <row r="932" spans="1:13" x14ac:dyDescent="0.4">
      <c r="A932" s="1">
        <v>45823</v>
      </c>
      <c r="B932" t="s">
        <v>4683</v>
      </c>
      <c r="C932" t="s">
        <v>5073</v>
      </c>
      <c r="D932">
        <v>54820</v>
      </c>
      <c r="E932" t="s">
        <v>3587</v>
      </c>
      <c r="F932">
        <v>80</v>
      </c>
      <c r="G932" t="s">
        <v>4686</v>
      </c>
      <c r="H932" t="s">
        <v>4687</v>
      </c>
      <c r="I932">
        <v>26755</v>
      </c>
      <c r="J932">
        <v>54632</v>
      </c>
      <c r="K932" t="s">
        <v>3590</v>
      </c>
      <c r="L932" t="str">
        <f>SUBSTITUTE(K932,"'","")</f>
        <v>320251670357504310</v>
      </c>
      <c r="M932">
        <v>54820</v>
      </c>
    </row>
    <row r="933" spans="1:13" x14ac:dyDescent="0.4">
      <c r="A933" s="1">
        <v>45823</v>
      </c>
      <c r="B933" t="s">
        <v>4683</v>
      </c>
      <c r="C933" t="s">
        <v>6230</v>
      </c>
      <c r="D933">
        <v>64100</v>
      </c>
      <c r="E933" t="s">
        <v>437</v>
      </c>
      <c r="F933">
        <v>10</v>
      </c>
      <c r="G933" t="s">
        <v>4686</v>
      </c>
      <c r="H933" t="s">
        <v>4687</v>
      </c>
      <c r="I933">
        <v>25574</v>
      </c>
      <c r="J933">
        <v>52270</v>
      </c>
      <c r="K933" t="s">
        <v>866</v>
      </c>
      <c r="L933" t="str">
        <f>SUBSTITUTE(K933,"'","")</f>
        <v>320251670359635481</v>
      </c>
      <c r="M933">
        <v>64100</v>
      </c>
    </row>
    <row r="934" spans="1:13" x14ac:dyDescent="0.4">
      <c r="A934" s="1">
        <v>45823</v>
      </c>
      <c r="B934" t="s">
        <v>4683</v>
      </c>
      <c r="C934" t="s">
        <v>5952</v>
      </c>
      <c r="D934">
        <v>61133</v>
      </c>
      <c r="E934" t="s">
        <v>2458</v>
      </c>
      <c r="F934">
        <v>2.9</v>
      </c>
      <c r="G934" t="s">
        <v>4686</v>
      </c>
      <c r="H934" t="s">
        <v>4687</v>
      </c>
      <c r="I934">
        <v>26686</v>
      </c>
      <c r="J934">
        <v>54494</v>
      </c>
      <c r="K934" t="s">
        <v>3584</v>
      </c>
      <c r="L934" t="str">
        <f>SUBSTITUTE(K934,"'","")</f>
        <v>320251670360085997</v>
      </c>
      <c r="M934">
        <v>61133</v>
      </c>
    </row>
    <row r="935" spans="1:13" x14ac:dyDescent="0.4">
      <c r="A935" s="1">
        <v>45823</v>
      </c>
      <c r="B935" t="s">
        <v>4683</v>
      </c>
      <c r="C935" t="s">
        <v>5953</v>
      </c>
      <c r="D935">
        <v>61133</v>
      </c>
      <c r="E935" t="s">
        <v>2458</v>
      </c>
      <c r="F935">
        <v>2.9</v>
      </c>
      <c r="G935" t="s">
        <v>4686</v>
      </c>
      <c r="H935" t="s">
        <v>4687</v>
      </c>
      <c r="I935">
        <v>26687</v>
      </c>
      <c r="J935">
        <v>54496</v>
      </c>
      <c r="K935" t="s">
        <v>3586</v>
      </c>
      <c r="L935" t="str">
        <f>SUBSTITUTE(K935,"'","")</f>
        <v>320251670360339759</v>
      </c>
      <c r="M935">
        <v>61133</v>
      </c>
    </row>
    <row r="936" spans="1:13" x14ac:dyDescent="0.4">
      <c r="A936" s="1">
        <v>45823</v>
      </c>
      <c r="B936" t="s">
        <v>4683</v>
      </c>
      <c r="C936" t="s">
        <v>5072</v>
      </c>
      <c r="D936">
        <v>54820</v>
      </c>
      <c r="E936" t="s">
        <v>3578</v>
      </c>
      <c r="F936">
        <v>70.06</v>
      </c>
      <c r="G936" t="s">
        <v>4686</v>
      </c>
      <c r="H936" t="s">
        <v>4687</v>
      </c>
      <c r="I936">
        <v>26754</v>
      </c>
      <c r="J936">
        <v>54630</v>
      </c>
      <c r="K936" t="s">
        <v>3580</v>
      </c>
      <c r="L936" t="str">
        <f>SUBSTITUTE(K936,"'","")</f>
        <v>320251670363125512</v>
      </c>
      <c r="M936">
        <v>54820</v>
      </c>
    </row>
    <row r="937" spans="1:13" x14ac:dyDescent="0.4">
      <c r="A937" s="1">
        <v>45823</v>
      </c>
      <c r="B937" t="s">
        <v>4683</v>
      </c>
      <c r="C937" t="s">
        <v>5071</v>
      </c>
      <c r="D937">
        <v>54820</v>
      </c>
      <c r="E937" t="s">
        <v>2934</v>
      </c>
      <c r="F937">
        <v>12.79</v>
      </c>
      <c r="G937" t="s">
        <v>4686</v>
      </c>
      <c r="H937" t="s">
        <v>4687</v>
      </c>
      <c r="I937">
        <v>26557</v>
      </c>
      <c r="J937">
        <v>54236</v>
      </c>
      <c r="K937" t="s">
        <v>3582</v>
      </c>
      <c r="L937" t="str">
        <f>SUBSTITUTE(K937,"'","")</f>
        <v>320251670363672667</v>
      </c>
      <c r="M937">
        <v>54820</v>
      </c>
    </row>
    <row r="938" spans="1:13" x14ac:dyDescent="0.4">
      <c r="A938" s="1">
        <v>45823</v>
      </c>
      <c r="B938" t="s">
        <v>4683</v>
      </c>
      <c r="C938" t="s">
        <v>6395</v>
      </c>
      <c r="D938">
        <v>65505</v>
      </c>
      <c r="E938" t="s">
        <v>856</v>
      </c>
      <c r="F938">
        <v>391.4</v>
      </c>
      <c r="G938" t="s">
        <v>4686</v>
      </c>
      <c r="H938" t="s">
        <v>4687</v>
      </c>
      <c r="I938">
        <v>26082</v>
      </c>
      <c r="J938">
        <v>53286</v>
      </c>
      <c r="K938" t="s">
        <v>861</v>
      </c>
      <c r="L938" t="str">
        <f>SUBSTITUTE(K938,"'","")</f>
        <v>320251670366624714</v>
      </c>
      <c r="M938">
        <v>65505</v>
      </c>
    </row>
    <row r="939" spans="1:13" x14ac:dyDescent="0.4">
      <c r="A939" s="1">
        <v>45823</v>
      </c>
      <c r="B939" t="s">
        <v>4683</v>
      </c>
      <c r="C939" t="s">
        <v>5074</v>
      </c>
      <c r="D939">
        <v>54820</v>
      </c>
      <c r="E939" t="s">
        <v>3574</v>
      </c>
      <c r="F939">
        <v>7.62</v>
      </c>
      <c r="G939" t="s">
        <v>4686</v>
      </c>
      <c r="H939" t="s">
        <v>4687</v>
      </c>
      <c r="I939">
        <v>26980</v>
      </c>
      <c r="J939">
        <v>55082</v>
      </c>
      <c r="K939" t="s">
        <v>3577</v>
      </c>
      <c r="L939" t="str">
        <f>SUBSTITUTE(K939,"'","")</f>
        <v>320251670369043303</v>
      </c>
      <c r="M939">
        <v>54820</v>
      </c>
    </row>
    <row r="940" spans="1:13" x14ac:dyDescent="0.4">
      <c r="A940" s="1">
        <v>45823</v>
      </c>
      <c r="B940" t="s">
        <v>4683</v>
      </c>
      <c r="C940" t="s">
        <v>6060</v>
      </c>
      <c r="D940">
        <v>63100</v>
      </c>
      <c r="E940" t="s">
        <v>57</v>
      </c>
      <c r="F940">
        <v>66.78</v>
      </c>
      <c r="G940" t="s">
        <v>4686</v>
      </c>
      <c r="H940" t="s">
        <v>4687</v>
      </c>
      <c r="I940">
        <v>25666</v>
      </c>
      <c r="J940">
        <v>52454</v>
      </c>
      <c r="K940" t="s">
        <v>864</v>
      </c>
      <c r="L940" t="str">
        <f>SUBSTITUTE(K940,"'","")</f>
        <v>320251670369658555</v>
      </c>
      <c r="M940">
        <v>63100</v>
      </c>
    </row>
    <row r="941" spans="1:13" x14ac:dyDescent="0.4">
      <c r="A941" s="1">
        <v>45824</v>
      </c>
      <c r="B941" t="s">
        <v>4683</v>
      </c>
      <c r="C941" t="s">
        <v>6231</v>
      </c>
      <c r="D941">
        <v>64100</v>
      </c>
      <c r="E941" t="s">
        <v>852</v>
      </c>
      <c r="F941">
        <v>119.88</v>
      </c>
      <c r="G941" t="s">
        <v>4686</v>
      </c>
      <c r="H941" t="s">
        <v>4687</v>
      </c>
      <c r="I941">
        <v>26084</v>
      </c>
      <c r="J941">
        <v>53290</v>
      </c>
      <c r="K941" t="s">
        <v>855</v>
      </c>
      <c r="L941" t="str">
        <f>SUBSTITUTE(K941,"'","")</f>
        <v>320251670350313529</v>
      </c>
      <c r="M941">
        <v>64100</v>
      </c>
    </row>
    <row r="942" spans="1:13" x14ac:dyDescent="0.4">
      <c r="A942" s="1">
        <v>45824</v>
      </c>
      <c r="B942" t="s">
        <v>4683</v>
      </c>
      <c r="C942" t="s">
        <v>5077</v>
      </c>
      <c r="D942">
        <v>54820</v>
      </c>
      <c r="E942" t="s">
        <v>2125</v>
      </c>
      <c r="F942">
        <v>27.99</v>
      </c>
      <c r="G942" t="s">
        <v>4686</v>
      </c>
      <c r="H942" t="s">
        <v>4687</v>
      </c>
      <c r="I942">
        <v>26530</v>
      </c>
      <c r="J942">
        <v>54182</v>
      </c>
      <c r="K942" t="s">
        <v>3571</v>
      </c>
      <c r="L942" t="str">
        <f>SUBSTITUTE(K942,"'","")</f>
        <v>320251670352470193</v>
      </c>
      <c r="M942">
        <v>54820</v>
      </c>
    </row>
    <row r="943" spans="1:13" x14ac:dyDescent="0.4">
      <c r="A943" s="1">
        <v>45824</v>
      </c>
      <c r="B943" t="s">
        <v>4683</v>
      </c>
      <c r="C943" t="s">
        <v>5075</v>
      </c>
      <c r="D943">
        <v>54820</v>
      </c>
      <c r="E943" t="s">
        <v>2240</v>
      </c>
      <c r="F943">
        <v>73.33</v>
      </c>
      <c r="G943" t="s">
        <v>4686</v>
      </c>
      <c r="H943" t="s">
        <v>4687</v>
      </c>
      <c r="I943">
        <v>26138</v>
      </c>
      <c r="J943">
        <v>53398</v>
      </c>
      <c r="K943" t="s">
        <v>3573</v>
      </c>
      <c r="L943" t="str">
        <f>SUBSTITUTE(K943,"'","")</f>
        <v>320251680388061909</v>
      </c>
      <c r="M943">
        <v>54820</v>
      </c>
    </row>
    <row r="944" spans="1:13" x14ac:dyDescent="0.4">
      <c r="A944" s="1">
        <v>45824</v>
      </c>
      <c r="B944" t="s">
        <v>4683</v>
      </c>
      <c r="C944" t="s">
        <v>5076</v>
      </c>
      <c r="D944">
        <v>54820</v>
      </c>
      <c r="E944" t="s">
        <v>2344</v>
      </c>
      <c r="F944">
        <v>50.67</v>
      </c>
      <c r="G944" t="s">
        <v>4686</v>
      </c>
      <c r="H944" t="s">
        <v>4687</v>
      </c>
      <c r="I944">
        <v>26268</v>
      </c>
      <c r="J944">
        <v>53658</v>
      </c>
      <c r="K944" t="s">
        <v>3569</v>
      </c>
      <c r="L944" t="str">
        <f>SUBSTITUTE(K944,"'","")</f>
        <v>320251680399816682</v>
      </c>
      <c r="M944">
        <v>54820</v>
      </c>
    </row>
    <row r="945" spans="1:13" x14ac:dyDescent="0.4">
      <c r="A945" s="1">
        <v>45825</v>
      </c>
      <c r="B945" t="s">
        <v>4683</v>
      </c>
      <c r="C945" t="s">
        <v>5911</v>
      </c>
      <c r="D945">
        <v>61131</v>
      </c>
      <c r="E945" t="s">
        <v>574</v>
      </c>
      <c r="F945">
        <v>32.65</v>
      </c>
      <c r="G945" t="s">
        <v>4686</v>
      </c>
      <c r="H945" t="s">
        <v>4687</v>
      </c>
      <c r="I945">
        <v>25738</v>
      </c>
      <c r="J945">
        <v>52598</v>
      </c>
      <c r="K945" t="s">
        <v>851</v>
      </c>
      <c r="L945" t="str">
        <f>SUBSTITUTE(K945,"'","")</f>
        <v>320251680385647163</v>
      </c>
      <c r="M945">
        <v>61131</v>
      </c>
    </row>
    <row r="946" spans="1:13" x14ac:dyDescent="0.4">
      <c r="A946" s="1">
        <v>45825</v>
      </c>
      <c r="B946" t="s">
        <v>4683</v>
      </c>
      <c r="C946" t="s">
        <v>5078</v>
      </c>
      <c r="D946">
        <v>54820</v>
      </c>
      <c r="E946" t="s">
        <v>2764</v>
      </c>
      <c r="F946">
        <v>9.8000000000000007</v>
      </c>
      <c r="G946" t="s">
        <v>4686</v>
      </c>
      <c r="H946" t="s">
        <v>4687</v>
      </c>
      <c r="I946">
        <v>26736</v>
      </c>
      <c r="J946">
        <v>54594</v>
      </c>
      <c r="K946" t="s">
        <v>3567</v>
      </c>
      <c r="L946" t="str">
        <f>SUBSTITUTE(K946,"'","")</f>
        <v>320251690421982387</v>
      </c>
      <c r="M946">
        <v>54820</v>
      </c>
    </row>
    <row r="947" spans="1:13" x14ac:dyDescent="0.4">
      <c r="A947" s="1">
        <v>45825</v>
      </c>
      <c r="B947" t="s">
        <v>4683</v>
      </c>
      <c r="C947" t="s">
        <v>5910</v>
      </c>
      <c r="D947">
        <v>61131</v>
      </c>
      <c r="E947" t="s">
        <v>38</v>
      </c>
      <c r="F947" s="5">
        <v>1131.55</v>
      </c>
      <c r="G947" t="s">
        <v>4686</v>
      </c>
      <c r="H947" t="s">
        <v>4687</v>
      </c>
      <c r="I947">
        <v>25632</v>
      </c>
      <c r="J947">
        <v>52386</v>
      </c>
      <c r="K947" t="s">
        <v>849</v>
      </c>
      <c r="L947" t="str">
        <f>SUBSTITUTE(K947,"'","")</f>
        <v>320251690423266720</v>
      </c>
      <c r="M947">
        <v>61131</v>
      </c>
    </row>
    <row r="948" spans="1:13" x14ac:dyDescent="0.4">
      <c r="A948" s="1">
        <v>45826</v>
      </c>
      <c r="B948" t="s">
        <v>4683</v>
      </c>
      <c r="C948" t="s">
        <v>5743</v>
      </c>
      <c r="D948">
        <v>61130</v>
      </c>
      <c r="E948" t="s">
        <v>478</v>
      </c>
      <c r="F948">
        <v>32.68</v>
      </c>
      <c r="G948" t="s">
        <v>4686</v>
      </c>
      <c r="H948" t="s">
        <v>4687</v>
      </c>
      <c r="I948">
        <v>25477</v>
      </c>
      <c r="J948">
        <v>52076</v>
      </c>
      <c r="K948" t="s">
        <v>845</v>
      </c>
      <c r="L948" t="str">
        <f>SUBSTITUTE(K948,"'","")</f>
        <v>320251690409907019</v>
      </c>
      <c r="M948">
        <v>61130</v>
      </c>
    </row>
    <row r="949" spans="1:13" x14ac:dyDescent="0.4">
      <c r="A949" s="1">
        <v>45826</v>
      </c>
      <c r="B949" t="s">
        <v>4683</v>
      </c>
      <c r="C949" t="s">
        <v>5744</v>
      </c>
      <c r="D949">
        <v>61130</v>
      </c>
      <c r="E949" t="s">
        <v>478</v>
      </c>
      <c r="F949">
        <v>35.159999999999997</v>
      </c>
      <c r="G949" t="s">
        <v>4686</v>
      </c>
      <c r="H949" t="s">
        <v>4687</v>
      </c>
      <c r="I949">
        <v>25478</v>
      </c>
      <c r="J949">
        <v>52078</v>
      </c>
      <c r="K949" t="s">
        <v>847</v>
      </c>
      <c r="L949" t="str">
        <f>SUBSTITUTE(K949,"'","")</f>
        <v>320251690410771401</v>
      </c>
      <c r="M949">
        <v>61130</v>
      </c>
    </row>
    <row r="950" spans="1:13" x14ac:dyDescent="0.4">
      <c r="A950" s="1">
        <v>45826</v>
      </c>
      <c r="B950" t="s">
        <v>4683</v>
      </c>
      <c r="C950" t="s">
        <v>6232</v>
      </c>
      <c r="D950">
        <v>64100</v>
      </c>
      <c r="E950" t="s">
        <v>97</v>
      </c>
      <c r="F950">
        <v>299</v>
      </c>
      <c r="G950" t="s">
        <v>4686</v>
      </c>
      <c r="H950" t="s">
        <v>4687</v>
      </c>
      <c r="I950">
        <v>25913</v>
      </c>
      <c r="J950">
        <v>52948</v>
      </c>
      <c r="K950" t="s">
        <v>843</v>
      </c>
      <c r="L950" t="str">
        <f>SUBSTITUTE(K950,"'","")</f>
        <v>320251700438173615</v>
      </c>
      <c r="M950">
        <v>64100</v>
      </c>
    </row>
    <row r="951" spans="1:13" x14ac:dyDescent="0.4">
      <c r="A951" s="1">
        <v>45826</v>
      </c>
      <c r="B951" t="s">
        <v>4683</v>
      </c>
      <c r="C951" t="s">
        <v>5912</v>
      </c>
      <c r="D951">
        <v>61131</v>
      </c>
      <c r="E951" t="s">
        <v>327</v>
      </c>
      <c r="F951">
        <v>11.19</v>
      </c>
      <c r="G951" t="s">
        <v>4686</v>
      </c>
      <c r="H951" t="s">
        <v>4687</v>
      </c>
      <c r="I951">
        <v>25739</v>
      </c>
      <c r="J951">
        <v>52600</v>
      </c>
      <c r="K951" t="s">
        <v>841</v>
      </c>
      <c r="L951" t="str">
        <f>SUBSTITUTE(K951,"'","")</f>
        <v>320251700446667131</v>
      </c>
      <c r="M951">
        <v>61131</v>
      </c>
    </row>
    <row r="952" spans="1:13" x14ac:dyDescent="0.4">
      <c r="A952" s="1">
        <v>45826</v>
      </c>
      <c r="B952" t="s">
        <v>4683</v>
      </c>
      <c r="C952" t="s">
        <v>5079</v>
      </c>
      <c r="D952">
        <v>54820</v>
      </c>
      <c r="E952" t="s">
        <v>2934</v>
      </c>
      <c r="F952">
        <v>12.79</v>
      </c>
      <c r="G952" t="s">
        <v>4686</v>
      </c>
      <c r="H952" t="s">
        <v>4687</v>
      </c>
      <c r="I952">
        <v>26558</v>
      </c>
      <c r="J952">
        <v>54238</v>
      </c>
      <c r="K952" t="s">
        <v>3565</v>
      </c>
      <c r="L952" t="str">
        <f>SUBSTITUTE(K952,"'","")</f>
        <v>320251700448438217</v>
      </c>
      <c r="M952">
        <v>54820</v>
      </c>
    </row>
    <row r="953" spans="1:13" x14ac:dyDescent="0.4">
      <c r="A953" s="1">
        <v>45827</v>
      </c>
      <c r="B953" t="s">
        <v>4683</v>
      </c>
      <c r="C953" t="s">
        <v>5745</v>
      </c>
      <c r="D953">
        <v>61130</v>
      </c>
      <c r="E953" t="s">
        <v>478</v>
      </c>
      <c r="F953">
        <v>20.34</v>
      </c>
      <c r="G953" t="s">
        <v>4686</v>
      </c>
      <c r="H953" t="s">
        <v>4687</v>
      </c>
      <c r="I953">
        <v>25479</v>
      </c>
      <c r="J953">
        <v>52080</v>
      </c>
      <c r="K953" t="s">
        <v>833</v>
      </c>
      <c r="L953" t="str">
        <f>SUBSTITUTE(K953,"'","")</f>
        <v>320251700437786531</v>
      </c>
      <c r="M953">
        <v>61130</v>
      </c>
    </row>
    <row r="954" spans="1:13" x14ac:dyDescent="0.4">
      <c r="A954" s="1">
        <v>45827</v>
      </c>
      <c r="B954" t="s">
        <v>4683</v>
      </c>
      <c r="C954" t="s">
        <v>5748</v>
      </c>
      <c r="D954">
        <v>61130</v>
      </c>
      <c r="E954" t="s">
        <v>478</v>
      </c>
      <c r="F954">
        <v>84.55</v>
      </c>
      <c r="G954" t="s">
        <v>4686</v>
      </c>
      <c r="H954" t="s">
        <v>4687</v>
      </c>
      <c r="I954">
        <v>25482</v>
      </c>
      <c r="J954">
        <v>52086</v>
      </c>
      <c r="K954" t="s">
        <v>839</v>
      </c>
      <c r="L954" t="str">
        <f>SUBSTITUTE(K954,"'","")</f>
        <v>320251700437823311</v>
      </c>
      <c r="M954">
        <v>61130</v>
      </c>
    </row>
    <row r="955" spans="1:13" x14ac:dyDescent="0.4">
      <c r="A955" s="1">
        <v>45827</v>
      </c>
      <c r="B955" t="s">
        <v>4683</v>
      </c>
      <c r="C955" t="s">
        <v>5746</v>
      </c>
      <c r="D955">
        <v>61130</v>
      </c>
      <c r="E955" t="s">
        <v>478</v>
      </c>
      <c r="F955">
        <v>70.06</v>
      </c>
      <c r="G955" t="s">
        <v>4686</v>
      </c>
      <c r="H955" t="s">
        <v>4687</v>
      </c>
      <c r="I955">
        <v>25480</v>
      </c>
      <c r="J955">
        <v>52082</v>
      </c>
      <c r="K955" t="s">
        <v>835</v>
      </c>
      <c r="L955" t="str">
        <f>SUBSTITUTE(K955,"'","")</f>
        <v>320251700438113020</v>
      </c>
      <c r="M955">
        <v>61130</v>
      </c>
    </row>
    <row r="956" spans="1:13" x14ac:dyDescent="0.4">
      <c r="A956" s="1">
        <v>45827</v>
      </c>
      <c r="B956" t="s">
        <v>4683</v>
      </c>
      <c r="C956" t="s">
        <v>5747</v>
      </c>
      <c r="D956">
        <v>61130</v>
      </c>
      <c r="E956" t="s">
        <v>478</v>
      </c>
      <c r="F956">
        <v>80.44</v>
      </c>
      <c r="G956" t="s">
        <v>4686</v>
      </c>
      <c r="H956" t="s">
        <v>4687</v>
      </c>
      <c r="I956">
        <v>25481</v>
      </c>
      <c r="J956">
        <v>52084</v>
      </c>
      <c r="K956" t="s">
        <v>837</v>
      </c>
      <c r="L956" t="str">
        <f>SUBSTITUTE(K956,"'","")</f>
        <v>320251700438917891</v>
      </c>
      <c r="M956">
        <v>61130</v>
      </c>
    </row>
    <row r="957" spans="1:13" x14ac:dyDescent="0.4">
      <c r="A957" s="1">
        <v>45827</v>
      </c>
      <c r="B957" t="s">
        <v>4683</v>
      </c>
      <c r="C957" t="s">
        <v>5913</v>
      </c>
      <c r="D957">
        <v>61131</v>
      </c>
      <c r="E957" t="s">
        <v>317</v>
      </c>
      <c r="F957">
        <v>24.95</v>
      </c>
      <c r="G957" t="s">
        <v>4686</v>
      </c>
      <c r="H957" t="s">
        <v>4687</v>
      </c>
      <c r="I957">
        <v>25649</v>
      </c>
      <c r="J957">
        <v>52420</v>
      </c>
      <c r="K957" t="s">
        <v>831</v>
      </c>
      <c r="L957" t="str">
        <f>SUBSTITUTE(K957,"'","")</f>
        <v>320251700455958607</v>
      </c>
      <c r="M957">
        <v>61131</v>
      </c>
    </row>
    <row r="958" spans="1:13" x14ac:dyDescent="0.4">
      <c r="A958" s="1">
        <v>45827</v>
      </c>
      <c r="B958" t="s">
        <v>4683</v>
      </c>
      <c r="C958" t="s">
        <v>5081</v>
      </c>
      <c r="D958">
        <v>54820</v>
      </c>
      <c r="E958" t="s">
        <v>3558</v>
      </c>
      <c r="F958">
        <v>38.08</v>
      </c>
      <c r="G958" t="s">
        <v>4686</v>
      </c>
      <c r="H958" t="s">
        <v>4687</v>
      </c>
      <c r="I958">
        <v>26596</v>
      </c>
      <c r="J958">
        <v>54314</v>
      </c>
      <c r="K958" t="s">
        <v>3560</v>
      </c>
      <c r="L958" t="str">
        <f>SUBSTITUTE(K958,"'","")</f>
        <v>320251710470975710</v>
      </c>
      <c r="M958">
        <v>54820</v>
      </c>
    </row>
    <row r="959" spans="1:13" x14ac:dyDescent="0.4">
      <c r="A959" s="1">
        <v>45827</v>
      </c>
      <c r="B959" t="s">
        <v>4683</v>
      </c>
      <c r="C959" t="s">
        <v>5080</v>
      </c>
      <c r="D959">
        <v>54820</v>
      </c>
      <c r="E959" t="s">
        <v>2934</v>
      </c>
      <c r="F959">
        <v>12.79</v>
      </c>
      <c r="G959" t="s">
        <v>4686</v>
      </c>
      <c r="H959" t="s">
        <v>4687</v>
      </c>
      <c r="I959">
        <v>26559</v>
      </c>
      <c r="J959">
        <v>54240</v>
      </c>
      <c r="K959" t="s">
        <v>3562</v>
      </c>
      <c r="L959" t="str">
        <f>SUBSTITUTE(K959,"'","")</f>
        <v>320251740560253771</v>
      </c>
      <c r="M959">
        <v>54820</v>
      </c>
    </row>
    <row r="960" spans="1:13" x14ac:dyDescent="0.4">
      <c r="A960" s="1">
        <v>45828</v>
      </c>
      <c r="B960" t="s">
        <v>4683</v>
      </c>
      <c r="C960" t="s">
        <v>5083</v>
      </c>
      <c r="D960">
        <v>54820</v>
      </c>
      <c r="E960" t="s">
        <v>3554</v>
      </c>
      <c r="F960">
        <v>120.51</v>
      </c>
      <c r="G960" t="s">
        <v>4686</v>
      </c>
      <c r="H960" t="s">
        <v>4687</v>
      </c>
      <c r="I960">
        <v>26981</v>
      </c>
      <c r="J960">
        <v>55084</v>
      </c>
      <c r="K960" t="s">
        <v>3557</v>
      </c>
      <c r="L960" t="str">
        <f>SUBSTITUTE(K960,"'","")</f>
        <v>320251710460784537</v>
      </c>
      <c r="M960">
        <v>54820</v>
      </c>
    </row>
    <row r="961" spans="1:13" x14ac:dyDescent="0.4">
      <c r="A961" s="1">
        <v>45828</v>
      </c>
      <c r="B961" t="s">
        <v>4683</v>
      </c>
      <c r="C961" t="s">
        <v>5082</v>
      </c>
      <c r="D961">
        <v>54820</v>
      </c>
      <c r="E961" t="s">
        <v>2125</v>
      </c>
      <c r="F961">
        <v>13.9</v>
      </c>
      <c r="G961" t="s">
        <v>4686</v>
      </c>
      <c r="H961" t="s">
        <v>4687</v>
      </c>
      <c r="I961">
        <v>26531</v>
      </c>
      <c r="J961">
        <v>54184</v>
      </c>
      <c r="K961" t="s">
        <v>3553</v>
      </c>
      <c r="L961" t="str">
        <f>SUBSTITUTE(K961,"'","")</f>
        <v>320251710465196415</v>
      </c>
      <c r="M961">
        <v>54820</v>
      </c>
    </row>
    <row r="962" spans="1:13" x14ac:dyDescent="0.4">
      <c r="A962" s="1">
        <v>45828</v>
      </c>
      <c r="B962" t="s">
        <v>4683</v>
      </c>
      <c r="C962" t="s">
        <v>6484</v>
      </c>
      <c r="D962">
        <v>67500</v>
      </c>
      <c r="E962" t="s">
        <v>106</v>
      </c>
      <c r="F962">
        <v>92.71</v>
      </c>
      <c r="G962" t="s">
        <v>4686</v>
      </c>
      <c r="H962" t="s">
        <v>4687</v>
      </c>
      <c r="I962">
        <v>25874</v>
      </c>
      <c r="J962">
        <v>52870</v>
      </c>
      <c r="K962" t="s">
        <v>828</v>
      </c>
      <c r="L962" t="str">
        <f>SUBSTITUTE(K962,"'","")</f>
        <v>320251710467590026</v>
      </c>
      <c r="M962">
        <v>67500</v>
      </c>
    </row>
    <row r="963" spans="1:13" x14ac:dyDescent="0.4">
      <c r="A963" s="1">
        <v>45829</v>
      </c>
      <c r="B963" t="s">
        <v>4683</v>
      </c>
      <c r="C963" t="s">
        <v>6233</v>
      </c>
      <c r="D963">
        <v>64100</v>
      </c>
      <c r="E963" t="s">
        <v>3543</v>
      </c>
      <c r="F963">
        <v>15</v>
      </c>
      <c r="G963" t="s">
        <v>4686</v>
      </c>
      <c r="H963" t="s">
        <v>4687</v>
      </c>
      <c r="I963">
        <v>26663</v>
      </c>
      <c r="J963">
        <v>54448</v>
      </c>
      <c r="K963" t="s">
        <v>3545</v>
      </c>
      <c r="L963" t="str">
        <f>SUBSTITUTE(K963,"'","")</f>
        <v>320251720491756721</v>
      </c>
      <c r="M963">
        <v>64100</v>
      </c>
    </row>
    <row r="964" spans="1:13" x14ac:dyDescent="0.4">
      <c r="A964" s="1">
        <v>45829</v>
      </c>
      <c r="B964" t="s">
        <v>4683</v>
      </c>
      <c r="C964" t="s">
        <v>5086</v>
      </c>
      <c r="D964">
        <v>54820</v>
      </c>
      <c r="E964" t="s">
        <v>2181</v>
      </c>
      <c r="F964">
        <v>70.61</v>
      </c>
      <c r="G964" t="s">
        <v>4686</v>
      </c>
      <c r="H964" t="s">
        <v>4687</v>
      </c>
      <c r="I964">
        <v>26982</v>
      </c>
      <c r="J964">
        <v>55086</v>
      </c>
      <c r="K964" t="s">
        <v>3542</v>
      </c>
      <c r="L964" t="str">
        <f>SUBSTITUTE(K964,"'","")</f>
        <v>320251720495848648</v>
      </c>
      <c r="M964">
        <v>54820</v>
      </c>
    </row>
    <row r="965" spans="1:13" x14ac:dyDescent="0.4">
      <c r="A965" s="1">
        <v>45829</v>
      </c>
      <c r="B965" t="s">
        <v>4683</v>
      </c>
      <c r="C965" t="s">
        <v>6485</v>
      </c>
      <c r="D965">
        <v>67500</v>
      </c>
      <c r="E965" t="s">
        <v>106</v>
      </c>
      <c r="F965">
        <v>19</v>
      </c>
      <c r="G965" t="s">
        <v>4686</v>
      </c>
      <c r="H965" t="s">
        <v>4687</v>
      </c>
      <c r="I965">
        <v>26367</v>
      </c>
      <c r="J965">
        <v>53856</v>
      </c>
      <c r="K965" t="s">
        <v>3549</v>
      </c>
      <c r="L965" t="str">
        <f>SUBSTITUTE(K965,"'","")</f>
        <v>320251720495945070</v>
      </c>
      <c r="M965">
        <v>67500</v>
      </c>
    </row>
    <row r="966" spans="1:13" x14ac:dyDescent="0.4">
      <c r="A966" s="1">
        <v>45829</v>
      </c>
      <c r="B966" t="s">
        <v>4683</v>
      </c>
      <c r="C966" t="s">
        <v>5085</v>
      </c>
      <c r="D966">
        <v>54820</v>
      </c>
      <c r="E966" t="s">
        <v>2142</v>
      </c>
      <c r="F966">
        <v>23</v>
      </c>
      <c r="G966" t="s">
        <v>4686</v>
      </c>
      <c r="H966" t="s">
        <v>4687</v>
      </c>
      <c r="I966">
        <v>26597</v>
      </c>
      <c r="J966">
        <v>54316</v>
      </c>
      <c r="K966" t="s">
        <v>3547</v>
      </c>
      <c r="L966" t="str">
        <f>SUBSTITUTE(K966,"'","")</f>
        <v>320251730532448980</v>
      </c>
      <c r="M966">
        <v>54820</v>
      </c>
    </row>
    <row r="967" spans="1:13" x14ac:dyDescent="0.4">
      <c r="A967" s="1">
        <v>45829</v>
      </c>
      <c r="B967" t="s">
        <v>4683</v>
      </c>
      <c r="C967" t="s">
        <v>5084</v>
      </c>
      <c r="D967">
        <v>54820</v>
      </c>
      <c r="E967" t="s">
        <v>2240</v>
      </c>
      <c r="F967">
        <v>117.34</v>
      </c>
      <c r="G967" t="s">
        <v>4686</v>
      </c>
      <c r="H967" t="s">
        <v>4687</v>
      </c>
      <c r="I967">
        <v>26139</v>
      </c>
      <c r="J967">
        <v>53400</v>
      </c>
      <c r="K967" t="s">
        <v>3551</v>
      </c>
      <c r="L967" t="str">
        <f>SUBSTITUTE(K967,"'","")</f>
        <v>320251730535642551</v>
      </c>
      <c r="M967">
        <v>54820</v>
      </c>
    </row>
    <row r="968" spans="1:13" x14ac:dyDescent="0.4">
      <c r="A968" s="1">
        <v>45830</v>
      </c>
      <c r="B968" t="s">
        <v>4683</v>
      </c>
      <c r="C968" t="s">
        <v>5749</v>
      </c>
      <c r="D968">
        <v>61130</v>
      </c>
      <c r="E968" t="s">
        <v>605</v>
      </c>
      <c r="F968">
        <v>22.79</v>
      </c>
      <c r="G968" t="s">
        <v>4686</v>
      </c>
      <c r="H968" t="s">
        <v>4687</v>
      </c>
      <c r="I968">
        <v>25483</v>
      </c>
      <c r="J968">
        <v>52088</v>
      </c>
      <c r="K968" t="s">
        <v>824</v>
      </c>
      <c r="L968" t="str">
        <f>SUBSTITUTE(K968,"'","")</f>
        <v>320251730520338697</v>
      </c>
      <c r="M968">
        <v>61130</v>
      </c>
    </row>
    <row r="969" spans="1:13" x14ac:dyDescent="0.4">
      <c r="A969" s="1">
        <v>45830</v>
      </c>
      <c r="B969" t="s">
        <v>4683</v>
      </c>
      <c r="C969" t="s">
        <v>5750</v>
      </c>
      <c r="D969">
        <v>61130</v>
      </c>
      <c r="E969" t="s">
        <v>478</v>
      </c>
      <c r="F969">
        <v>185.72</v>
      </c>
      <c r="G969" t="s">
        <v>4686</v>
      </c>
      <c r="H969" t="s">
        <v>4687</v>
      </c>
      <c r="I969">
        <v>25484</v>
      </c>
      <c r="J969">
        <v>52090</v>
      </c>
      <c r="K969" t="s">
        <v>826</v>
      </c>
      <c r="L969" t="str">
        <f>SUBSTITUTE(K969,"'","")</f>
        <v>320251730522914471</v>
      </c>
      <c r="M969">
        <v>61130</v>
      </c>
    </row>
    <row r="970" spans="1:13" x14ac:dyDescent="0.4">
      <c r="A970" s="1">
        <v>45830</v>
      </c>
      <c r="B970" t="s">
        <v>4683</v>
      </c>
      <c r="C970" t="s">
        <v>6234</v>
      </c>
      <c r="D970">
        <v>64100</v>
      </c>
      <c r="E970" t="s">
        <v>32</v>
      </c>
      <c r="F970">
        <v>21.4</v>
      </c>
      <c r="G970" t="s">
        <v>4686</v>
      </c>
      <c r="H970" t="s">
        <v>4687</v>
      </c>
      <c r="I970">
        <v>25564</v>
      </c>
      <c r="J970">
        <v>52250</v>
      </c>
      <c r="K970" t="s">
        <v>822</v>
      </c>
      <c r="L970" t="str">
        <f>SUBSTITUTE(K970,"'","")</f>
        <v>320251730524482219</v>
      </c>
      <c r="M970">
        <v>64100</v>
      </c>
    </row>
    <row r="971" spans="1:13" x14ac:dyDescent="0.4">
      <c r="A971" s="1">
        <v>45830</v>
      </c>
      <c r="B971" t="s">
        <v>4683</v>
      </c>
      <c r="C971" t="s">
        <v>5611</v>
      </c>
      <c r="D971">
        <v>61120</v>
      </c>
      <c r="E971" t="s">
        <v>816</v>
      </c>
      <c r="F971" s="5">
        <v>2331.4</v>
      </c>
      <c r="G971" t="s">
        <v>4686</v>
      </c>
      <c r="H971" t="s">
        <v>4687</v>
      </c>
      <c r="I971">
        <v>25688</v>
      </c>
      <c r="J971">
        <v>52498</v>
      </c>
      <c r="K971" t="s">
        <v>820</v>
      </c>
      <c r="L971" t="str">
        <f>SUBSTITUTE(K971,"'","")</f>
        <v>320251730531662661</v>
      </c>
      <c r="M971">
        <v>61120</v>
      </c>
    </row>
    <row r="972" spans="1:13" x14ac:dyDescent="0.4">
      <c r="A972" s="1">
        <v>45830</v>
      </c>
      <c r="B972" t="s">
        <v>4683</v>
      </c>
      <c r="C972" t="s">
        <v>6235</v>
      </c>
      <c r="D972">
        <v>64100</v>
      </c>
      <c r="E972" t="s">
        <v>3535</v>
      </c>
      <c r="F972">
        <v>92.55</v>
      </c>
      <c r="G972" t="s">
        <v>4686</v>
      </c>
      <c r="H972" t="s">
        <v>4687</v>
      </c>
      <c r="I972">
        <v>26726</v>
      </c>
      <c r="J972">
        <v>54574</v>
      </c>
      <c r="K972" t="s">
        <v>3538</v>
      </c>
      <c r="L972" t="str">
        <f>SUBSTITUTE(K972,"'","")</f>
        <v>320251760615088069</v>
      </c>
      <c r="M972">
        <v>64100</v>
      </c>
    </row>
    <row r="973" spans="1:13" x14ac:dyDescent="0.4">
      <c r="A973" s="1">
        <v>45830</v>
      </c>
      <c r="B973" t="s">
        <v>4683</v>
      </c>
      <c r="C973" t="s">
        <v>6236</v>
      </c>
      <c r="D973">
        <v>64100</v>
      </c>
      <c r="E973" t="s">
        <v>3535</v>
      </c>
      <c r="F973">
        <v>182.9</v>
      </c>
      <c r="G973" t="s">
        <v>4686</v>
      </c>
      <c r="H973" t="s">
        <v>4687</v>
      </c>
      <c r="I973">
        <v>26727</v>
      </c>
      <c r="J973">
        <v>54576</v>
      </c>
      <c r="K973" t="s">
        <v>3540</v>
      </c>
      <c r="L973" t="str">
        <f>SUBSTITUTE(K973,"'","")</f>
        <v>320251760615088097</v>
      </c>
      <c r="M973">
        <v>64100</v>
      </c>
    </row>
    <row r="974" spans="1:13" x14ac:dyDescent="0.4">
      <c r="A974" s="1">
        <v>45831</v>
      </c>
      <c r="B974" t="s">
        <v>4683</v>
      </c>
      <c r="C974" t="s">
        <v>5089</v>
      </c>
      <c r="D974">
        <v>54820</v>
      </c>
      <c r="E974" t="s">
        <v>2181</v>
      </c>
      <c r="F974">
        <v>73.37</v>
      </c>
      <c r="G974" t="s">
        <v>4686</v>
      </c>
      <c r="H974" t="s">
        <v>4687</v>
      </c>
      <c r="I974">
        <v>26983</v>
      </c>
      <c r="J974">
        <v>55088</v>
      </c>
      <c r="K974" t="s">
        <v>3529</v>
      </c>
      <c r="L974" t="str">
        <f>SUBSTITUTE(K974,"'","")</f>
        <v>320251740546060317</v>
      </c>
      <c r="M974">
        <v>54820</v>
      </c>
    </row>
    <row r="975" spans="1:13" x14ac:dyDescent="0.4">
      <c r="A975" s="1">
        <v>45831</v>
      </c>
      <c r="B975" t="s">
        <v>4683</v>
      </c>
      <c r="C975" t="s">
        <v>5087</v>
      </c>
      <c r="D975">
        <v>54820</v>
      </c>
      <c r="E975" t="s">
        <v>977</v>
      </c>
      <c r="F975">
        <v>10</v>
      </c>
      <c r="G975" t="s">
        <v>4686</v>
      </c>
      <c r="H975" t="s">
        <v>4687</v>
      </c>
      <c r="I975">
        <v>26482</v>
      </c>
      <c r="J975">
        <v>54086</v>
      </c>
      <c r="K975" t="s">
        <v>3531</v>
      </c>
      <c r="L975" t="str">
        <f>SUBSTITUTE(K975,"'","")</f>
        <v>320251740567569611</v>
      </c>
      <c r="M975">
        <v>54820</v>
      </c>
    </row>
    <row r="976" spans="1:13" x14ac:dyDescent="0.4">
      <c r="A976" s="1">
        <v>45831</v>
      </c>
      <c r="B976" t="s">
        <v>4683</v>
      </c>
      <c r="C976" t="s">
        <v>5088</v>
      </c>
      <c r="D976">
        <v>54820</v>
      </c>
      <c r="E976" t="s">
        <v>2142</v>
      </c>
      <c r="F976">
        <v>15</v>
      </c>
      <c r="G976" t="s">
        <v>4686</v>
      </c>
      <c r="H976" t="s">
        <v>4687</v>
      </c>
      <c r="I976">
        <v>26598</v>
      </c>
      <c r="J976">
        <v>54318</v>
      </c>
      <c r="K976" t="s">
        <v>3533</v>
      </c>
      <c r="L976" t="str">
        <f>SUBSTITUTE(K976,"'","")</f>
        <v>320251750581263175</v>
      </c>
      <c r="M976">
        <v>54820</v>
      </c>
    </row>
    <row r="977" spans="1:13" x14ac:dyDescent="0.4">
      <c r="A977" s="1">
        <v>45832</v>
      </c>
      <c r="B977" t="s">
        <v>4683</v>
      </c>
      <c r="C977" t="s">
        <v>5751</v>
      </c>
      <c r="D977">
        <v>61130</v>
      </c>
      <c r="E977" t="s">
        <v>605</v>
      </c>
      <c r="F977">
        <v>20.87</v>
      </c>
      <c r="G977" t="s">
        <v>4686</v>
      </c>
      <c r="H977" t="s">
        <v>4687</v>
      </c>
      <c r="I977">
        <v>25485</v>
      </c>
      <c r="J977">
        <v>52092</v>
      </c>
      <c r="K977" t="s">
        <v>814</v>
      </c>
      <c r="L977" t="str">
        <f>SUBSTITUTE(K977,"'","")</f>
        <v>320251750571657659</v>
      </c>
      <c r="M977">
        <v>61130</v>
      </c>
    </row>
    <row r="978" spans="1:13" x14ac:dyDescent="0.4">
      <c r="A978" s="1">
        <v>45832</v>
      </c>
      <c r="B978" t="s">
        <v>4683</v>
      </c>
      <c r="C978" t="s">
        <v>5092</v>
      </c>
      <c r="D978">
        <v>54820</v>
      </c>
      <c r="E978" t="s">
        <v>3177</v>
      </c>
      <c r="F978">
        <v>20.76</v>
      </c>
      <c r="G978" t="s">
        <v>4686</v>
      </c>
      <c r="H978" t="s">
        <v>4687</v>
      </c>
      <c r="I978">
        <v>26984</v>
      </c>
      <c r="J978">
        <v>55090</v>
      </c>
      <c r="K978" t="s">
        <v>3520</v>
      </c>
      <c r="L978" t="str">
        <f>SUBSTITUTE(K978,"'","")</f>
        <v>320251750586383956</v>
      </c>
      <c r="M978">
        <v>54820</v>
      </c>
    </row>
    <row r="979" spans="1:13" x14ac:dyDescent="0.4">
      <c r="A979" s="1">
        <v>45832</v>
      </c>
      <c r="B979" t="s">
        <v>4683</v>
      </c>
      <c r="C979" t="s">
        <v>5091</v>
      </c>
      <c r="D979">
        <v>54820</v>
      </c>
      <c r="E979" t="s">
        <v>2764</v>
      </c>
      <c r="F979">
        <v>8.66</v>
      </c>
      <c r="G979" t="s">
        <v>4686</v>
      </c>
      <c r="H979" t="s">
        <v>4687</v>
      </c>
      <c r="I979">
        <v>26737</v>
      </c>
      <c r="J979">
        <v>54596</v>
      </c>
      <c r="K979" t="s">
        <v>3518</v>
      </c>
      <c r="L979" t="str">
        <f>SUBSTITUTE(K979,"'","")</f>
        <v>320251760612947778</v>
      </c>
      <c r="M979">
        <v>54820</v>
      </c>
    </row>
    <row r="980" spans="1:13" x14ac:dyDescent="0.4">
      <c r="A980" s="1">
        <v>45832</v>
      </c>
      <c r="B980" t="s">
        <v>4683</v>
      </c>
      <c r="C980" t="s">
        <v>5093</v>
      </c>
      <c r="D980">
        <v>54820</v>
      </c>
      <c r="E980" t="s">
        <v>3523</v>
      </c>
      <c r="F980">
        <v>40</v>
      </c>
      <c r="G980" t="s">
        <v>4686</v>
      </c>
      <c r="H980" t="s">
        <v>4687</v>
      </c>
      <c r="I980">
        <v>26985</v>
      </c>
      <c r="J980">
        <v>55092</v>
      </c>
      <c r="K980" t="s">
        <v>3527</v>
      </c>
      <c r="L980" t="str">
        <f>SUBSTITUTE(K980,"'","")</f>
        <v>320251760620530198</v>
      </c>
      <c r="M980">
        <v>54820</v>
      </c>
    </row>
    <row r="981" spans="1:13" x14ac:dyDescent="0.4">
      <c r="A981" s="1">
        <v>45832</v>
      </c>
      <c r="B981" t="s">
        <v>4683</v>
      </c>
      <c r="C981" t="s">
        <v>5090</v>
      </c>
      <c r="D981">
        <v>54820</v>
      </c>
      <c r="E981" t="s">
        <v>2934</v>
      </c>
      <c r="F981">
        <v>12.79</v>
      </c>
      <c r="G981" t="s">
        <v>4686</v>
      </c>
      <c r="H981" t="s">
        <v>4687</v>
      </c>
      <c r="I981">
        <v>26560</v>
      </c>
      <c r="J981">
        <v>54242</v>
      </c>
      <c r="K981" t="s">
        <v>3522</v>
      </c>
      <c r="L981" t="str">
        <f>SUBSTITUTE(K981,"'","")</f>
        <v>320251800719942551</v>
      </c>
      <c r="M981">
        <v>54820</v>
      </c>
    </row>
    <row r="982" spans="1:13" x14ac:dyDescent="0.4">
      <c r="A982" s="1">
        <v>45833</v>
      </c>
      <c r="B982" t="s">
        <v>4683</v>
      </c>
      <c r="C982" t="s">
        <v>5914</v>
      </c>
      <c r="D982">
        <v>61131</v>
      </c>
      <c r="E982" t="s">
        <v>448</v>
      </c>
      <c r="F982">
        <v>7.2</v>
      </c>
      <c r="G982" t="s">
        <v>4686</v>
      </c>
      <c r="H982" t="s">
        <v>4687</v>
      </c>
      <c r="I982">
        <v>25740</v>
      </c>
      <c r="J982">
        <v>52602</v>
      </c>
      <c r="K982" t="s">
        <v>808</v>
      </c>
      <c r="L982" t="str">
        <f>SUBSTITUTE(K982,"'","")</f>
        <v>320251770638957002</v>
      </c>
      <c r="M982">
        <v>61131</v>
      </c>
    </row>
    <row r="983" spans="1:13" x14ac:dyDescent="0.4">
      <c r="A983" s="1">
        <v>45833</v>
      </c>
      <c r="B983" t="s">
        <v>4683</v>
      </c>
      <c r="C983" t="s">
        <v>5095</v>
      </c>
      <c r="D983">
        <v>54820</v>
      </c>
      <c r="E983" t="s">
        <v>3406</v>
      </c>
      <c r="F983">
        <v>34.42</v>
      </c>
      <c r="G983" t="s">
        <v>4686</v>
      </c>
      <c r="H983" t="s">
        <v>4687</v>
      </c>
      <c r="I983">
        <v>26986</v>
      </c>
      <c r="J983">
        <v>55094</v>
      </c>
      <c r="K983" t="s">
        <v>3516</v>
      </c>
      <c r="L983" t="str">
        <f>SUBSTITUTE(K983,"'","")</f>
        <v>320251770646623129</v>
      </c>
      <c r="M983">
        <v>54820</v>
      </c>
    </row>
    <row r="984" spans="1:13" x14ac:dyDescent="0.4">
      <c r="A984" s="1">
        <v>45833</v>
      </c>
      <c r="B984" t="s">
        <v>4683</v>
      </c>
      <c r="C984" t="s">
        <v>5094</v>
      </c>
      <c r="D984">
        <v>54820</v>
      </c>
      <c r="E984" t="s">
        <v>809</v>
      </c>
      <c r="F984" s="5">
        <v>1011.02</v>
      </c>
      <c r="G984" t="s">
        <v>4686</v>
      </c>
      <c r="H984" t="s">
        <v>4687</v>
      </c>
      <c r="I984">
        <v>26015</v>
      </c>
      <c r="J984">
        <v>53152</v>
      </c>
      <c r="K984" t="s">
        <v>812</v>
      </c>
      <c r="L984" t="str">
        <f>SUBSTITUTE(K984,"'","")</f>
        <v>320251790684846309</v>
      </c>
      <c r="M984">
        <v>54820</v>
      </c>
    </row>
    <row r="985" spans="1:13" x14ac:dyDescent="0.4">
      <c r="A985" s="1">
        <v>45834</v>
      </c>
      <c r="B985" t="s">
        <v>4683</v>
      </c>
      <c r="C985" t="s">
        <v>5096</v>
      </c>
      <c r="D985">
        <v>54820</v>
      </c>
      <c r="E985" t="s">
        <v>804</v>
      </c>
      <c r="F985">
        <v>10.99</v>
      </c>
      <c r="G985" t="s">
        <v>4686</v>
      </c>
      <c r="H985" t="s">
        <v>4687</v>
      </c>
      <c r="I985">
        <v>25706</v>
      </c>
      <c r="J985">
        <v>52534</v>
      </c>
      <c r="K985" t="s">
        <v>806</v>
      </c>
      <c r="L985" t="str">
        <f>SUBSTITUTE(K985,"'","")</f>
        <v>320251770629782187</v>
      </c>
      <c r="M985">
        <v>54820</v>
      </c>
    </row>
    <row r="986" spans="1:13" x14ac:dyDescent="0.4">
      <c r="A986" s="1">
        <v>45834</v>
      </c>
      <c r="B986" t="s">
        <v>4683</v>
      </c>
      <c r="C986" t="s">
        <v>5100</v>
      </c>
      <c r="D986">
        <v>54820</v>
      </c>
      <c r="E986" t="s">
        <v>2592</v>
      </c>
      <c r="F986">
        <v>9</v>
      </c>
      <c r="G986" t="s">
        <v>4686</v>
      </c>
      <c r="H986" t="s">
        <v>4687</v>
      </c>
      <c r="I986">
        <v>26987</v>
      </c>
      <c r="J986">
        <v>55096</v>
      </c>
      <c r="K986" t="s">
        <v>3514</v>
      </c>
      <c r="L986" t="str">
        <f>SUBSTITUTE(K986,"'","")</f>
        <v>320251770636649619</v>
      </c>
      <c r="M986">
        <v>54820</v>
      </c>
    </row>
    <row r="987" spans="1:13" x14ac:dyDescent="0.4">
      <c r="A987" s="1">
        <v>45834</v>
      </c>
      <c r="B987" t="s">
        <v>4683</v>
      </c>
      <c r="C987" t="s">
        <v>5098</v>
      </c>
      <c r="D987">
        <v>54820</v>
      </c>
      <c r="E987" t="s">
        <v>3151</v>
      </c>
      <c r="F987">
        <v>77.02</v>
      </c>
      <c r="G987" t="s">
        <v>4686</v>
      </c>
      <c r="H987" t="s">
        <v>4687</v>
      </c>
      <c r="I987">
        <v>26194</v>
      </c>
      <c r="J987">
        <v>53510</v>
      </c>
      <c r="K987" t="s">
        <v>3506</v>
      </c>
      <c r="L987" t="str">
        <f>SUBSTITUTE(K987,"'","")</f>
        <v>320251780666987232</v>
      </c>
      <c r="M987">
        <v>54820</v>
      </c>
    </row>
    <row r="988" spans="1:13" x14ac:dyDescent="0.4">
      <c r="A988" s="1">
        <v>45834</v>
      </c>
      <c r="B988" t="s">
        <v>4683</v>
      </c>
      <c r="C988" t="s">
        <v>6023</v>
      </c>
      <c r="D988">
        <v>61215</v>
      </c>
      <c r="E988" t="s">
        <v>3507</v>
      </c>
      <c r="F988">
        <v>400</v>
      </c>
      <c r="G988" t="s">
        <v>4686</v>
      </c>
      <c r="H988" t="s">
        <v>4687</v>
      </c>
      <c r="I988">
        <v>26756</v>
      </c>
      <c r="J988">
        <v>54634</v>
      </c>
      <c r="K988" t="s">
        <v>3510</v>
      </c>
      <c r="L988" t="str">
        <f>SUBSTITUTE(K988,"'","")</f>
        <v>320251780669304737</v>
      </c>
      <c r="M988">
        <v>61215</v>
      </c>
    </row>
    <row r="989" spans="1:13" x14ac:dyDescent="0.4">
      <c r="A989" s="1">
        <v>45834</v>
      </c>
      <c r="B989" t="s">
        <v>4683</v>
      </c>
      <c r="C989" t="s">
        <v>6237</v>
      </c>
      <c r="D989">
        <v>64100</v>
      </c>
      <c r="E989" t="s">
        <v>1792</v>
      </c>
      <c r="F989">
        <v>16.05</v>
      </c>
      <c r="G989" t="s">
        <v>4686</v>
      </c>
      <c r="H989" t="s">
        <v>4687</v>
      </c>
      <c r="I989">
        <v>26411</v>
      </c>
      <c r="J989">
        <v>53944</v>
      </c>
      <c r="K989" t="s">
        <v>3498</v>
      </c>
      <c r="L989" t="str">
        <f>SUBSTITUTE(K989,"'","")</f>
        <v>320251780669376175</v>
      </c>
      <c r="M989">
        <v>64100</v>
      </c>
    </row>
    <row r="990" spans="1:13" x14ac:dyDescent="0.4">
      <c r="A990" s="1">
        <v>45834</v>
      </c>
      <c r="B990" t="s">
        <v>4683</v>
      </c>
      <c r="C990" t="s">
        <v>5099</v>
      </c>
      <c r="D990">
        <v>54820</v>
      </c>
      <c r="E990" t="s">
        <v>2764</v>
      </c>
      <c r="F990">
        <v>7.57</v>
      </c>
      <c r="G990" t="s">
        <v>4686</v>
      </c>
      <c r="H990" t="s">
        <v>4687</v>
      </c>
      <c r="I990">
        <v>26738</v>
      </c>
      <c r="J990">
        <v>54598</v>
      </c>
      <c r="K990" t="s">
        <v>3496</v>
      </c>
      <c r="L990" t="str">
        <f>SUBSTITUTE(K990,"'","")</f>
        <v>320251780670516524</v>
      </c>
      <c r="M990">
        <v>54820</v>
      </c>
    </row>
    <row r="991" spans="1:13" x14ac:dyDescent="0.4">
      <c r="A991" s="1">
        <v>45834</v>
      </c>
      <c r="B991" t="s">
        <v>4683</v>
      </c>
      <c r="C991" t="s">
        <v>6024</v>
      </c>
      <c r="D991">
        <v>61215</v>
      </c>
      <c r="E991" t="s">
        <v>3507</v>
      </c>
      <c r="F991">
        <v>400</v>
      </c>
      <c r="G991" t="s">
        <v>4686</v>
      </c>
      <c r="H991" t="s">
        <v>4687</v>
      </c>
      <c r="I991">
        <v>26757</v>
      </c>
      <c r="J991">
        <v>54636</v>
      </c>
      <c r="K991" t="s">
        <v>3512</v>
      </c>
      <c r="L991" t="str">
        <f>SUBSTITUTE(K991,"'","")</f>
        <v>320251780671246755</v>
      </c>
      <c r="M991">
        <v>61215</v>
      </c>
    </row>
    <row r="992" spans="1:13" x14ac:dyDescent="0.4">
      <c r="A992" s="1">
        <v>45834</v>
      </c>
      <c r="B992" t="s">
        <v>4683</v>
      </c>
      <c r="C992" t="s">
        <v>5097</v>
      </c>
      <c r="D992">
        <v>54820</v>
      </c>
      <c r="E992" t="s">
        <v>2158</v>
      </c>
      <c r="F992">
        <v>200</v>
      </c>
      <c r="G992" t="s">
        <v>4686</v>
      </c>
      <c r="H992" t="s">
        <v>4687</v>
      </c>
      <c r="I992">
        <v>26182</v>
      </c>
      <c r="J992">
        <v>53486</v>
      </c>
      <c r="K992" t="s">
        <v>3504</v>
      </c>
      <c r="L992" t="str">
        <f>SUBSTITUTE(K992,"'","")</f>
        <v>320251790707197396</v>
      </c>
      <c r="M992">
        <v>54820</v>
      </c>
    </row>
    <row r="993" spans="1:13" x14ac:dyDescent="0.4">
      <c r="A993" s="1">
        <v>45834</v>
      </c>
      <c r="B993" t="s">
        <v>4683</v>
      </c>
      <c r="C993" t="s">
        <v>6486</v>
      </c>
      <c r="D993">
        <v>67500</v>
      </c>
      <c r="E993" t="s">
        <v>3499</v>
      </c>
      <c r="F993">
        <v>184</v>
      </c>
      <c r="G993" t="s">
        <v>4686</v>
      </c>
      <c r="H993" t="s">
        <v>4687</v>
      </c>
      <c r="I993">
        <v>26368</v>
      </c>
      <c r="J993">
        <v>53858</v>
      </c>
      <c r="K993" t="s">
        <v>3502</v>
      </c>
      <c r="L993" t="str">
        <f>SUBSTITUTE(K993,"'","")</f>
        <v>320251820777732835</v>
      </c>
      <c r="M993">
        <v>67500</v>
      </c>
    </row>
    <row r="994" spans="1:13" x14ac:dyDescent="0.4">
      <c r="A994" s="1">
        <v>45835</v>
      </c>
      <c r="B994" t="s">
        <v>4683</v>
      </c>
      <c r="C994" t="s">
        <v>5102</v>
      </c>
      <c r="D994">
        <v>54820</v>
      </c>
      <c r="E994" t="s">
        <v>3490</v>
      </c>
      <c r="F994">
        <v>591</v>
      </c>
      <c r="G994" t="s">
        <v>4686</v>
      </c>
      <c r="H994" t="s">
        <v>4687</v>
      </c>
      <c r="I994">
        <v>26832</v>
      </c>
      <c r="J994">
        <v>54786</v>
      </c>
      <c r="K994" t="s">
        <v>3494</v>
      </c>
      <c r="L994" t="str">
        <f>SUBSTITUTE(K994,"'","")</f>
        <v>320251780656198967</v>
      </c>
      <c r="M994">
        <v>54820</v>
      </c>
    </row>
    <row r="995" spans="1:13" x14ac:dyDescent="0.4">
      <c r="A995" s="1">
        <v>45835</v>
      </c>
      <c r="B995" t="s">
        <v>4683</v>
      </c>
      <c r="C995" t="s">
        <v>5101</v>
      </c>
      <c r="D995">
        <v>54820</v>
      </c>
      <c r="E995" t="s">
        <v>2934</v>
      </c>
      <c r="F995">
        <v>12.79</v>
      </c>
      <c r="G995" t="s">
        <v>4686</v>
      </c>
      <c r="H995" t="s">
        <v>4687</v>
      </c>
      <c r="I995">
        <v>26561</v>
      </c>
      <c r="J995">
        <v>54244</v>
      </c>
      <c r="K995" t="s">
        <v>3485</v>
      </c>
      <c r="L995" t="str">
        <f>SUBSTITUTE(K995,"'","")</f>
        <v>320251790695286276</v>
      </c>
      <c r="M995">
        <v>54820</v>
      </c>
    </row>
    <row r="996" spans="1:13" x14ac:dyDescent="0.4">
      <c r="A996" s="1">
        <v>45835</v>
      </c>
      <c r="B996" t="s">
        <v>4683</v>
      </c>
      <c r="C996" t="s">
        <v>6487</v>
      </c>
      <c r="D996">
        <v>67500</v>
      </c>
      <c r="E996" t="s">
        <v>2146</v>
      </c>
      <c r="F996">
        <v>41.72</v>
      </c>
      <c r="G996" t="s">
        <v>4686</v>
      </c>
      <c r="H996" t="s">
        <v>4687</v>
      </c>
      <c r="I996">
        <v>26434</v>
      </c>
      <c r="J996">
        <v>53990</v>
      </c>
      <c r="K996" t="s">
        <v>3483</v>
      </c>
      <c r="L996" t="str">
        <f>SUBSTITUTE(K996,"'","")</f>
        <v>320251790703270238</v>
      </c>
      <c r="M996">
        <v>67500</v>
      </c>
    </row>
    <row r="997" spans="1:13" x14ac:dyDescent="0.4">
      <c r="A997" s="1">
        <v>45835</v>
      </c>
      <c r="B997" t="s">
        <v>4683</v>
      </c>
      <c r="C997" t="s">
        <v>5103</v>
      </c>
      <c r="D997">
        <v>54820</v>
      </c>
      <c r="E997" t="s">
        <v>3486</v>
      </c>
      <c r="F997">
        <v>23.43</v>
      </c>
      <c r="G997" t="s">
        <v>4686</v>
      </c>
      <c r="H997" t="s">
        <v>4687</v>
      </c>
      <c r="I997">
        <v>26988</v>
      </c>
      <c r="J997">
        <v>55098</v>
      </c>
      <c r="K997" t="s">
        <v>3489</v>
      </c>
      <c r="L997" t="str">
        <f>SUBSTITUTE(K997,"'","")</f>
        <v>320251790708578654</v>
      </c>
      <c r="M997">
        <v>54820</v>
      </c>
    </row>
    <row r="998" spans="1:13" x14ac:dyDescent="0.4">
      <c r="A998" s="1">
        <v>45836</v>
      </c>
      <c r="B998" t="s">
        <v>4683</v>
      </c>
      <c r="C998" t="s">
        <v>5105</v>
      </c>
      <c r="D998">
        <v>54820</v>
      </c>
      <c r="E998" t="s">
        <v>3468</v>
      </c>
      <c r="F998">
        <v>904.55</v>
      </c>
      <c r="G998" t="s">
        <v>4686</v>
      </c>
      <c r="H998" t="s">
        <v>4687</v>
      </c>
      <c r="I998">
        <v>26990</v>
      </c>
      <c r="J998">
        <v>55102</v>
      </c>
      <c r="K998" t="s">
        <v>3471</v>
      </c>
      <c r="L998" t="str">
        <f>SUBSTITUTE(K998,"'","")</f>
        <v>320251790685977263</v>
      </c>
      <c r="M998">
        <v>54820</v>
      </c>
    </row>
    <row r="999" spans="1:13" x14ac:dyDescent="0.4">
      <c r="A999" s="1">
        <v>45836</v>
      </c>
      <c r="B999" t="s">
        <v>4683</v>
      </c>
      <c r="C999" t="s">
        <v>5756</v>
      </c>
      <c r="D999">
        <v>61130</v>
      </c>
      <c r="E999" t="s">
        <v>605</v>
      </c>
      <c r="F999">
        <v>20.079999999999998</v>
      </c>
      <c r="G999" t="s">
        <v>4686</v>
      </c>
      <c r="H999" t="s">
        <v>4687</v>
      </c>
      <c r="I999">
        <v>25490</v>
      </c>
      <c r="J999">
        <v>52102</v>
      </c>
      <c r="K999" t="s">
        <v>803</v>
      </c>
      <c r="L999" t="str">
        <f>SUBSTITUTE(K999,"'","")</f>
        <v>320251790686815739</v>
      </c>
      <c r="M999">
        <v>61130</v>
      </c>
    </row>
    <row r="1000" spans="1:13" x14ac:dyDescent="0.4">
      <c r="A1000" s="1">
        <v>45836</v>
      </c>
      <c r="B1000" t="s">
        <v>4683</v>
      </c>
      <c r="C1000" t="s">
        <v>5752</v>
      </c>
      <c r="D1000">
        <v>61130</v>
      </c>
      <c r="E1000" t="s">
        <v>605</v>
      </c>
      <c r="F1000">
        <v>3</v>
      </c>
      <c r="G1000" t="s">
        <v>4686</v>
      </c>
      <c r="H1000" t="s">
        <v>4687</v>
      </c>
      <c r="I1000">
        <v>25486</v>
      </c>
      <c r="J1000">
        <v>52094</v>
      </c>
      <c r="K1000" t="s">
        <v>795</v>
      </c>
      <c r="L1000" t="str">
        <f>SUBSTITUTE(K1000,"'","")</f>
        <v>320251790687565071</v>
      </c>
      <c r="M1000">
        <v>61130</v>
      </c>
    </row>
    <row r="1001" spans="1:13" x14ac:dyDescent="0.4">
      <c r="A1001" s="1">
        <v>45836</v>
      </c>
      <c r="B1001" t="s">
        <v>4683</v>
      </c>
      <c r="C1001" t="s">
        <v>5754</v>
      </c>
      <c r="D1001">
        <v>61130</v>
      </c>
      <c r="E1001" t="s">
        <v>605</v>
      </c>
      <c r="F1001">
        <v>17.82</v>
      </c>
      <c r="G1001" t="s">
        <v>4686</v>
      </c>
      <c r="H1001" t="s">
        <v>4687</v>
      </c>
      <c r="I1001">
        <v>25488</v>
      </c>
      <c r="J1001">
        <v>52098</v>
      </c>
      <c r="K1001" t="s">
        <v>799</v>
      </c>
      <c r="L1001" t="str">
        <f>SUBSTITUTE(K1001,"'","")</f>
        <v>320251790689074175</v>
      </c>
      <c r="M1001">
        <v>61130</v>
      </c>
    </row>
    <row r="1002" spans="1:13" x14ac:dyDescent="0.4">
      <c r="A1002" s="1">
        <v>45836</v>
      </c>
      <c r="B1002" t="s">
        <v>4683</v>
      </c>
      <c r="C1002" t="s">
        <v>5755</v>
      </c>
      <c r="D1002">
        <v>61130</v>
      </c>
      <c r="E1002" t="s">
        <v>605</v>
      </c>
      <c r="F1002">
        <v>17.82</v>
      </c>
      <c r="G1002" t="s">
        <v>4686</v>
      </c>
      <c r="H1002" t="s">
        <v>4687</v>
      </c>
      <c r="I1002">
        <v>25489</v>
      </c>
      <c r="J1002">
        <v>52100</v>
      </c>
      <c r="K1002" t="s">
        <v>801</v>
      </c>
      <c r="L1002" t="str">
        <f>SUBSTITUTE(K1002,"'","")</f>
        <v>320251790689142356</v>
      </c>
      <c r="M1002">
        <v>61130</v>
      </c>
    </row>
    <row r="1003" spans="1:13" x14ac:dyDescent="0.4">
      <c r="A1003" s="1">
        <v>45836</v>
      </c>
      <c r="B1003" t="s">
        <v>4683</v>
      </c>
      <c r="C1003" t="s">
        <v>5753</v>
      </c>
      <c r="D1003">
        <v>61130</v>
      </c>
      <c r="E1003" t="s">
        <v>605</v>
      </c>
      <c r="F1003">
        <v>3</v>
      </c>
      <c r="G1003" t="s">
        <v>4686</v>
      </c>
      <c r="H1003" t="s">
        <v>4687</v>
      </c>
      <c r="I1003">
        <v>25487</v>
      </c>
      <c r="J1003">
        <v>52096</v>
      </c>
      <c r="K1003" t="s">
        <v>797</v>
      </c>
      <c r="L1003" t="str">
        <f>SUBSTITUTE(K1003,"'","")</f>
        <v>320251790689159951</v>
      </c>
      <c r="M1003">
        <v>61130</v>
      </c>
    </row>
    <row r="1004" spans="1:13" x14ac:dyDescent="0.4">
      <c r="A1004" s="1">
        <v>45836</v>
      </c>
      <c r="B1004" t="s">
        <v>4683</v>
      </c>
      <c r="C1004" t="s">
        <v>6488</v>
      </c>
      <c r="D1004">
        <v>67500</v>
      </c>
      <c r="E1004" t="s">
        <v>106</v>
      </c>
      <c r="F1004">
        <v>61.91</v>
      </c>
      <c r="G1004" t="s">
        <v>4686</v>
      </c>
      <c r="H1004" t="s">
        <v>4687</v>
      </c>
      <c r="I1004">
        <v>26369</v>
      </c>
      <c r="J1004">
        <v>53860</v>
      </c>
      <c r="K1004" t="s">
        <v>3481</v>
      </c>
      <c r="L1004" t="str">
        <f>SUBSTITUTE(K1004,"'","")</f>
        <v>320251790689349813</v>
      </c>
      <c r="M1004">
        <v>67500</v>
      </c>
    </row>
    <row r="1005" spans="1:13" x14ac:dyDescent="0.4">
      <c r="A1005" s="1">
        <v>45836</v>
      </c>
      <c r="B1005" t="s">
        <v>4683</v>
      </c>
      <c r="C1005" t="s">
        <v>5106</v>
      </c>
      <c r="D1005">
        <v>54820</v>
      </c>
      <c r="E1005" t="s">
        <v>3472</v>
      </c>
      <c r="F1005">
        <v>9.17</v>
      </c>
      <c r="G1005" t="s">
        <v>4686</v>
      </c>
      <c r="H1005" t="s">
        <v>4687</v>
      </c>
      <c r="I1005">
        <v>26991</v>
      </c>
      <c r="J1005">
        <v>55104</v>
      </c>
      <c r="K1005" t="s">
        <v>3474</v>
      </c>
      <c r="L1005" t="str">
        <f>SUBSTITUTE(K1005,"'","")</f>
        <v>320251790689410986</v>
      </c>
      <c r="M1005">
        <v>54820</v>
      </c>
    </row>
    <row r="1006" spans="1:13" x14ac:dyDescent="0.4">
      <c r="A1006" s="1">
        <v>45836</v>
      </c>
      <c r="B1006" t="s">
        <v>4683</v>
      </c>
      <c r="C1006" t="s">
        <v>5104</v>
      </c>
      <c r="D1006">
        <v>54820</v>
      </c>
      <c r="E1006" t="s">
        <v>2670</v>
      </c>
      <c r="F1006">
        <v>355.3</v>
      </c>
      <c r="G1006" t="s">
        <v>4686</v>
      </c>
      <c r="H1006" t="s">
        <v>4687</v>
      </c>
      <c r="I1006">
        <v>26989</v>
      </c>
      <c r="J1006">
        <v>55100</v>
      </c>
      <c r="K1006" t="s">
        <v>3467</v>
      </c>
      <c r="L1006" t="str">
        <f>SUBSTITUTE(K1006,"'","")</f>
        <v>320251800725195269</v>
      </c>
      <c r="M1006">
        <v>54820</v>
      </c>
    </row>
    <row r="1007" spans="1:13" x14ac:dyDescent="0.4">
      <c r="A1007" s="1">
        <v>45836</v>
      </c>
      <c r="B1007" t="s">
        <v>4683</v>
      </c>
      <c r="C1007" t="s">
        <v>5107</v>
      </c>
      <c r="D1007">
        <v>54820</v>
      </c>
      <c r="E1007" t="s">
        <v>3475</v>
      </c>
      <c r="F1007">
        <v>250</v>
      </c>
      <c r="G1007" t="s">
        <v>4686</v>
      </c>
      <c r="H1007" t="s">
        <v>4687</v>
      </c>
      <c r="I1007">
        <v>26992</v>
      </c>
      <c r="J1007">
        <v>55106</v>
      </c>
      <c r="K1007" t="s">
        <v>3478</v>
      </c>
      <c r="L1007" t="str">
        <f>SUBSTITUTE(K1007,"'","")</f>
        <v>320251800729410007</v>
      </c>
      <c r="M1007">
        <v>54820</v>
      </c>
    </row>
    <row r="1008" spans="1:13" x14ac:dyDescent="0.4">
      <c r="A1008" s="1">
        <v>45837</v>
      </c>
      <c r="B1008" t="s">
        <v>4683</v>
      </c>
      <c r="C1008" t="s">
        <v>5760</v>
      </c>
      <c r="D1008">
        <v>61130</v>
      </c>
      <c r="E1008" t="s">
        <v>605</v>
      </c>
      <c r="F1008">
        <v>30.69</v>
      </c>
      <c r="G1008" t="s">
        <v>4686</v>
      </c>
      <c r="H1008" t="s">
        <v>4687</v>
      </c>
      <c r="I1008">
        <v>25494</v>
      </c>
      <c r="J1008">
        <v>52110</v>
      </c>
      <c r="K1008" t="s">
        <v>791</v>
      </c>
      <c r="L1008" t="str">
        <f>SUBSTITUTE(K1008,"'","")</f>
        <v>320251800711755047</v>
      </c>
      <c r="M1008">
        <v>61130</v>
      </c>
    </row>
    <row r="1009" spans="1:13" x14ac:dyDescent="0.4">
      <c r="A1009" s="1">
        <v>45837</v>
      </c>
      <c r="B1009" t="s">
        <v>4683</v>
      </c>
      <c r="C1009" t="s">
        <v>5758</v>
      </c>
      <c r="D1009">
        <v>61130</v>
      </c>
      <c r="E1009" t="s">
        <v>605</v>
      </c>
      <c r="F1009">
        <v>17.760000000000002</v>
      </c>
      <c r="G1009" t="s">
        <v>4686</v>
      </c>
      <c r="H1009" t="s">
        <v>4687</v>
      </c>
      <c r="I1009">
        <v>25492</v>
      </c>
      <c r="J1009">
        <v>52106</v>
      </c>
      <c r="K1009" t="s">
        <v>787</v>
      </c>
      <c r="L1009" t="str">
        <f>SUBSTITUTE(K1009,"'","")</f>
        <v>320251800714791510</v>
      </c>
      <c r="M1009">
        <v>61130</v>
      </c>
    </row>
    <row r="1010" spans="1:13" x14ac:dyDescent="0.4">
      <c r="A1010" s="1">
        <v>45837</v>
      </c>
      <c r="B1010" t="s">
        <v>4683</v>
      </c>
      <c r="C1010" t="s">
        <v>5757</v>
      </c>
      <c r="D1010">
        <v>61130</v>
      </c>
      <c r="E1010" t="s">
        <v>605</v>
      </c>
      <c r="F1010">
        <v>3</v>
      </c>
      <c r="G1010" t="s">
        <v>4686</v>
      </c>
      <c r="H1010" t="s">
        <v>4687</v>
      </c>
      <c r="I1010">
        <v>25491</v>
      </c>
      <c r="J1010">
        <v>52104</v>
      </c>
      <c r="K1010" t="s">
        <v>785</v>
      </c>
      <c r="L1010" t="str">
        <f>SUBSTITUTE(K1010,"'","")</f>
        <v>320251800715784321</v>
      </c>
      <c r="M1010">
        <v>61130</v>
      </c>
    </row>
    <row r="1011" spans="1:13" x14ac:dyDescent="0.4">
      <c r="A1011" s="1">
        <v>45837</v>
      </c>
      <c r="B1011" t="s">
        <v>4683</v>
      </c>
      <c r="C1011" t="s">
        <v>5761</v>
      </c>
      <c r="D1011">
        <v>61130</v>
      </c>
      <c r="E1011" t="s">
        <v>605</v>
      </c>
      <c r="F1011">
        <v>34.159999999999997</v>
      </c>
      <c r="G1011" t="s">
        <v>4686</v>
      </c>
      <c r="H1011" t="s">
        <v>4687</v>
      </c>
      <c r="I1011">
        <v>25495</v>
      </c>
      <c r="J1011">
        <v>52112</v>
      </c>
      <c r="K1011" t="s">
        <v>793</v>
      </c>
      <c r="L1011" t="str">
        <f>SUBSTITUTE(K1011,"'","")</f>
        <v>320251800715833482</v>
      </c>
      <c r="M1011">
        <v>61130</v>
      </c>
    </row>
    <row r="1012" spans="1:13" x14ac:dyDescent="0.4">
      <c r="A1012" s="1">
        <v>45837</v>
      </c>
      <c r="B1012" t="s">
        <v>4683</v>
      </c>
      <c r="C1012" t="s">
        <v>5759</v>
      </c>
      <c r="D1012">
        <v>61130</v>
      </c>
      <c r="E1012" t="s">
        <v>605</v>
      </c>
      <c r="F1012">
        <v>28.34</v>
      </c>
      <c r="G1012" t="s">
        <v>4686</v>
      </c>
      <c r="H1012" t="s">
        <v>4687</v>
      </c>
      <c r="I1012">
        <v>25493</v>
      </c>
      <c r="J1012">
        <v>52108</v>
      </c>
      <c r="K1012" t="s">
        <v>789</v>
      </c>
      <c r="L1012" t="str">
        <f>SUBSTITUTE(K1012,"'","")</f>
        <v>320251810742203332</v>
      </c>
      <c r="M1012">
        <v>61130</v>
      </c>
    </row>
    <row r="1013" spans="1:13" x14ac:dyDescent="0.4">
      <c r="A1013" s="1">
        <v>45837</v>
      </c>
      <c r="B1013" t="s">
        <v>4683</v>
      </c>
      <c r="C1013" t="s">
        <v>5108</v>
      </c>
      <c r="D1013">
        <v>54820</v>
      </c>
      <c r="E1013" t="s">
        <v>3461</v>
      </c>
      <c r="F1013">
        <v>17.2</v>
      </c>
      <c r="G1013" t="s">
        <v>4686</v>
      </c>
      <c r="H1013" t="s">
        <v>4687</v>
      </c>
      <c r="I1013">
        <v>26993</v>
      </c>
      <c r="J1013">
        <v>55108</v>
      </c>
      <c r="K1013" t="s">
        <v>3465</v>
      </c>
      <c r="L1013" t="str">
        <f>SUBSTITUTE(K1013,"'","")</f>
        <v>320251810753640270</v>
      </c>
      <c r="M1013">
        <v>54820</v>
      </c>
    </row>
    <row r="1014" spans="1:13" x14ac:dyDescent="0.4">
      <c r="A1014" s="1">
        <v>45838</v>
      </c>
      <c r="B1014" t="s">
        <v>4683</v>
      </c>
      <c r="C1014" t="s">
        <v>5766</v>
      </c>
      <c r="D1014">
        <v>61130</v>
      </c>
      <c r="E1014" t="s">
        <v>605</v>
      </c>
      <c r="F1014">
        <v>42.46</v>
      </c>
      <c r="G1014" t="s">
        <v>4686</v>
      </c>
      <c r="H1014" t="s">
        <v>4687</v>
      </c>
      <c r="I1014">
        <v>25500</v>
      </c>
      <c r="J1014">
        <v>52122</v>
      </c>
      <c r="K1014" t="s">
        <v>779</v>
      </c>
      <c r="L1014" t="str">
        <f>SUBSTITUTE(K1014,"'","")</f>
        <v>320251810738577781</v>
      </c>
      <c r="M1014">
        <v>61130</v>
      </c>
    </row>
    <row r="1015" spans="1:13" x14ac:dyDescent="0.4">
      <c r="A1015" s="1">
        <v>45838</v>
      </c>
      <c r="B1015" t="s">
        <v>4683</v>
      </c>
      <c r="C1015" t="s">
        <v>5765</v>
      </c>
      <c r="D1015">
        <v>61130</v>
      </c>
      <c r="E1015" t="s">
        <v>605</v>
      </c>
      <c r="F1015">
        <v>36.15</v>
      </c>
      <c r="G1015" t="s">
        <v>4686</v>
      </c>
      <c r="H1015" t="s">
        <v>4687</v>
      </c>
      <c r="I1015">
        <v>25499</v>
      </c>
      <c r="J1015">
        <v>52120</v>
      </c>
      <c r="K1015" t="s">
        <v>777</v>
      </c>
      <c r="L1015" t="str">
        <f>SUBSTITUTE(K1015,"'","")</f>
        <v>320251810742520227</v>
      </c>
      <c r="M1015">
        <v>61130</v>
      </c>
    </row>
    <row r="1016" spans="1:13" x14ac:dyDescent="0.4">
      <c r="A1016" s="1">
        <v>45838</v>
      </c>
      <c r="B1016" t="s">
        <v>4683</v>
      </c>
      <c r="C1016" t="s">
        <v>5767</v>
      </c>
      <c r="D1016">
        <v>61130</v>
      </c>
      <c r="E1016" t="s">
        <v>605</v>
      </c>
      <c r="F1016">
        <v>44.67</v>
      </c>
      <c r="G1016" t="s">
        <v>4686</v>
      </c>
      <c r="H1016" t="s">
        <v>4687</v>
      </c>
      <c r="I1016">
        <v>25501</v>
      </c>
      <c r="J1016">
        <v>52124</v>
      </c>
      <c r="K1016" t="s">
        <v>781</v>
      </c>
      <c r="L1016" t="str">
        <f>SUBSTITUTE(K1016,"'","")</f>
        <v>320251810742520615</v>
      </c>
      <c r="M1016">
        <v>61130</v>
      </c>
    </row>
    <row r="1017" spans="1:13" x14ac:dyDescent="0.4">
      <c r="A1017" s="1">
        <v>45838</v>
      </c>
      <c r="B1017" t="s">
        <v>4683</v>
      </c>
      <c r="C1017" t="s">
        <v>5763</v>
      </c>
      <c r="D1017">
        <v>61130</v>
      </c>
      <c r="E1017" t="s">
        <v>605</v>
      </c>
      <c r="F1017">
        <v>5.01</v>
      </c>
      <c r="G1017" t="s">
        <v>4686</v>
      </c>
      <c r="H1017" t="s">
        <v>4687</v>
      </c>
      <c r="I1017">
        <v>25497</v>
      </c>
      <c r="J1017">
        <v>52116</v>
      </c>
      <c r="K1017" t="s">
        <v>773</v>
      </c>
      <c r="L1017" t="str">
        <f>SUBSTITUTE(K1017,"'","")</f>
        <v>320251810742531606</v>
      </c>
      <c r="M1017">
        <v>61130</v>
      </c>
    </row>
    <row r="1018" spans="1:13" x14ac:dyDescent="0.4">
      <c r="A1018" s="1">
        <v>45838</v>
      </c>
      <c r="B1018" t="s">
        <v>4683</v>
      </c>
      <c r="C1018" t="s">
        <v>5762</v>
      </c>
      <c r="D1018">
        <v>61130</v>
      </c>
      <c r="E1018" t="s">
        <v>605</v>
      </c>
      <c r="F1018">
        <v>5</v>
      </c>
      <c r="G1018" t="s">
        <v>4686</v>
      </c>
      <c r="H1018" t="s">
        <v>4687</v>
      </c>
      <c r="I1018">
        <v>25496</v>
      </c>
      <c r="J1018">
        <v>52114</v>
      </c>
      <c r="K1018" t="s">
        <v>771</v>
      </c>
      <c r="L1018" t="str">
        <f>SUBSTITUTE(K1018,"'","")</f>
        <v>320251810742601423</v>
      </c>
      <c r="M1018">
        <v>61130</v>
      </c>
    </row>
    <row r="1019" spans="1:13" x14ac:dyDescent="0.4">
      <c r="A1019" s="1">
        <v>45838</v>
      </c>
      <c r="B1019" t="s">
        <v>4683</v>
      </c>
      <c r="C1019" t="s">
        <v>5768</v>
      </c>
      <c r="D1019">
        <v>61130</v>
      </c>
      <c r="E1019" t="s">
        <v>605</v>
      </c>
      <c r="F1019">
        <v>72.47</v>
      </c>
      <c r="G1019" t="s">
        <v>4686</v>
      </c>
      <c r="H1019" t="s">
        <v>4687</v>
      </c>
      <c r="I1019">
        <v>25502</v>
      </c>
      <c r="J1019">
        <v>52126</v>
      </c>
      <c r="K1019" t="s">
        <v>783</v>
      </c>
      <c r="L1019" t="str">
        <f>SUBSTITUTE(K1019,"'","")</f>
        <v>320251810743524583</v>
      </c>
      <c r="M1019">
        <v>61130</v>
      </c>
    </row>
    <row r="1020" spans="1:13" x14ac:dyDescent="0.4">
      <c r="A1020" s="1">
        <v>45838</v>
      </c>
      <c r="B1020" t="s">
        <v>4683</v>
      </c>
      <c r="C1020" t="s">
        <v>5110</v>
      </c>
      <c r="D1020">
        <v>54820</v>
      </c>
      <c r="E1020" t="s">
        <v>764</v>
      </c>
      <c r="F1020">
        <v>99.93</v>
      </c>
      <c r="G1020" t="s">
        <v>4686</v>
      </c>
      <c r="H1020" t="s">
        <v>4687</v>
      </c>
      <c r="I1020">
        <v>26064</v>
      </c>
      <c r="J1020">
        <v>53250</v>
      </c>
      <c r="K1020" t="s">
        <v>767</v>
      </c>
      <c r="L1020" t="str">
        <f>SUBSTITUTE(K1020,"'","")</f>
        <v>320251810745480207</v>
      </c>
      <c r="M1020">
        <v>54820</v>
      </c>
    </row>
    <row r="1021" spans="1:13" x14ac:dyDescent="0.4">
      <c r="A1021" s="1">
        <v>45838</v>
      </c>
      <c r="B1021" t="s">
        <v>4683</v>
      </c>
      <c r="C1021" t="s">
        <v>5111</v>
      </c>
      <c r="D1021">
        <v>54820</v>
      </c>
      <c r="E1021" t="s">
        <v>764</v>
      </c>
      <c r="F1021">
        <v>99.93</v>
      </c>
      <c r="G1021" t="s">
        <v>4686</v>
      </c>
      <c r="H1021" t="s">
        <v>4687</v>
      </c>
      <c r="I1021">
        <v>26065</v>
      </c>
      <c r="J1021">
        <v>53252</v>
      </c>
      <c r="K1021" t="s">
        <v>769</v>
      </c>
      <c r="L1021" t="str">
        <f>SUBSTITUTE(K1021,"'","")</f>
        <v>320251810745651849</v>
      </c>
      <c r="M1021">
        <v>54820</v>
      </c>
    </row>
    <row r="1022" spans="1:13" x14ac:dyDescent="0.4">
      <c r="A1022" s="1">
        <v>45838</v>
      </c>
      <c r="B1022" t="s">
        <v>4683</v>
      </c>
      <c r="C1022" t="s">
        <v>5764</v>
      </c>
      <c r="D1022">
        <v>61130</v>
      </c>
      <c r="E1022" t="s">
        <v>605</v>
      </c>
      <c r="F1022">
        <v>32.36</v>
      </c>
      <c r="G1022" t="s">
        <v>4686</v>
      </c>
      <c r="H1022" t="s">
        <v>4687</v>
      </c>
      <c r="I1022">
        <v>25498</v>
      </c>
      <c r="J1022">
        <v>52118</v>
      </c>
      <c r="K1022" t="s">
        <v>775</v>
      </c>
      <c r="L1022" t="str">
        <f>SUBSTITUTE(K1022,"'","")</f>
        <v>320251820772919263</v>
      </c>
      <c r="M1022">
        <v>61130</v>
      </c>
    </row>
    <row r="1023" spans="1:13" x14ac:dyDescent="0.4">
      <c r="A1023" s="1">
        <v>45838</v>
      </c>
      <c r="B1023" t="s">
        <v>4683</v>
      </c>
      <c r="C1023" t="s">
        <v>5113</v>
      </c>
      <c r="D1023">
        <v>54820</v>
      </c>
      <c r="E1023" t="s">
        <v>2934</v>
      </c>
      <c r="F1023">
        <v>12.79</v>
      </c>
      <c r="G1023" t="s">
        <v>4686</v>
      </c>
      <c r="H1023" t="s">
        <v>4687</v>
      </c>
      <c r="I1023">
        <v>26562</v>
      </c>
      <c r="J1023">
        <v>54246</v>
      </c>
      <c r="K1023" t="s">
        <v>3458</v>
      </c>
      <c r="L1023" t="str">
        <f>SUBSTITUTE(K1023,"'","")</f>
        <v>320251820777967565</v>
      </c>
      <c r="M1023">
        <v>54820</v>
      </c>
    </row>
    <row r="1024" spans="1:13" x14ac:dyDescent="0.4">
      <c r="A1024" s="1">
        <v>45838</v>
      </c>
      <c r="B1024" t="s">
        <v>4683</v>
      </c>
      <c r="C1024" t="s">
        <v>5109</v>
      </c>
      <c r="D1024">
        <v>54820</v>
      </c>
      <c r="E1024" t="s">
        <v>758</v>
      </c>
      <c r="F1024">
        <v>94.02</v>
      </c>
      <c r="G1024" t="s">
        <v>4686</v>
      </c>
      <c r="H1024" t="s">
        <v>4687</v>
      </c>
      <c r="I1024">
        <v>26063</v>
      </c>
      <c r="J1024">
        <v>53248</v>
      </c>
      <c r="K1024" t="s">
        <v>762</v>
      </c>
      <c r="L1024" t="str">
        <f>SUBSTITUTE(K1024,"'","")</f>
        <v>320251820778915551</v>
      </c>
      <c r="M1024">
        <v>54820</v>
      </c>
    </row>
    <row r="1025" spans="1:13" x14ac:dyDescent="0.4">
      <c r="A1025" s="1">
        <v>45838</v>
      </c>
      <c r="B1025" t="s">
        <v>4683</v>
      </c>
      <c r="C1025" t="s">
        <v>5112</v>
      </c>
      <c r="D1025">
        <v>54820</v>
      </c>
      <c r="E1025" t="s">
        <v>2240</v>
      </c>
      <c r="F1025">
        <v>81.33</v>
      </c>
      <c r="G1025" t="s">
        <v>4686</v>
      </c>
      <c r="H1025" t="s">
        <v>4687</v>
      </c>
      <c r="I1025">
        <v>26140</v>
      </c>
      <c r="J1025">
        <v>53402</v>
      </c>
      <c r="K1025" t="s">
        <v>3460</v>
      </c>
      <c r="L1025" t="str">
        <f>SUBSTITUTE(K1025,"'","")</f>
        <v>320251820780272689</v>
      </c>
      <c r="M1025">
        <v>54820</v>
      </c>
    </row>
    <row r="1026" spans="1:13" x14ac:dyDescent="0.4">
      <c r="A1026" s="1">
        <v>45839</v>
      </c>
      <c r="B1026" t="s">
        <v>4683</v>
      </c>
      <c r="C1026" t="s">
        <v>6364</v>
      </c>
      <c r="D1026">
        <v>64101</v>
      </c>
      <c r="E1026" t="s">
        <v>2429</v>
      </c>
      <c r="F1026" s="5">
        <v>1538.74</v>
      </c>
      <c r="G1026" t="s">
        <v>4686</v>
      </c>
      <c r="H1026" t="s">
        <v>4687</v>
      </c>
      <c r="I1026">
        <v>26389</v>
      </c>
      <c r="J1026">
        <v>53900</v>
      </c>
      <c r="K1026" t="s">
        <v>3454</v>
      </c>
      <c r="L1026" t="str">
        <f>SUBSTITUTE(K1026,"'","")</f>
        <v>320251820766022323</v>
      </c>
      <c r="M1026">
        <v>64101</v>
      </c>
    </row>
    <row r="1027" spans="1:13" x14ac:dyDescent="0.4">
      <c r="A1027" s="1">
        <v>45839</v>
      </c>
      <c r="B1027" t="s">
        <v>4683</v>
      </c>
      <c r="C1027" t="s">
        <v>5771</v>
      </c>
      <c r="D1027">
        <v>61130</v>
      </c>
      <c r="E1027" t="s">
        <v>605</v>
      </c>
      <c r="F1027">
        <v>42.46</v>
      </c>
      <c r="G1027" t="s">
        <v>4686</v>
      </c>
      <c r="H1027" t="s">
        <v>4687</v>
      </c>
      <c r="I1027">
        <v>25505</v>
      </c>
      <c r="J1027">
        <v>52132</v>
      </c>
      <c r="K1027" t="s">
        <v>753</v>
      </c>
      <c r="L1027" t="str">
        <f>SUBSTITUTE(K1027,"'","")</f>
        <v>320251820773171220</v>
      </c>
      <c r="M1027">
        <v>61130</v>
      </c>
    </row>
    <row r="1028" spans="1:13" x14ac:dyDescent="0.4">
      <c r="A1028" s="1">
        <v>45839</v>
      </c>
      <c r="B1028" t="s">
        <v>4683</v>
      </c>
      <c r="C1028" t="s">
        <v>5772</v>
      </c>
      <c r="D1028">
        <v>61130</v>
      </c>
      <c r="E1028" t="s">
        <v>605</v>
      </c>
      <c r="F1028">
        <v>47.67</v>
      </c>
      <c r="G1028" t="s">
        <v>4686</v>
      </c>
      <c r="H1028" t="s">
        <v>4687</v>
      </c>
      <c r="I1028">
        <v>25506</v>
      </c>
      <c r="J1028">
        <v>52134</v>
      </c>
      <c r="K1028" t="s">
        <v>755</v>
      </c>
      <c r="L1028" t="str">
        <f>SUBSTITUTE(K1028,"'","")</f>
        <v>320251820773236419</v>
      </c>
      <c r="M1028">
        <v>61130</v>
      </c>
    </row>
    <row r="1029" spans="1:13" x14ac:dyDescent="0.4">
      <c r="A1029" s="1">
        <v>45839</v>
      </c>
      <c r="B1029" t="s">
        <v>4683</v>
      </c>
      <c r="C1029" t="s">
        <v>5769</v>
      </c>
      <c r="D1029">
        <v>61130</v>
      </c>
      <c r="E1029" t="s">
        <v>605</v>
      </c>
      <c r="F1029">
        <v>27.56</v>
      </c>
      <c r="G1029" t="s">
        <v>4686</v>
      </c>
      <c r="H1029" t="s">
        <v>4687</v>
      </c>
      <c r="I1029">
        <v>25503</v>
      </c>
      <c r="J1029">
        <v>52128</v>
      </c>
      <c r="K1029" t="s">
        <v>749</v>
      </c>
      <c r="L1029" t="str">
        <f>SUBSTITUTE(K1029,"'","")</f>
        <v>320251820773285104</v>
      </c>
      <c r="M1029">
        <v>61130</v>
      </c>
    </row>
    <row r="1030" spans="1:13" x14ac:dyDescent="0.4">
      <c r="A1030" s="1">
        <v>45839</v>
      </c>
      <c r="B1030" t="s">
        <v>4683</v>
      </c>
      <c r="C1030" t="s">
        <v>6430</v>
      </c>
      <c r="D1030">
        <v>65700</v>
      </c>
      <c r="E1030" t="s">
        <v>234</v>
      </c>
      <c r="F1030">
        <v>232.44</v>
      </c>
      <c r="G1030" t="s">
        <v>4686</v>
      </c>
      <c r="H1030" t="s">
        <v>4687</v>
      </c>
      <c r="I1030">
        <v>25816</v>
      </c>
      <c r="J1030">
        <v>52754</v>
      </c>
      <c r="K1030" t="s">
        <v>757</v>
      </c>
      <c r="L1030" t="str">
        <f>SUBSTITUTE(K1030,"'","")</f>
        <v>320251820780889978</v>
      </c>
      <c r="M1030">
        <v>65700</v>
      </c>
    </row>
    <row r="1031" spans="1:13" x14ac:dyDescent="0.4">
      <c r="A1031" s="1">
        <v>45839</v>
      </c>
      <c r="B1031" t="s">
        <v>4683</v>
      </c>
      <c r="C1031" t="s">
        <v>5770</v>
      </c>
      <c r="D1031">
        <v>61130</v>
      </c>
      <c r="E1031" t="s">
        <v>605</v>
      </c>
      <c r="F1031">
        <v>32.78</v>
      </c>
      <c r="G1031" t="s">
        <v>4686</v>
      </c>
      <c r="H1031" t="s">
        <v>4687</v>
      </c>
      <c r="I1031">
        <v>25504</v>
      </c>
      <c r="J1031">
        <v>52130</v>
      </c>
      <c r="K1031" t="s">
        <v>751</v>
      </c>
      <c r="L1031" t="str">
        <f>SUBSTITUTE(K1031,"'","")</f>
        <v>320251830802528970</v>
      </c>
      <c r="M1031">
        <v>61130</v>
      </c>
    </row>
    <row r="1032" spans="1:13" x14ac:dyDescent="0.4">
      <c r="A1032" s="1">
        <v>45839</v>
      </c>
      <c r="B1032" t="s">
        <v>4683</v>
      </c>
      <c r="C1032" t="s">
        <v>5116</v>
      </c>
      <c r="D1032">
        <v>54820</v>
      </c>
      <c r="E1032" t="s">
        <v>738</v>
      </c>
      <c r="F1032">
        <v>82</v>
      </c>
      <c r="G1032" t="s">
        <v>4686</v>
      </c>
      <c r="H1032" t="s">
        <v>4687</v>
      </c>
      <c r="I1032">
        <v>26046</v>
      </c>
      <c r="J1032">
        <v>53214</v>
      </c>
      <c r="K1032" t="s">
        <v>747</v>
      </c>
      <c r="L1032" t="str">
        <f>SUBSTITUTE(K1032,"'","")</f>
        <v>320251830805203773</v>
      </c>
      <c r="M1032">
        <v>54820</v>
      </c>
    </row>
    <row r="1033" spans="1:13" x14ac:dyDescent="0.4">
      <c r="A1033" s="1">
        <v>45839</v>
      </c>
      <c r="B1033" t="s">
        <v>4683</v>
      </c>
      <c r="C1033" t="s">
        <v>5114</v>
      </c>
      <c r="D1033">
        <v>54820</v>
      </c>
      <c r="E1033" t="s">
        <v>738</v>
      </c>
      <c r="F1033">
        <v>4.45</v>
      </c>
      <c r="G1033" t="s">
        <v>4686</v>
      </c>
      <c r="H1033" t="s">
        <v>4687</v>
      </c>
      <c r="I1033">
        <v>26044</v>
      </c>
      <c r="J1033">
        <v>53210</v>
      </c>
      <c r="K1033" t="s">
        <v>743</v>
      </c>
      <c r="L1033" t="str">
        <f>SUBSTITUTE(K1033,"'","")</f>
        <v>320251830805220480</v>
      </c>
      <c r="M1033">
        <v>54820</v>
      </c>
    </row>
    <row r="1034" spans="1:13" x14ac:dyDescent="0.4">
      <c r="A1034" s="1">
        <v>45839</v>
      </c>
      <c r="B1034" t="s">
        <v>4683</v>
      </c>
      <c r="C1034" t="s">
        <v>5115</v>
      </c>
      <c r="D1034">
        <v>54820</v>
      </c>
      <c r="E1034" t="s">
        <v>738</v>
      </c>
      <c r="F1034">
        <v>12.2</v>
      </c>
      <c r="G1034" t="s">
        <v>4686</v>
      </c>
      <c r="H1034" t="s">
        <v>4687</v>
      </c>
      <c r="I1034">
        <v>26045</v>
      </c>
      <c r="J1034">
        <v>53212</v>
      </c>
      <c r="K1034" t="s">
        <v>745</v>
      </c>
      <c r="L1034" t="str">
        <f>SUBSTITUTE(K1034,"'","")</f>
        <v>320251830805237995</v>
      </c>
      <c r="M1034">
        <v>54820</v>
      </c>
    </row>
    <row r="1035" spans="1:13" x14ac:dyDescent="0.4">
      <c r="A1035" s="1">
        <v>45839</v>
      </c>
      <c r="B1035" t="s">
        <v>4683</v>
      </c>
      <c r="C1035" t="s">
        <v>5117</v>
      </c>
      <c r="D1035">
        <v>54820</v>
      </c>
      <c r="E1035" t="s">
        <v>2934</v>
      </c>
      <c r="F1035">
        <v>12.79</v>
      </c>
      <c r="G1035" t="s">
        <v>4686</v>
      </c>
      <c r="H1035" t="s">
        <v>4687</v>
      </c>
      <c r="I1035">
        <v>26563</v>
      </c>
      <c r="J1035">
        <v>54248</v>
      </c>
      <c r="K1035" t="s">
        <v>3456</v>
      </c>
      <c r="L1035" t="str">
        <f>SUBSTITUTE(K1035,"'","")</f>
        <v>320251830806560933</v>
      </c>
      <c r="M1035">
        <v>54820</v>
      </c>
    </row>
    <row r="1036" spans="1:13" x14ac:dyDescent="0.4">
      <c r="A1036" s="1">
        <v>45839</v>
      </c>
      <c r="B1036" t="s">
        <v>4683</v>
      </c>
      <c r="C1036" t="s">
        <v>5118</v>
      </c>
      <c r="D1036">
        <v>54820</v>
      </c>
      <c r="E1036" t="s">
        <v>2764</v>
      </c>
      <c r="F1036">
        <v>7.84</v>
      </c>
      <c r="G1036" t="s">
        <v>4686</v>
      </c>
      <c r="H1036" t="s">
        <v>4687</v>
      </c>
      <c r="I1036">
        <v>26739</v>
      </c>
      <c r="J1036">
        <v>54600</v>
      </c>
      <c r="K1036" t="s">
        <v>3452</v>
      </c>
      <c r="L1036" t="str">
        <f>SUBSTITUTE(K1036,"'","")</f>
        <v>320251830813116849</v>
      </c>
      <c r="M1036">
        <v>54820</v>
      </c>
    </row>
    <row r="1037" spans="1:13" x14ac:dyDescent="0.4">
      <c r="A1037" s="1">
        <v>45840</v>
      </c>
      <c r="B1037" t="s">
        <v>4683</v>
      </c>
      <c r="C1037" t="s">
        <v>5775</v>
      </c>
      <c r="D1037">
        <v>61130</v>
      </c>
      <c r="E1037" t="s">
        <v>605</v>
      </c>
      <c r="F1037">
        <v>31.18</v>
      </c>
      <c r="G1037" t="s">
        <v>4686</v>
      </c>
      <c r="H1037" t="s">
        <v>4687</v>
      </c>
      <c r="I1037">
        <v>25509</v>
      </c>
      <c r="J1037">
        <v>52140</v>
      </c>
      <c r="K1037" t="s">
        <v>735</v>
      </c>
      <c r="L1037" t="str">
        <f>SUBSTITUTE(K1037,"'","")</f>
        <v>320251830797955161</v>
      </c>
      <c r="M1037">
        <v>61130</v>
      </c>
    </row>
    <row r="1038" spans="1:13" x14ac:dyDescent="0.4">
      <c r="A1038" s="1">
        <v>45840</v>
      </c>
      <c r="B1038" t="s">
        <v>4683</v>
      </c>
      <c r="C1038" t="s">
        <v>5773</v>
      </c>
      <c r="D1038">
        <v>61130</v>
      </c>
      <c r="E1038" t="s">
        <v>605</v>
      </c>
      <c r="F1038">
        <v>22.3</v>
      </c>
      <c r="G1038" t="s">
        <v>4686</v>
      </c>
      <c r="H1038" t="s">
        <v>4687</v>
      </c>
      <c r="I1038">
        <v>25507</v>
      </c>
      <c r="J1038">
        <v>52136</v>
      </c>
      <c r="K1038" t="s">
        <v>731</v>
      </c>
      <c r="L1038" t="str">
        <f>SUBSTITUTE(K1038,"'","")</f>
        <v>320251830798203091</v>
      </c>
      <c r="M1038">
        <v>61130</v>
      </c>
    </row>
    <row r="1039" spans="1:13" x14ac:dyDescent="0.4">
      <c r="A1039" s="1">
        <v>45840</v>
      </c>
      <c r="B1039" t="s">
        <v>4683</v>
      </c>
      <c r="C1039" t="s">
        <v>5776</v>
      </c>
      <c r="D1039">
        <v>61130</v>
      </c>
      <c r="E1039" t="s">
        <v>605</v>
      </c>
      <c r="F1039">
        <v>36.590000000000003</v>
      </c>
      <c r="G1039" t="s">
        <v>4686</v>
      </c>
      <c r="H1039" t="s">
        <v>4687</v>
      </c>
      <c r="I1039">
        <v>25510</v>
      </c>
      <c r="J1039">
        <v>52142</v>
      </c>
      <c r="K1039" t="s">
        <v>737</v>
      </c>
      <c r="L1039" t="str">
        <f>SUBSTITUTE(K1039,"'","")</f>
        <v>320251830801750926</v>
      </c>
      <c r="M1039">
        <v>61130</v>
      </c>
    </row>
    <row r="1040" spans="1:13" x14ac:dyDescent="0.4">
      <c r="A1040" s="1">
        <v>45840</v>
      </c>
      <c r="B1040" t="s">
        <v>4683</v>
      </c>
      <c r="C1040" t="s">
        <v>5774</v>
      </c>
      <c r="D1040">
        <v>61130</v>
      </c>
      <c r="E1040" t="s">
        <v>605</v>
      </c>
      <c r="F1040">
        <v>23.74</v>
      </c>
      <c r="G1040" t="s">
        <v>4686</v>
      </c>
      <c r="H1040" t="s">
        <v>4687</v>
      </c>
      <c r="I1040">
        <v>25508</v>
      </c>
      <c r="J1040">
        <v>52138</v>
      </c>
      <c r="K1040" t="s">
        <v>733</v>
      </c>
      <c r="L1040" t="str">
        <f>SUBSTITUTE(K1040,"'","")</f>
        <v>320251830801801490</v>
      </c>
      <c r="M1040">
        <v>61130</v>
      </c>
    </row>
    <row r="1041" spans="1:13" x14ac:dyDescent="0.4">
      <c r="A1041" s="1">
        <v>45840</v>
      </c>
      <c r="B1041" t="s">
        <v>4683</v>
      </c>
      <c r="C1041" t="s">
        <v>6238</v>
      </c>
      <c r="D1041">
        <v>64100</v>
      </c>
      <c r="E1041" t="s">
        <v>213</v>
      </c>
      <c r="F1041">
        <v>21.4</v>
      </c>
      <c r="G1041" t="s">
        <v>4686</v>
      </c>
      <c r="H1041" t="s">
        <v>4687</v>
      </c>
      <c r="I1041">
        <v>25926</v>
      </c>
      <c r="J1041">
        <v>52974</v>
      </c>
      <c r="K1041" t="s">
        <v>727</v>
      </c>
      <c r="L1041" t="str">
        <f>SUBSTITUTE(K1041,"'","")</f>
        <v>320251830820680751</v>
      </c>
      <c r="M1041">
        <v>64100</v>
      </c>
    </row>
    <row r="1042" spans="1:13" x14ac:dyDescent="0.4">
      <c r="A1042" s="1">
        <v>45840</v>
      </c>
      <c r="B1042" t="s">
        <v>4683</v>
      </c>
      <c r="C1042" t="s">
        <v>5120</v>
      </c>
      <c r="D1042">
        <v>54820</v>
      </c>
      <c r="E1042" t="s">
        <v>2934</v>
      </c>
      <c r="F1042">
        <v>12.79</v>
      </c>
      <c r="G1042" t="s">
        <v>4686</v>
      </c>
      <c r="H1042" t="s">
        <v>4687</v>
      </c>
      <c r="I1042">
        <v>26564</v>
      </c>
      <c r="J1042">
        <v>54250</v>
      </c>
      <c r="K1042" t="s">
        <v>3445</v>
      </c>
      <c r="L1042" t="str">
        <f>SUBSTITUTE(K1042,"'","")</f>
        <v>320251840838811711</v>
      </c>
      <c r="M1042">
        <v>54820</v>
      </c>
    </row>
    <row r="1043" spans="1:13" x14ac:dyDescent="0.4">
      <c r="A1043" s="1">
        <v>45840</v>
      </c>
      <c r="B1043" t="s">
        <v>4683</v>
      </c>
      <c r="C1043" t="s">
        <v>5915</v>
      </c>
      <c r="D1043">
        <v>61131</v>
      </c>
      <c r="E1043" t="s">
        <v>448</v>
      </c>
      <c r="F1043">
        <v>18.309999999999999</v>
      </c>
      <c r="G1043" t="s">
        <v>4686</v>
      </c>
      <c r="H1043" t="s">
        <v>4687</v>
      </c>
      <c r="I1043">
        <v>25741</v>
      </c>
      <c r="J1043">
        <v>52604</v>
      </c>
      <c r="K1043" t="s">
        <v>725</v>
      </c>
      <c r="L1043" t="str">
        <f>SUBSTITUTE(K1043,"'","")</f>
        <v>320251840840232076</v>
      </c>
      <c r="M1043">
        <v>61131</v>
      </c>
    </row>
    <row r="1044" spans="1:13" x14ac:dyDescent="0.4">
      <c r="A1044" s="1">
        <v>45840</v>
      </c>
      <c r="B1044" t="s">
        <v>4683</v>
      </c>
      <c r="C1044" t="s">
        <v>6379</v>
      </c>
      <c r="D1044">
        <v>64200</v>
      </c>
      <c r="E1044" t="s">
        <v>222</v>
      </c>
      <c r="F1044">
        <v>79</v>
      </c>
      <c r="G1044" t="s">
        <v>4686</v>
      </c>
      <c r="H1044" t="s">
        <v>4687</v>
      </c>
      <c r="I1044">
        <v>25865</v>
      </c>
      <c r="J1044">
        <v>52852</v>
      </c>
      <c r="K1044" t="s">
        <v>729</v>
      </c>
      <c r="L1044" t="str">
        <f>SUBSTITUTE(K1044,"'","")</f>
        <v>320251840844965264</v>
      </c>
      <c r="M1044">
        <v>64200</v>
      </c>
    </row>
    <row r="1045" spans="1:13" x14ac:dyDescent="0.4">
      <c r="A1045" s="1">
        <v>45840</v>
      </c>
      <c r="B1045" t="s">
        <v>4683</v>
      </c>
      <c r="C1045" t="s">
        <v>5119</v>
      </c>
      <c r="D1045">
        <v>54820</v>
      </c>
      <c r="E1045" t="s">
        <v>3446</v>
      </c>
      <c r="F1045">
        <v>102.72</v>
      </c>
      <c r="G1045" t="s">
        <v>4686</v>
      </c>
      <c r="H1045" t="s">
        <v>4687</v>
      </c>
      <c r="I1045">
        <v>26173</v>
      </c>
      <c r="J1045">
        <v>53468</v>
      </c>
      <c r="K1045" t="s">
        <v>3450</v>
      </c>
      <c r="L1045" t="str">
        <f>SUBSTITUTE(K1045,"'","")</f>
        <v>320251840849070823</v>
      </c>
      <c r="M1045">
        <v>54820</v>
      </c>
    </row>
    <row r="1046" spans="1:13" x14ac:dyDescent="0.4">
      <c r="A1046" s="1">
        <v>45841</v>
      </c>
      <c r="B1046" t="s">
        <v>4683</v>
      </c>
      <c r="C1046" t="s">
        <v>5777</v>
      </c>
      <c r="D1046">
        <v>61130</v>
      </c>
      <c r="E1046" t="s">
        <v>605</v>
      </c>
      <c r="F1046">
        <v>33.590000000000003</v>
      </c>
      <c r="G1046" t="s">
        <v>4686</v>
      </c>
      <c r="H1046" t="s">
        <v>4687</v>
      </c>
      <c r="I1046">
        <v>25511</v>
      </c>
      <c r="J1046">
        <v>52144</v>
      </c>
      <c r="K1046" t="s">
        <v>721</v>
      </c>
      <c r="L1046" t="str">
        <f>SUBSTITUTE(K1046,"'","")</f>
        <v>320251840829731355</v>
      </c>
      <c r="M1046">
        <v>61130</v>
      </c>
    </row>
    <row r="1047" spans="1:13" x14ac:dyDescent="0.4">
      <c r="A1047" s="1">
        <v>45841</v>
      </c>
      <c r="B1047" t="s">
        <v>4683</v>
      </c>
      <c r="C1047" t="s">
        <v>5778</v>
      </c>
      <c r="D1047">
        <v>61130</v>
      </c>
      <c r="E1047" t="s">
        <v>605</v>
      </c>
      <c r="F1047">
        <v>156.62</v>
      </c>
      <c r="G1047" t="s">
        <v>4686</v>
      </c>
      <c r="H1047" t="s">
        <v>4687</v>
      </c>
      <c r="I1047">
        <v>25512</v>
      </c>
      <c r="J1047">
        <v>52146</v>
      </c>
      <c r="K1047" t="s">
        <v>723</v>
      </c>
      <c r="L1047" t="str">
        <f>SUBSTITUTE(K1047,"'","")</f>
        <v>320251840835330484</v>
      </c>
      <c r="M1047">
        <v>61130</v>
      </c>
    </row>
    <row r="1048" spans="1:13" x14ac:dyDescent="0.4">
      <c r="A1048" s="1">
        <v>45841</v>
      </c>
      <c r="B1048" t="s">
        <v>4683</v>
      </c>
      <c r="C1048" t="s">
        <v>6239</v>
      </c>
      <c r="D1048">
        <v>64100</v>
      </c>
      <c r="E1048" t="s">
        <v>153</v>
      </c>
      <c r="F1048">
        <v>25.84</v>
      </c>
      <c r="G1048" t="s">
        <v>4686</v>
      </c>
      <c r="H1048" t="s">
        <v>4687</v>
      </c>
      <c r="I1048">
        <v>25602</v>
      </c>
      <c r="J1048">
        <v>52326</v>
      </c>
      <c r="K1048" t="s">
        <v>719</v>
      </c>
      <c r="L1048" t="str">
        <f>SUBSTITUTE(K1048,"'","")</f>
        <v>320251840846618862</v>
      </c>
      <c r="M1048">
        <v>64100</v>
      </c>
    </row>
    <row r="1049" spans="1:13" x14ac:dyDescent="0.4">
      <c r="A1049" s="1">
        <v>45841</v>
      </c>
      <c r="B1049" t="s">
        <v>4683</v>
      </c>
      <c r="C1049" t="s">
        <v>6489</v>
      </c>
      <c r="D1049">
        <v>67500</v>
      </c>
      <c r="E1049" t="s">
        <v>2400</v>
      </c>
      <c r="F1049">
        <v>21.39</v>
      </c>
      <c r="G1049" t="s">
        <v>4686</v>
      </c>
      <c r="H1049" t="s">
        <v>4687</v>
      </c>
      <c r="I1049">
        <v>26282</v>
      </c>
      <c r="J1049">
        <v>53686</v>
      </c>
      <c r="K1049" t="s">
        <v>3441</v>
      </c>
      <c r="L1049" t="str">
        <f>SUBSTITUTE(K1049,"'","")</f>
        <v>320251850864946087</v>
      </c>
      <c r="M1049">
        <v>67500</v>
      </c>
    </row>
    <row r="1050" spans="1:13" x14ac:dyDescent="0.4">
      <c r="A1050" s="1">
        <v>45841</v>
      </c>
      <c r="B1050" t="s">
        <v>4683</v>
      </c>
      <c r="C1050" t="s">
        <v>5122</v>
      </c>
      <c r="D1050">
        <v>54820</v>
      </c>
      <c r="E1050" t="s">
        <v>2764</v>
      </c>
      <c r="F1050">
        <v>12.25</v>
      </c>
      <c r="G1050" t="s">
        <v>4686</v>
      </c>
      <c r="H1050" t="s">
        <v>4687</v>
      </c>
      <c r="I1050">
        <v>26740</v>
      </c>
      <c r="J1050">
        <v>54602</v>
      </c>
      <c r="K1050" t="s">
        <v>3440</v>
      </c>
      <c r="L1050" t="str">
        <f>SUBSTITUTE(K1050,"'","")</f>
        <v>320251850871284112</v>
      </c>
      <c r="M1050">
        <v>54820</v>
      </c>
    </row>
    <row r="1051" spans="1:13" x14ac:dyDescent="0.4">
      <c r="A1051" s="1">
        <v>45841</v>
      </c>
      <c r="B1051" t="s">
        <v>4683</v>
      </c>
      <c r="C1051" t="s">
        <v>5121</v>
      </c>
      <c r="D1051">
        <v>54820</v>
      </c>
      <c r="E1051" t="s">
        <v>3151</v>
      </c>
      <c r="F1051">
        <v>88.89</v>
      </c>
      <c r="G1051" t="s">
        <v>4686</v>
      </c>
      <c r="H1051" t="s">
        <v>4687</v>
      </c>
      <c r="I1051">
        <v>26195</v>
      </c>
      <c r="J1051">
        <v>53512</v>
      </c>
      <c r="K1051" t="s">
        <v>3443</v>
      </c>
      <c r="L1051" t="str">
        <f>SUBSTITUTE(K1051,"'","")</f>
        <v>320251850871453157</v>
      </c>
      <c r="M1051">
        <v>54820</v>
      </c>
    </row>
    <row r="1052" spans="1:13" x14ac:dyDescent="0.4">
      <c r="A1052" s="1">
        <v>45842</v>
      </c>
      <c r="B1052" t="s">
        <v>4683</v>
      </c>
      <c r="C1052" t="s">
        <v>5781</v>
      </c>
      <c r="D1052">
        <v>61130</v>
      </c>
      <c r="E1052" t="s">
        <v>605</v>
      </c>
      <c r="F1052">
        <v>30.35</v>
      </c>
      <c r="G1052" t="s">
        <v>4686</v>
      </c>
      <c r="H1052" t="s">
        <v>4687</v>
      </c>
      <c r="I1052">
        <v>25515</v>
      </c>
      <c r="J1052">
        <v>52152</v>
      </c>
      <c r="K1052" t="s">
        <v>713</v>
      </c>
      <c r="L1052" t="str">
        <f>SUBSTITUTE(K1052,"'","")</f>
        <v>320251850857319781</v>
      </c>
      <c r="M1052">
        <v>61130</v>
      </c>
    </row>
    <row r="1053" spans="1:13" x14ac:dyDescent="0.4">
      <c r="A1053" s="1">
        <v>45842</v>
      </c>
      <c r="B1053" t="s">
        <v>4683</v>
      </c>
      <c r="C1053" t="s">
        <v>5780</v>
      </c>
      <c r="D1053">
        <v>61130</v>
      </c>
      <c r="E1053" t="s">
        <v>605</v>
      </c>
      <c r="F1053">
        <v>26.89</v>
      </c>
      <c r="G1053" t="s">
        <v>4686</v>
      </c>
      <c r="H1053" t="s">
        <v>4687</v>
      </c>
      <c r="I1053">
        <v>25514</v>
      </c>
      <c r="J1053">
        <v>52150</v>
      </c>
      <c r="K1053" t="s">
        <v>711</v>
      </c>
      <c r="L1053" t="str">
        <f>SUBSTITUTE(K1053,"'","")</f>
        <v>320251850857867915</v>
      </c>
      <c r="M1053">
        <v>61130</v>
      </c>
    </row>
    <row r="1054" spans="1:13" x14ac:dyDescent="0.4">
      <c r="A1054" s="1">
        <v>45842</v>
      </c>
      <c r="B1054" t="s">
        <v>4683</v>
      </c>
      <c r="C1054" t="s">
        <v>5779</v>
      </c>
      <c r="D1054">
        <v>61130</v>
      </c>
      <c r="E1054" t="s">
        <v>605</v>
      </c>
      <c r="F1054">
        <v>5</v>
      </c>
      <c r="G1054" t="s">
        <v>4686</v>
      </c>
      <c r="H1054" t="s">
        <v>4687</v>
      </c>
      <c r="I1054">
        <v>25513</v>
      </c>
      <c r="J1054">
        <v>52148</v>
      </c>
      <c r="K1054" t="s">
        <v>709</v>
      </c>
      <c r="L1054" t="str">
        <f>SUBSTITUTE(K1054,"'","")</f>
        <v>320251850857893665</v>
      </c>
      <c r="M1054">
        <v>61130</v>
      </c>
    </row>
    <row r="1055" spans="1:13" x14ac:dyDescent="0.4">
      <c r="A1055" s="1">
        <v>45842</v>
      </c>
      <c r="B1055" t="s">
        <v>4683</v>
      </c>
      <c r="C1055" t="s">
        <v>5123</v>
      </c>
      <c r="D1055">
        <v>54820</v>
      </c>
      <c r="E1055" t="s">
        <v>196</v>
      </c>
      <c r="F1055">
        <v>7.99</v>
      </c>
      <c r="G1055" t="s">
        <v>4686</v>
      </c>
      <c r="H1055" t="s">
        <v>4687</v>
      </c>
      <c r="I1055">
        <v>25883</v>
      </c>
      <c r="J1055">
        <v>52888</v>
      </c>
      <c r="K1055" t="s">
        <v>707</v>
      </c>
      <c r="L1055" t="str">
        <f>SUBSTITUTE(K1055,"'","")</f>
        <v>320251850859538115</v>
      </c>
      <c r="M1055">
        <v>54820</v>
      </c>
    </row>
    <row r="1056" spans="1:13" x14ac:dyDescent="0.4">
      <c r="A1056" s="1">
        <v>45842</v>
      </c>
      <c r="B1056" t="s">
        <v>4683</v>
      </c>
      <c r="C1056" t="s">
        <v>5124</v>
      </c>
      <c r="D1056">
        <v>54820</v>
      </c>
      <c r="E1056" t="s">
        <v>3428</v>
      </c>
      <c r="F1056">
        <v>42.79</v>
      </c>
      <c r="G1056" t="s">
        <v>4686</v>
      </c>
      <c r="H1056" t="s">
        <v>4687</v>
      </c>
      <c r="I1056">
        <v>26428</v>
      </c>
      <c r="J1056">
        <v>53978</v>
      </c>
      <c r="K1056" t="s">
        <v>3432</v>
      </c>
      <c r="L1056" t="str">
        <f>SUBSTITUTE(K1056,"'","")</f>
        <v>320251850860075331</v>
      </c>
      <c r="M1056">
        <v>54820</v>
      </c>
    </row>
    <row r="1057" spans="1:13" x14ac:dyDescent="0.4">
      <c r="A1057" s="1">
        <v>45842</v>
      </c>
      <c r="B1057" t="s">
        <v>4683</v>
      </c>
      <c r="C1057" t="s">
        <v>5783</v>
      </c>
      <c r="D1057">
        <v>61130</v>
      </c>
      <c r="E1057" t="s">
        <v>605</v>
      </c>
      <c r="F1057">
        <v>78.45</v>
      </c>
      <c r="G1057" t="s">
        <v>4686</v>
      </c>
      <c r="H1057" t="s">
        <v>4687</v>
      </c>
      <c r="I1057">
        <v>25517</v>
      </c>
      <c r="J1057">
        <v>52156</v>
      </c>
      <c r="K1057" t="s">
        <v>717</v>
      </c>
      <c r="L1057" t="str">
        <f>SUBSTITUTE(K1057,"'","")</f>
        <v>320251850861371670</v>
      </c>
      <c r="M1057">
        <v>61130</v>
      </c>
    </row>
    <row r="1058" spans="1:13" x14ac:dyDescent="0.4">
      <c r="A1058" s="1">
        <v>45842</v>
      </c>
      <c r="B1058" t="s">
        <v>4683</v>
      </c>
      <c r="C1058" t="s">
        <v>5782</v>
      </c>
      <c r="D1058">
        <v>61130</v>
      </c>
      <c r="E1058" t="s">
        <v>605</v>
      </c>
      <c r="F1058">
        <v>66.27</v>
      </c>
      <c r="G1058" t="s">
        <v>4686</v>
      </c>
      <c r="H1058" t="s">
        <v>4687</v>
      </c>
      <c r="I1058">
        <v>25516</v>
      </c>
      <c r="J1058">
        <v>52154</v>
      </c>
      <c r="K1058" t="s">
        <v>715</v>
      </c>
      <c r="L1058" t="str">
        <f>SUBSTITUTE(K1058,"'","")</f>
        <v>320251850861916184</v>
      </c>
      <c r="M1058">
        <v>61130</v>
      </c>
    </row>
    <row r="1059" spans="1:13" x14ac:dyDescent="0.4">
      <c r="A1059" s="1">
        <v>45842</v>
      </c>
      <c r="B1059" t="s">
        <v>4683</v>
      </c>
      <c r="C1059" t="s">
        <v>5127</v>
      </c>
      <c r="D1059">
        <v>54820</v>
      </c>
      <c r="E1059" t="s">
        <v>3433</v>
      </c>
      <c r="F1059">
        <v>10.8</v>
      </c>
      <c r="G1059" t="s">
        <v>4686</v>
      </c>
      <c r="H1059" t="s">
        <v>4687</v>
      </c>
      <c r="I1059">
        <v>26995</v>
      </c>
      <c r="J1059">
        <v>55112</v>
      </c>
      <c r="K1059" t="s">
        <v>3436</v>
      </c>
      <c r="L1059" t="str">
        <f>SUBSTITUTE(K1059,"'","")</f>
        <v>320251850862055589</v>
      </c>
      <c r="M1059">
        <v>54820</v>
      </c>
    </row>
    <row r="1060" spans="1:13" x14ac:dyDescent="0.4">
      <c r="A1060" s="1">
        <v>45842</v>
      </c>
      <c r="B1060" t="s">
        <v>4683</v>
      </c>
      <c r="C1060" t="s">
        <v>5126</v>
      </c>
      <c r="D1060">
        <v>54820</v>
      </c>
      <c r="E1060" t="s">
        <v>2393</v>
      </c>
      <c r="F1060">
        <v>9.9499999999999993</v>
      </c>
      <c r="G1060" t="s">
        <v>4686</v>
      </c>
      <c r="H1060" t="s">
        <v>4687</v>
      </c>
      <c r="I1060">
        <v>26994</v>
      </c>
      <c r="J1060">
        <v>55110</v>
      </c>
      <c r="K1060" t="s">
        <v>3425</v>
      </c>
      <c r="L1060" t="str">
        <f>SUBSTITUTE(K1060,"'","")</f>
        <v>320251850863033190</v>
      </c>
      <c r="M1060">
        <v>54820</v>
      </c>
    </row>
    <row r="1061" spans="1:13" x14ac:dyDescent="0.4">
      <c r="A1061" s="1">
        <v>45842</v>
      </c>
      <c r="B1061" t="s">
        <v>4683</v>
      </c>
      <c r="C1061" t="s">
        <v>6240</v>
      </c>
      <c r="D1061">
        <v>64100</v>
      </c>
      <c r="E1061" t="s">
        <v>153</v>
      </c>
      <c r="F1061">
        <v>25.84</v>
      </c>
      <c r="G1061" t="s">
        <v>4686</v>
      </c>
      <c r="H1061" t="s">
        <v>4687</v>
      </c>
      <c r="I1061">
        <v>25603</v>
      </c>
      <c r="J1061">
        <v>52328</v>
      </c>
      <c r="K1061" t="s">
        <v>706</v>
      </c>
      <c r="L1061" t="str">
        <f>SUBSTITUTE(K1061,"'","")</f>
        <v>320251850874097731</v>
      </c>
      <c r="M1061">
        <v>64100</v>
      </c>
    </row>
    <row r="1062" spans="1:13" x14ac:dyDescent="0.4">
      <c r="A1062" s="1">
        <v>45842</v>
      </c>
      <c r="B1062" t="s">
        <v>4683</v>
      </c>
      <c r="C1062" t="s">
        <v>6243</v>
      </c>
      <c r="D1062">
        <v>64100</v>
      </c>
      <c r="E1062" t="s">
        <v>165</v>
      </c>
      <c r="F1062">
        <v>42.8</v>
      </c>
      <c r="G1062" t="s">
        <v>4686</v>
      </c>
      <c r="H1062" t="s">
        <v>4687</v>
      </c>
      <c r="I1062">
        <v>26230</v>
      </c>
      <c r="J1062">
        <v>53582</v>
      </c>
      <c r="K1062" t="s">
        <v>3417</v>
      </c>
      <c r="L1062" t="str">
        <f>SUBSTITUTE(K1062,"'","")</f>
        <v>320251850878492236</v>
      </c>
      <c r="M1062">
        <v>64100</v>
      </c>
    </row>
    <row r="1063" spans="1:13" x14ac:dyDescent="0.4">
      <c r="A1063" s="1">
        <v>45842</v>
      </c>
      <c r="B1063" t="s">
        <v>4683</v>
      </c>
      <c r="C1063" t="s">
        <v>6242</v>
      </c>
      <c r="D1063">
        <v>64100</v>
      </c>
      <c r="E1063" t="s">
        <v>165</v>
      </c>
      <c r="F1063">
        <v>32.07</v>
      </c>
      <c r="G1063" t="s">
        <v>4686</v>
      </c>
      <c r="H1063" t="s">
        <v>4687</v>
      </c>
      <c r="I1063">
        <v>26229</v>
      </c>
      <c r="J1063">
        <v>53580</v>
      </c>
      <c r="K1063" t="s">
        <v>3415</v>
      </c>
      <c r="L1063" t="str">
        <f>SUBSTITUTE(K1063,"'","")</f>
        <v>320251850878496646</v>
      </c>
      <c r="M1063">
        <v>64100</v>
      </c>
    </row>
    <row r="1064" spans="1:13" x14ac:dyDescent="0.4">
      <c r="A1064" s="1">
        <v>45842</v>
      </c>
      <c r="B1064" t="s">
        <v>4683</v>
      </c>
      <c r="C1064" t="s">
        <v>6241</v>
      </c>
      <c r="D1064">
        <v>64100</v>
      </c>
      <c r="E1064" t="s">
        <v>165</v>
      </c>
      <c r="F1064">
        <v>25.68</v>
      </c>
      <c r="G1064" t="s">
        <v>4686</v>
      </c>
      <c r="H1064" t="s">
        <v>4687</v>
      </c>
      <c r="I1064">
        <v>26228</v>
      </c>
      <c r="J1064">
        <v>53578</v>
      </c>
      <c r="K1064" t="s">
        <v>3413</v>
      </c>
      <c r="L1064" t="str">
        <f>SUBSTITUTE(K1064,"'","")</f>
        <v>320251850878497776</v>
      </c>
      <c r="M1064">
        <v>64100</v>
      </c>
    </row>
    <row r="1065" spans="1:13" x14ac:dyDescent="0.4">
      <c r="A1065" s="1">
        <v>45842</v>
      </c>
      <c r="B1065" t="s">
        <v>4683</v>
      </c>
      <c r="C1065" t="s">
        <v>6244</v>
      </c>
      <c r="D1065">
        <v>64100</v>
      </c>
      <c r="E1065" t="s">
        <v>165</v>
      </c>
      <c r="F1065">
        <v>68.48</v>
      </c>
      <c r="G1065" t="s">
        <v>4686</v>
      </c>
      <c r="H1065" t="s">
        <v>4687</v>
      </c>
      <c r="I1065">
        <v>26231</v>
      </c>
      <c r="J1065">
        <v>53584</v>
      </c>
      <c r="K1065" t="s">
        <v>3419</v>
      </c>
      <c r="L1065" t="str">
        <f>SUBSTITUTE(K1065,"'","")</f>
        <v>320251850878542222</v>
      </c>
      <c r="M1065">
        <v>64100</v>
      </c>
    </row>
    <row r="1066" spans="1:13" x14ac:dyDescent="0.4">
      <c r="A1066" s="1">
        <v>45842</v>
      </c>
      <c r="B1066" t="s">
        <v>4683</v>
      </c>
      <c r="C1066" t="s">
        <v>6246</v>
      </c>
      <c r="D1066">
        <v>64100</v>
      </c>
      <c r="E1066" t="s">
        <v>2390</v>
      </c>
      <c r="F1066">
        <v>21.4</v>
      </c>
      <c r="G1066" t="s">
        <v>4686</v>
      </c>
      <c r="H1066" t="s">
        <v>4687</v>
      </c>
      <c r="I1066">
        <v>26704</v>
      </c>
      <c r="J1066">
        <v>54530</v>
      </c>
      <c r="K1066" t="s">
        <v>3423</v>
      </c>
      <c r="L1066" t="str">
        <f>SUBSTITUTE(K1066,"'","")</f>
        <v>320251850878545385</v>
      </c>
      <c r="M1066">
        <v>64100</v>
      </c>
    </row>
    <row r="1067" spans="1:13" x14ac:dyDescent="0.4">
      <c r="A1067" s="1">
        <v>45842</v>
      </c>
      <c r="B1067" t="s">
        <v>4683</v>
      </c>
      <c r="C1067" t="s">
        <v>6245</v>
      </c>
      <c r="D1067">
        <v>64100</v>
      </c>
      <c r="E1067" t="s">
        <v>165</v>
      </c>
      <c r="F1067">
        <v>289.06</v>
      </c>
      <c r="G1067" t="s">
        <v>4686</v>
      </c>
      <c r="H1067" t="s">
        <v>4687</v>
      </c>
      <c r="I1067">
        <v>26232</v>
      </c>
      <c r="J1067">
        <v>53586</v>
      </c>
      <c r="K1067" t="s">
        <v>3421</v>
      </c>
      <c r="L1067" t="str">
        <f>SUBSTITUTE(K1067,"'","")</f>
        <v>320251850878551775</v>
      </c>
      <c r="M1067">
        <v>64100</v>
      </c>
    </row>
    <row r="1068" spans="1:13" x14ac:dyDescent="0.4">
      <c r="A1068" s="1">
        <v>45842</v>
      </c>
      <c r="B1068" t="s">
        <v>4683</v>
      </c>
      <c r="C1068" t="s">
        <v>5125</v>
      </c>
      <c r="D1068">
        <v>54820</v>
      </c>
      <c r="E1068" t="s">
        <v>2142</v>
      </c>
      <c r="F1068">
        <v>68.37</v>
      </c>
      <c r="G1068" t="s">
        <v>4686</v>
      </c>
      <c r="H1068" t="s">
        <v>4687</v>
      </c>
      <c r="I1068">
        <v>26599</v>
      </c>
      <c r="J1068">
        <v>54320</v>
      </c>
      <c r="K1068" t="s">
        <v>3427</v>
      </c>
      <c r="L1068" t="str">
        <f>SUBSTITUTE(K1068,"'","")</f>
        <v>320251860897627690</v>
      </c>
      <c r="M1068">
        <v>54820</v>
      </c>
    </row>
    <row r="1069" spans="1:13" x14ac:dyDescent="0.4">
      <c r="A1069" s="1">
        <v>45842</v>
      </c>
      <c r="B1069" t="s">
        <v>4683</v>
      </c>
      <c r="C1069" t="s">
        <v>6431</v>
      </c>
      <c r="D1069">
        <v>65700</v>
      </c>
      <c r="E1069" t="s">
        <v>2340</v>
      </c>
      <c r="F1069">
        <v>17.04</v>
      </c>
      <c r="G1069" t="s">
        <v>4686</v>
      </c>
      <c r="H1069" t="s">
        <v>4687</v>
      </c>
      <c r="I1069">
        <v>26421</v>
      </c>
      <c r="J1069">
        <v>53964</v>
      </c>
      <c r="K1069" t="s">
        <v>3438</v>
      </c>
      <c r="L1069" t="str">
        <f>SUBSTITUTE(K1069,"'","")</f>
        <v>320251860900530566</v>
      </c>
      <c r="M1069">
        <v>65700</v>
      </c>
    </row>
    <row r="1070" spans="1:13" x14ac:dyDescent="0.4">
      <c r="A1070" s="1">
        <v>45843</v>
      </c>
      <c r="B1070" t="s">
        <v>4683</v>
      </c>
      <c r="C1070" t="s">
        <v>5128</v>
      </c>
      <c r="D1070">
        <v>54820</v>
      </c>
      <c r="E1070" t="s">
        <v>695</v>
      </c>
      <c r="F1070" s="5">
        <v>1783.27</v>
      </c>
      <c r="G1070" t="s">
        <v>4686</v>
      </c>
      <c r="H1070" t="s">
        <v>4687</v>
      </c>
      <c r="I1070">
        <v>26016</v>
      </c>
      <c r="J1070">
        <v>53154</v>
      </c>
      <c r="K1070" t="s">
        <v>698</v>
      </c>
      <c r="L1070" t="str">
        <f>SUBSTITUTE(K1070,"'","")</f>
        <v>320251860884175018</v>
      </c>
      <c r="M1070">
        <v>54820</v>
      </c>
    </row>
    <row r="1071" spans="1:13" x14ac:dyDescent="0.4">
      <c r="A1071" s="1">
        <v>45843</v>
      </c>
      <c r="B1071" t="s">
        <v>4683</v>
      </c>
      <c r="C1071" t="s">
        <v>5129</v>
      </c>
      <c r="D1071">
        <v>54820</v>
      </c>
      <c r="E1071" t="s">
        <v>699</v>
      </c>
      <c r="F1071">
        <v>458.59</v>
      </c>
      <c r="G1071" t="s">
        <v>4686</v>
      </c>
      <c r="H1071" t="s">
        <v>4687</v>
      </c>
      <c r="I1071">
        <v>26017</v>
      </c>
      <c r="J1071">
        <v>53156</v>
      </c>
      <c r="K1071" t="s">
        <v>702</v>
      </c>
      <c r="L1071" t="str">
        <f>SUBSTITUTE(K1071,"'","")</f>
        <v>320251860884180545</v>
      </c>
      <c r="M1071">
        <v>54820</v>
      </c>
    </row>
    <row r="1072" spans="1:13" x14ac:dyDescent="0.4">
      <c r="A1072" s="1">
        <v>45843</v>
      </c>
      <c r="B1072" t="s">
        <v>4683</v>
      </c>
      <c r="C1072" t="s">
        <v>6247</v>
      </c>
      <c r="D1072">
        <v>64100</v>
      </c>
      <c r="E1072" t="s">
        <v>517</v>
      </c>
      <c r="F1072">
        <v>4</v>
      </c>
      <c r="G1072" t="s">
        <v>4686</v>
      </c>
      <c r="H1072" t="s">
        <v>4687</v>
      </c>
      <c r="I1072">
        <v>25659</v>
      </c>
      <c r="J1072">
        <v>52440</v>
      </c>
      <c r="K1072" t="s">
        <v>694</v>
      </c>
      <c r="L1072" t="str">
        <f>SUBSTITUTE(K1072,"'","")</f>
        <v>320251860888244274</v>
      </c>
      <c r="M1072">
        <v>64100</v>
      </c>
    </row>
    <row r="1073" spans="1:13" x14ac:dyDescent="0.4">
      <c r="A1073" s="1">
        <v>45843</v>
      </c>
      <c r="B1073" t="s">
        <v>4683</v>
      </c>
      <c r="C1073" t="s">
        <v>6490</v>
      </c>
      <c r="D1073">
        <v>67500</v>
      </c>
      <c r="E1073" t="s">
        <v>106</v>
      </c>
      <c r="F1073">
        <v>41.98</v>
      </c>
      <c r="G1073" t="s">
        <v>4686</v>
      </c>
      <c r="H1073" t="s">
        <v>4687</v>
      </c>
      <c r="I1073">
        <v>26370</v>
      </c>
      <c r="J1073">
        <v>53862</v>
      </c>
      <c r="K1073" t="s">
        <v>3411</v>
      </c>
      <c r="L1073" t="str">
        <f>SUBSTITUTE(K1073,"'","")</f>
        <v>320251860890549994</v>
      </c>
      <c r="M1073">
        <v>67500</v>
      </c>
    </row>
    <row r="1074" spans="1:13" x14ac:dyDescent="0.4">
      <c r="A1074" s="1">
        <v>45843</v>
      </c>
      <c r="B1074" t="s">
        <v>4683</v>
      </c>
      <c r="C1074" t="s">
        <v>5784</v>
      </c>
      <c r="D1074">
        <v>61130</v>
      </c>
      <c r="E1074" t="s">
        <v>605</v>
      </c>
      <c r="F1074">
        <v>102.49</v>
      </c>
      <c r="G1074" t="s">
        <v>4686</v>
      </c>
      <c r="H1074" t="s">
        <v>4687</v>
      </c>
      <c r="I1074">
        <v>25518</v>
      </c>
      <c r="J1074">
        <v>52158</v>
      </c>
      <c r="K1074" t="s">
        <v>704</v>
      </c>
      <c r="L1074" t="str">
        <f>SUBSTITUTE(K1074,"'","")</f>
        <v>320251860891294632</v>
      </c>
      <c r="M1074">
        <v>61130</v>
      </c>
    </row>
    <row r="1075" spans="1:13" x14ac:dyDescent="0.4">
      <c r="A1075" s="1">
        <v>45843</v>
      </c>
      <c r="B1075" t="s">
        <v>4683</v>
      </c>
      <c r="C1075" t="s">
        <v>5130</v>
      </c>
      <c r="D1075">
        <v>54820</v>
      </c>
      <c r="E1075" t="s">
        <v>2934</v>
      </c>
      <c r="F1075">
        <v>12.79</v>
      </c>
      <c r="G1075" t="s">
        <v>4686</v>
      </c>
      <c r="H1075" t="s">
        <v>4687</v>
      </c>
      <c r="I1075">
        <v>26565</v>
      </c>
      <c r="J1075">
        <v>54252</v>
      </c>
      <c r="K1075" t="s">
        <v>3405</v>
      </c>
      <c r="L1075" t="str">
        <f>SUBSTITUTE(K1075,"'","")</f>
        <v>320251870915279416</v>
      </c>
      <c r="M1075">
        <v>54820</v>
      </c>
    </row>
    <row r="1076" spans="1:13" x14ac:dyDescent="0.4">
      <c r="A1076" s="1">
        <v>45843</v>
      </c>
      <c r="B1076" t="s">
        <v>4683</v>
      </c>
      <c r="C1076" t="s">
        <v>5131</v>
      </c>
      <c r="D1076">
        <v>54820</v>
      </c>
      <c r="E1076" t="s">
        <v>2764</v>
      </c>
      <c r="F1076">
        <v>8.66</v>
      </c>
      <c r="G1076" t="s">
        <v>4686</v>
      </c>
      <c r="H1076" t="s">
        <v>4687</v>
      </c>
      <c r="I1076">
        <v>26741</v>
      </c>
      <c r="J1076">
        <v>54604</v>
      </c>
      <c r="K1076" t="s">
        <v>3390</v>
      </c>
      <c r="L1076" t="str">
        <f>SUBSTITUTE(K1076,"'","")</f>
        <v>320251870920008835</v>
      </c>
      <c r="M1076">
        <v>54820</v>
      </c>
    </row>
    <row r="1077" spans="1:13" x14ac:dyDescent="0.4">
      <c r="A1077" s="1">
        <v>45843</v>
      </c>
      <c r="B1077" t="s">
        <v>4683</v>
      </c>
      <c r="C1077" t="s">
        <v>5133</v>
      </c>
      <c r="D1077">
        <v>54820</v>
      </c>
      <c r="E1077" t="s">
        <v>1578</v>
      </c>
      <c r="F1077">
        <v>7.2</v>
      </c>
      <c r="G1077" t="s">
        <v>4686</v>
      </c>
      <c r="H1077" t="s">
        <v>4687</v>
      </c>
      <c r="I1077">
        <v>26996</v>
      </c>
      <c r="J1077">
        <v>55114</v>
      </c>
      <c r="K1077" t="s">
        <v>3394</v>
      </c>
      <c r="L1077" t="str">
        <f>SUBSTITUTE(K1077,"'","")</f>
        <v>320251870920919933</v>
      </c>
      <c r="M1077">
        <v>54820</v>
      </c>
    </row>
    <row r="1078" spans="1:13" x14ac:dyDescent="0.4">
      <c r="A1078" s="1">
        <v>45843</v>
      </c>
      <c r="B1078" t="s">
        <v>4683</v>
      </c>
      <c r="C1078" t="s">
        <v>5136</v>
      </c>
      <c r="D1078">
        <v>54820</v>
      </c>
      <c r="E1078" t="s">
        <v>3401</v>
      </c>
      <c r="F1078">
        <v>8.51</v>
      </c>
      <c r="G1078" t="s">
        <v>4686</v>
      </c>
      <c r="H1078" t="s">
        <v>4687</v>
      </c>
      <c r="I1078">
        <v>26999</v>
      </c>
      <c r="J1078">
        <v>55120</v>
      </c>
      <c r="K1078" t="s">
        <v>3403</v>
      </c>
      <c r="L1078" t="str">
        <f>SUBSTITUTE(K1078,"'","")</f>
        <v>320251870920953987</v>
      </c>
      <c r="M1078">
        <v>54820</v>
      </c>
    </row>
    <row r="1079" spans="1:13" x14ac:dyDescent="0.4">
      <c r="A1079" s="1">
        <v>45843</v>
      </c>
      <c r="B1079" t="s">
        <v>4683</v>
      </c>
      <c r="C1079" t="s">
        <v>5132</v>
      </c>
      <c r="D1079">
        <v>54820</v>
      </c>
      <c r="E1079" t="s">
        <v>1300</v>
      </c>
      <c r="F1079">
        <v>39.46</v>
      </c>
      <c r="G1079" t="s">
        <v>4686</v>
      </c>
      <c r="H1079" t="s">
        <v>4687</v>
      </c>
      <c r="I1079">
        <v>26822</v>
      </c>
      <c r="J1079">
        <v>54766</v>
      </c>
      <c r="K1079" t="s">
        <v>3392</v>
      </c>
      <c r="L1079" t="str">
        <f>SUBSTITUTE(K1079,"'","")</f>
        <v>320251870922218031</v>
      </c>
      <c r="M1079">
        <v>54820</v>
      </c>
    </row>
    <row r="1080" spans="1:13" x14ac:dyDescent="0.4">
      <c r="A1080" s="1">
        <v>45843</v>
      </c>
      <c r="B1080" t="s">
        <v>4683</v>
      </c>
      <c r="C1080" t="s">
        <v>5135</v>
      </c>
      <c r="D1080">
        <v>54820</v>
      </c>
      <c r="E1080" t="s">
        <v>3398</v>
      </c>
      <c r="F1080">
        <v>3</v>
      </c>
      <c r="G1080" t="s">
        <v>4686</v>
      </c>
      <c r="H1080" t="s">
        <v>4687</v>
      </c>
      <c r="I1080">
        <v>26998</v>
      </c>
      <c r="J1080">
        <v>55118</v>
      </c>
      <c r="K1080" t="s">
        <v>3400</v>
      </c>
      <c r="L1080" t="str">
        <f>SUBSTITUTE(K1080,"'","")</f>
        <v>320251870923055374</v>
      </c>
      <c r="M1080">
        <v>54820</v>
      </c>
    </row>
    <row r="1081" spans="1:13" x14ac:dyDescent="0.4">
      <c r="A1081" s="1">
        <v>45843</v>
      </c>
      <c r="B1081" t="s">
        <v>4683</v>
      </c>
      <c r="C1081" t="s">
        <v>5134</v>
      </c>
      <c r="D1081">
        <v>54820</v>
      </c>
      <c r="E1081" t="s">
        <v>3395</v>
      </c>
      <c r="F1081">
        <v>14.41</v>
      </c>
      <c r="G1081" t="s">
        <v>4686</v>
      </c>
      <c r="H1081" t="s">
        <v>4687</v>
      </c>
      <c r="I1081">
        <v>26997</v>
      </c>
      <c r="J1081">
        <v>55116</v>
      </c>
      <c r="K1081" t="s">
        <v>3397</v>
      </c>
      <c r="L1081" t="str">
        <f>SUBSTITUTE(K1081,"'","")</f>
        <v>320251870923093990</v>
      </c>
      <c r="M1081">
        <v>54820</v>
      </c>
    </row>
    <row r="1082" spans="1:13" x14ac:dyDescent="0.4">
      <c r="A1082" s="1">
        <v>45843</v>
      </c>
      <c r="B1082" t="s">
        <v>4683</v>
      </c>
      <c r="C1082" t="s">
        <v>5137</v>
      </c>
      <c r="D1082">
        <v>54820</v>
      </c>
      <c r="E1082" t="s">
        <v>3406</v>
      </c>
      <c r="F1082">
        <v>13.6</v>
      </c>
      <c r="G1082" t="s">
        <v>4686</v>
      </c>
      <c r="H1082" t="s">
        <v>4687</v>
      </c>
      <c r="I1082">
        <v>27000</v>
      </c>
      <c r="J1082">
        <v>55122</v>
      </c>
      <c r="K1082" t="s">
        <v>3409</v>
      </c>
      <c r="L1082" t="str">
        <f>SUBSTITUTE(K1082,"'","")</f>
        <v>320251870924877463</v>
      </c>
      <c r="M1082">
        <v>54820</v>
      </c>
    </row>
    <row r="1083" spans="1:13" x14ac:dyDescent="0.4">
      <c r="A1083" s="1">
        <v>45844</v>
      </c>
      <c r="B1083" t="s">
        <v>4683</v>
      </c>
      <c r="C1083" t="s">
        <v>5138</v>
      </c>
      <c r="D1083">
        <v>54820</v>
      </c>
      <c r="E1083" t="s">
        <v>2344</v>
      </c>
      <c r="F1083">
        <v>9.42</v>
      </c>
      <c r="G1083" t="s">
        <v>4686</v>
      </c>
      <c r="H1083" t="s">
        <v>4687</v>
      </c>
      <c r="I1083">
        <v>26269</v>
      </c>
      <c r="J1083">
        <v>53660</v>
      </c>
      <c r="K1083" t="s">
        <v>3383</v>
      </c>
      <c r="L1083" t="str">
        <f>SUBSTITUTE(K1083,"'","")</f>
        <v>320251870906055261</v>
      </c>
      <c r="M1083">
        <v>54820</v>
      </c>
    </row>
    <row r="1084" spans="1:13" x14ac:dyDescent="0.4">
      <c r="A1084" s="1">
        <v>45844</v>
      </c>
      <c r="B1084" t="s">
        <v>4683</v>
      </c>
      <c r="C1084" t="s">
        <v>6248</v>
      </c>
      <c r="D1084">
        <v>64100</v>
      </c>
      <c r="E1084" t="s">
        <v>184</v>
      </c>
      <c r="F1084">
        <v>25.68</v>
      </c>
      <c r="G1084" t="s">
        <v>4686</v>
      </c>
      <c r="H1084" t="s">
        <v>4687</v>
      </c>
      <c r="I1084">
        <v>25919</v>
      </c>
      <c r="J1084">
        <v>52960</v>
      </c>
      <c r="K1084" t="s">
        <v>691</v>
      </c>
      <c r="L1084" t="str">
        <f>SUBSTITUTE(K1084,"'","")</f>
        <v>320251870909982486</v>
      </c>
      <c r="M1084">
        <v>64100</v>
      </c>
    </row>
    <row r="1085" spans="1:13" x14ac:dyDescent="0.4">
      <c r="A1085" s="1">
        <v>45844</v>
      </c>
      <c r="B1085" t="s">
        <v>4683</v>
      </c>
      <c r="C1085" t="s">
        <v>6432</v>
      </c>
      <c r="D1085">
        <v>65700</v>
      </c>
      <c r="E1085" t="s">
        <v>2354</v>
      </c>
      <c r="F1085">
        <v>113</v>
      </c>
      <c r="G1085" t="s">
        <v>4686</v>
      </c>
      <c r="H1085" t="s">
        <v>4687</v>
      </c>
      <c r="I1085">
        <v>26291</v>
      </c>
      <c r="J1085">
        <v>53704</v>
      </c>
      <c r="K1085" t="s">
        <v>3388</v>
      </c>
      <c r="L1085" t="str">
        <f>SUBSTITUTE(K1085,"'","")</f>
        <v>320251870913592012</v>
      </c>
      <c r="M1085">
        <v>65700</v>
      </c>
    </row>
    <row r="1086" spans="1:13" x14ac:dyDescent="0.4">
      <c r="A1086" s="1">
        <v>45844</v>
      </c>
      <c r="B1086" t="s">
        <v>4683</v>
      </c>
      <c r="C1086" t="s">
        <v>5139</v>
      </c>
      <c r="D1086">
        <v>54820</v>
      </c>
      <c r="E1086" t="s">
        <v>3379</v>
      </c>
      <c r="F1086">
        <v>1.6</v>
      </c>
      <c r="G1086" t="s">
        <v>4686</v>
      </c>
      <c r="H1086" t="s">
        <v>4687</v>
      </c>
      <c r="I1086">
        <v>26311</v>
      </c>
      <c r="J1086">
        <v>53744</v>
      </c>
      <c r="K1086" t="s">
        <v>3381</v>
      </c>
      <c r="L1086" t="str">
        <f>SUBSTITUTE(K1086,"'","")</f>
        <v>320251870914725260</v>
      </c>
      <c r="M1086">
        <v>54820</v>
      </c>
    </row>
    <row r="1087" spans="1:13" x14ac:dyDescent="0.4">
      <c r="A1087" s="1">
        <v>45844</v>
      </c>
      <c r="B1087" t="s">
        <v>4683</v>
      </c>
      <c r="C1087" t="s">
        <v>5140</v>
      </c>
      <c r="D1087">
        <v>54820</v>
      </c>
      <c r="E1087" t="s">
        <v>2690</v>
      </c>
      <c r="F1087">
        <v>100</v>
      </c>
      <c r="G1087" t="s">
        <v>4686</v>
      </c>
      <c r="H1087" t="s">
        <v>4687</v>
      </c>
      <c r="I1087">
        <v>27001</v>
      </c>
      <c r="J1087">
        <v>55124</v>
      </c>
      <c r="K1087" t="s">
        <v>3385</v>
      </c>
      <c r="L1087" t="str">
        <f>SUBSTITUTE(K1087,"'","")</f>
        <v>320251880938189924</v>
      </c>
      <c r="M1087">
        <v>54820</v>
      </c>
    </row>
    <row r="1088" spans="1:13" x14ac:dyDescent="0.4">
      <c r="A1088" s="1">
        <v>45845</v>
      </c>
      <c r="B1088" t="s">
        <v>4683</v>
      </c>
      <c r="C1088" t="s">
        <v>5142</v>
      </c>
      <c r="D1088">
        <v>54820</v>
      </c>
      <c r="E1088" t="s">
        <v>3374</v>
      </c>
      <c r="F1088">
        <v>268.79000000000002</v>
      </c>
      <c r="G1088" t="s">
        <v>4686</v>
      </c>
      <c r="H1088" t="s">
        <v>4687</v>
      </c>
      <c r="I1088">
        <v>27002</v>
      </c>
      <c r="J1088">
        <v>55126</v>
      </c>
      <c r="K1088" t="s">
        <v>3378</v>
      </c>
      <c r="L1088" t="str">
        <f>SUBSTITUTE(K1088,"'","")</f>
        <v>320251880948712932</v>
      </c>
      <c r="M1088">
        <v>54820</v>
      </c>
    </row>
    <row r="1089" spans="1:13" x14ac:dyDescent="0.4">
      <c r="A1089" s="1">
        <v>45845</v>
      </c>
      <c r="B1089" t="s">
        <v>4683</v>
      </c>
      <c r="C1089" t="s">
        <v>6249</v>
      </c>
      <c r="D1089">
        <v>64100</v>
      </c>
      <c r="E1089" t="s">
        <v>165</v>
      </c>
      <c r="F1089">
        <v>21.38</v>
      </c>
      <c r="G1089" t="s">
        <v>4686</v>
      </c>
      <c r="H1089" t="s">
        <v>4687</v>
      </c>
      <c r="I1089">
        <v>25604</v>
      </c>
      <c r="J1089">
        <v>52330</v>
      </c>
      <c r="K1089" t="s">
        <v>684</v>
      </c>
      <c r="L1089" t="str">
        <f>SUBSTITUTE(K1089,"'","")</f>
        <v>320251880949008783</v>
      </c>
      <c r="M1089">
        <v>64100</v>
      </c>
    </row>
    <row r="1090" spans="1:13" x14ac:dyDescent="0.4">
      <c r="A1090" s="1">
        <v>45845</v>
      </c>
      <c r="B1090" t="s">
        <v>4683</v>
      </c>
      <c r="C1090" t="s">
        <v>6250</v>
      </c>
      <c r="D1090">
        <v>64100</v>
      </c>
      <c r="E1090" t="s">
        <v>2311</v>
      </c>
      <c r="F1090">
        <v>41.12</v>
      </c>
      <c r="G1090" t="s">
        <v>4686</v>
      </c>
      <c r="H1090" t="s">
        <v>4687</v>
      </c>
      <c r="I1090">
        <v>26444</v>
      </c>
      <c r="J1090">
        <v>54010</v>
      </c>
      <c r="K1090" t="s">
        <v>3373</v>
      </c>
      <c r="L1090" t="str">
        <f>SUBSTITUTE(K1090,"'","")</f>
        <v>320251890975840919</v>
      </c>
      <c r="M1090">
        <v>64100</v>
      </c>
    </row>
    <row r="1091" spans="1:13" x14ac:dyDescent="0.4">
      <c r="A1091" s="1">
        <v>45845</v>
      </c>
      <c r="B1091" t="s">
        <v>4683</v>
      </c>
      <c r="C1091" t="s">
        <v>5141</v>
      </c>
      <c r="D1091">
        <v>54820</v>
      </c>
      <c r="E1091" t="s">
        <v>685</v>
      </c>
      <c r="F1091">
        <v>911.4</v>
      </c>
      <c r="G1091" t="s">
        <v>4686</v>
      </c>
      <c r="H1091" t="s">
        <v>4687</v>
      </c>
      <c r="I1091">
        <v>25983</v>
      </c>
      <c r="J1091">
        <v>53088</v>
      </c>
      <c r="K1091" t="s">
        <v>689</v>
      </c>
      <c r="L1091" t="str">
        <f>SUBSTITUTE(K1091,"'","")</f>
        <v>320251890982456523</v>
      </c>
      <c r="M1091">
        <v>54820</v>
      </c>
    </row>
    <row r="1092" spans="1:13" x14ac:dyDescent="0.4">
      <c r="A1092" s="1">
        <v>45846</v>
      </c>
      <c r="B1092" t="s">
        <v>4683</v>
      </c>
      <c r="C1092" t="s">
        <v>6526</v>
      </c>
      <c r="D1092">
        <v>80100</v>
      </c>
      <c r="E1092" t="s">
        <v>2303</v>
      </c>
      <c r="F1092">
        <v>532.9</v>
      </c>
      <c r="G1092" t="s">
        <v>4686</v>
      </c>
      <c r="H1092" t="s">
        <v>4687</v>
      </c>
      <c r="I1092">
        <v>26348</v>
      </c>
      <c r="J1092">
        <v>53818</v>
      </c>
      <c r="K1092" t="s">
        <v>3366</v>
      </c>
      <c r="L1092" t="str">
        <f>SUBSTITUTE(K1092,"'","")</f>
        <v>150709060000499911</v>
      </c>
      <c r="M1092">
        <v>80100</v>
      </c>
    </row>
    <row r="1093" spans="1:13" x14ac:dyDescent="0.4">
      <c r="A1093" s="1">
        <v>45846</v>
      </c>
      <c r="B1093" t="s">
        <v>4683</v>
      </c>
      <c r="C1093" t="s">
        <v>6025</v>
      </c>
      <c r="D1093">
        <v>61215</v>
      </c>
      <c r="E1093" t="s">
        <v>3367</v>
      </c>
      <c r="F1093">
        <v>258.72000000000003</v>
      </c>
      <c r="G1093" t="s">
        <v>4686</v>
      </c>
      <c r="H1093" t="s">
        <v>4687</v>
      </c>
      <c r="I1093">
        <v>26758</v>
      </c>
      <c r="J1093">
        <v>54638</v>
      </c>
      <c r="K1093" t="s">
        <v>3370</v>
      </c>
      <c r="L1093" t="str">
        <f>SUBSTITUTE(K1093,"'","")</f>
        <v>320251890959110778</v>
      </c>
      <c r="M1093">
        <v>61215</v>
      </c>
    </row>
    <row r="1094" spans="1:13" x14ac:dyDescent="0.4">
      <c r="A1094" s="1">
        <v>45846</v>
      </c>
      <c r="B1094" t="s">
        <v>4683</v>
      </c>
      <c r="C1094" t="s">
        <v>5146</v>
      </c>
      <c r="D1094">
        <v>54820</v>
      </c>
      <c r="E1094" t="s">
        <v>2181</v>
      </c>
      <c r="F1094">
        <v>15.99</v>
      </c>
      <c r="G1094" t="s">
        <v>4686</v>
      </c>
      <c r="H1094" t="s">
        <v>4687</v>
      </c>
      <c r="I1094">
        <v>27003</v>
      </c>
      <c r="J1094">
        <v>55128</v>
      </c>
      <c r="K1094" t="s">
        <v>3363</v>
      </c>
      <c r="L1094" t="str">
        <f>SUBSTITUTE(K1094,"'","")</f>
        <v>320251890964603414</v>
      </c>
      <c r="M1094">
        <v>54820</v>
      </c>
    </row>
    <row r="1095" spans="1:13" x14ac:dyDescent="0.4">
      <c r="A1095" s="1">
        <v>45846</v>
      </c>
      <c r="B1095" t="s">
        <v>4683</v>
      </c>
      <c r="C1095" t="s">
        <v>5145</v>
      </c>
      <c r="D1095">
        <v>54820</v>
      </c>
      <c r="E1095" t="s">
        <v>677</v>
      </c>
      <c r="F1095">
        <v>190.51</v>
      </c>
      <c r="G1095" t="s">
        <v>4686</v>
      </c>
      <c r="H1095" t="s">
        <v>4687</v>
      </c>
      <c r="I1095">
        <v>26068</v>
      </c>
      <c r="J1095">
        <v>53258</v>
      </c>
      <c r="K1095" t="s">
        <v>681</v>
      </c>
      <c r="L1095" t="str">
        <f>SUBSTITUTE(K1095,"'","")</f>
        <v>320251890967830824</v>
      </c>
      <c r="M1095">
        <v>54820</v>
      </c>
    </row>
    <row r="1096" spans="1:13" x14ac:dyDescent="0.4">
      <c r="A1096" s="1">
        <v>45846</v>
      </c>
      <c r="B1096" t="s">
        <v>4683</v>
      </c>
      <c r="C1096" t="s">
        <v>5144</v>
      </c>
      <c r="D1096">
        <v>54820</v>
      </c>
      <c r="E1096" t="s">
        <v>670</v>
      </c>
      <c r="F1096" s="5">
        <v>1241.1500000000001</v>
      </c>
      <c r="G1096" t="s">
        <v>4686</v>
      </c>
      <c r="H1096" t="s">
        <v>4687</v>
      </c>
      <c r="I1096">
        <v>26067</v>
      </c>
      <c r="J1096">
        <v>53256</v>
      </c>
      <c r="K1096" t="s">
        <v>676</v>
      </c>
      <c r="L1096" t="str">
        <f>SUBSTITUTE(K1096,"'","")</f>
        <v>320251890982479307</v>
      </c>
      <c r="M1096">
        <v>54820</v>
      </c>
    </row>
    <row r="1097" spans="1:13" x14ac:dyDescent="0.4">
      <c r="A1097" s="1">
        <v>45846</v>
      </c>
      <c r="B1097" t="s">
        <v>4683</v>
      </c>
      <c r="C1097" t="s">
        <v>5147</v>
      </c>
      <c r="D1097">
        <v>54820</v>
      </c>
      <c r="E1097" t="s">
        <v>670</v>
      </c>
      <c r="F1097">
        <v>400.9</v>
      </c>
      <c r="G1097" t="s">
        <v>4686</v>
      </c>
      <c r="H1097" t="s">
        <v>4687</v>
      </c>
      <c r="I1097">
        <v>27004</v>
      </c>
      <c r="J1097">
        <v>55130</v>
      </c>
      <c r="K1097" t="s">
        <v>3365</v>
      </c>
      <c r="L1097" t="str">
        <f>SUBSTITUTE(K1097,"'","")</f>
        <v>320251890982479538</v>
      </c>
      <c r="M1097">
        <v>54820</v>
      </c>
    </row>
    <row r="1098" spans="1:13" x14ac:dyDescent="0.4">
      <c r="A1098" s="1">
        <v>45846</v>
      </c>
      <c r="B1098" t="s">
        <v>4683</v>
      </c>
      <c r="C1098" t="s">
        <v>5143</v>
      </c>
      <c r="D1098">
        <v>54820</v>
      </c>
      <c r="E1098" t="s">
        <v>670</v>
      </c>
      <c r="F1098">
        <v>224.39</v>
      </c>
      <c r="G1098" t="s">
        <v>4686</v>
      </c>
      <c r="H1098" t="s">
        <v>4687</v>
      </c>
      <c r="I1098">
        <v>26066</v>
      </c>
      <c r="J1098">
        <v>53254</v>
      </c>
      <c r="K1098" t="s">
        <v>674</v>
      </c>
      <c r="L1098" t="str">
        <f>SUBSTITUTE(K1098,"'","")</f>
        <v>320251890982480259</v>
      </c>
      <c r="M1098">
        <v>54820</v>
      </c>
    </row>
    <row r="1099" spans="1:13" x14ac:dyDescent="0.4">
      <c r="A1099" s="1">
        <v>45846</v>
      </c>
      <c r="B1099" t="s">
        <v>4683</v>
      </c>
      <c r="C1099" t="s">
        <v>6527</v>
      </c>
      <c r="D1099">
        <v>80100</v>
      </c>
      <c r="E1099" t="s">
        <v>588</v>
      </c>
      <c r="F1099">
        <v>695</v>
      </c>
      <c r="G1099" t="s">
        <v>4686</v>
      </c>
      <c r="H1099" t="s">
        <v>4687</v>
      </c>
      <c r="I1099">
        <v>26929</v>
      </c>
      <c r="J1099">
        <v>54980</v>
      </c>
      <c r="K1099" t="s">
        <v>3371</v>
      </c>
      <c r="L1099" t="str">
        <f>SUBSTITUTE(K1099,"'","")</f>
        <v>320251893957388307</v>
      </c>
      <c r="M1099">
        <v>80100</v>
      </c>
    </row>
    <row r="1100" spans="1:13" x14ac:dyDescent="0.4">
      <c r="A1100" s="1">
        <v>45846</v>
      </c>
      <c r="B1100" t="s">
        <v>4683</v>
      </c>
      <c r="C1100" t="s">
        <v>6251</v>
      </c>
      <c r="D1100">
        <v>64100</v>
      </c>
      <c r="E1100" t="s">
        <v>169</v>
      </c>
      <c r="F1100">
        <v>21.39</v>
      </c>
      <c r="G1100" t="s">
        <v>4686</v>
      </c>
      <c r="H1100" t="s">
        <v>4687</v>
      </c>
      <c r="I1100">
        <v>25806</v>
      </c>
      <c r="J1100">
        <v>52734</v>
      </c>
      <c r="K1100" t="s">
        <v>669</v>
      </c>
      <c r="L1100" t="str">
        <f>SUBSTITUTE(K1100,"'","")</f>
        <v>320251900987298378</v>
      </c>
      <c r="M1100">
        <v>64100</v>
      </c>
    </row>
    <row r="1101" spans="1:13" x14ac:dyDescent="0.4">
      <c r="A1101" s="1">
        <v>45847</v>
      </c>
      <c r="B1101" t="s">
        <v>4683</v>
      </c>
      <c r="C1101" t="s">
        <v>5149</v>
      </c>
      <c r="D1101">
        <v>54820</v>
      </c>
      <c r="E1101" t="s">
        <v>3354</v>
      </c>
      <c r="F1101">
        <v>500.06</v>
      </c>
      <c r="G1101" t="s">
        <v>4686</v>
      </c>
      <c r="H1101" t="s">
        <v>4687</v>
      </c>
      <c r="I1101">
        <v>26759</v>
      </c>
      <c r="J1101">
        <v>54640</v>
      </c>
      <c r="K1101" t="s">
        <v>3357</v>
      </c>
      <c r="L1101" t="str">
        <f>SUBSTITUTE(K1101,"'","")</f>
        <v>320251900008506469</v>
      </c>
      <c r="M1101">
        <v>54820</v>
      </c>
    </row>
    <row r="1102" spans="1:13" x14ac:dyDescent="0.4">
      <c r="A1102" s="1">
        <v>45847</v>
      </c>
      <c r="B1102" t="s">
        <v>4683</v>
      </c>
      <c r="C1102" t="s">
        <v>5148</v>
      </c>
      <c r="D1102">
        <v>54820</v>
      </c>
      <c r="E1102" t="s">
        <v>660</v>
      </c>
      <c r="F1102">
        <v>9.4</v>
      </c>
      <c r="G1102" t="s">
        <v>4686</v>
      </c>
      <c r="H1102" t="s">
        <v>4687</v>
      </c>
      <c r="I1102">
        <v>26069</v>
      </c>
      <c r="J1102">
        <v>53260</v>
      </c>
      <c r="K1102" t="s">
        <v>664</v>
      </c>
      <c r="L1102" t="str">
        <f>SUBSTITUTE(K1102,"'","")</f>
        <v>320251900011263824</v>
      </c>
      <c r="M1102">
        <v>54820</v>
      </c>
    </row>
    <row r="1103" spans="1:13" x14ac:dyDescent="0.4">
      <c r="A1103" s="1">
        <v>45847</v>
      </c>
      <c r="B1103" t="s">
        <v>4683</v>
      </c>
      <c r="C1103" t="s">
        <v>5150</v>
      </c>
      <c r="D1103">
        <v>54820</v>
      </c>
      <c r="E1103" t="s">
        <v>3358</v>
      </c>
      <c r="F1103">
        <v>24.41</v>
      </c>
      <c r="G1103" t="s">
        <v>4686</v>
      </c>
      <c r="H1103" t="s">
        <v>4687</v>
      </c>
      <c r="I1103">
        <v>27005</v>
      </c>
      <c r="J1103">
        <v>55132</v>
      </c>
      <c r="K1103" t="s">
        <v>3361</v>
      </c>
      <c r="L1103" t="str">
        <f>SUBSTITUTE(K1103,"'","")</f>
        <v>320251900993422126</v>
      </c>
      <c r="M1103">
        <v>54820</v>
      </c>
    </row>
    <row r="1104" spans="1:13" x14ac:dyDescent="0.4">
      <c r="A1104" s="1">
        <v>45847</v>
      </c>
      <c r="B1104" t="s">
        <v>4683</v>
      </c>
      <c r="C1104" t="s">
        <v>6253</v>
      </c>
      <c r="D1104">
        <v>64100</v>
      </c>
      <c r="E1104" t="s">
        <v>153</v>
      </c>
      <c r="F1104">
        <v>216</v>
      </c>
      <c r="G1104" t="s">
        <v>4686</v>
      </c>
      <c r="H1104" t="s">
        <v>4687</v>
      </c>
      <c r="I1104">
        <v>25606</v>
      </c>
      <c r="J1104">
        <v>52334</v>
      </c>
      <c r="K1104" t="s">
        <v>659</v>
      </c>
      <c r="L1104" t="str">
        <f>SUBSTITUTE(K1104,"'","")</f>
        <v>320251900993729368</v>
      </c>
      <c r="M1104">
        <v>64100</v>
      </c>
    </row>
    <row r="1105" spans="1:13" x14ac:dyDescent="0.4">
      <c r="A1105" s="1">
        <v>45847</v>
      </c>
      <c r="B1105" t="s">
        <v>4683</v>
      </c>
      <c r="C1105" t="s">
        <v>6252</v>
      </c>
      <c r="D1105">
        <v>64100</v>
      </c>
      <c r="E1105" t="s">
        <v>153</v>
      </c>
      <c r="F1105">
        <v>160.72</v>
      </c>
      <c r="G1105" t="s">
        <v>4686</v>
      </c>
      <c r="H1105" t="s">
        <v>4687</v>
      </c>
      <c r="I1105">
        <v>25605</v>
      </c>
      <c r="J1105">
        <v>52332</v>
      </c>
      <c r="K1105" t="s">
        <v>657</v>
      </c>
      <c r="L1105" t="str">
        <f>SUBSTITUTE(K1105,"'","")</f>
        <v>320251900993780349</v>
      </c>
      <c r="M1105">
        <v>64100</v>
      </c>
    </row>
    <row r="1106" spans="1:13" x14ac:dyDescent="0.4">
      <c r="A1106" s="1">
        <v>45847</v>
      </c>
      <c r="B1106" t="s">
        <v>4683</v>
      </c>
      <c r="C1106" t="s">
        <v>6254</v>
      </c>
      <c r="D1106">
        <v>64100</v>
      </c>
      <c r="E1106" t="s">
        <v>160</v>
      </c>
      <c r="F1106">
        <v>21.4</v>
      </c>
      <c r="G1106" t="s">
        <v>4686</v>
      </c>
      <c r="H1106" t="s">
        <v>4687</v>
      </c>
      <c r="I1106">
        <v>25905</v>
      </c>
      <c r="J1106">
        <v>52932</v>
      </c>
      <c r="K1106" t="s">
        <v>667</v>
      </c>
      <c r="L1106" t="str">
        <f>SUBSTITUTE(K1106,"'","")</f>
        <v>320251910032577508</v>
      </c>
      <c r="M1106">
        <v>64100</v>
      </c>
    </row>
    <row r="1107" spans="1:13" x14ac:dyDescent="0.4">
      <c r="A1107" s="1">
        <v>45848</v>
      </c>
      <c r="B1107" t="s">
        <v>4730</v>
      </c>
      <c r="C1107" t="s">
        <v>5151</v>
      </c>
      <c r="D1107">
        <v>54820</v>
      </c>
      <c r="E1107" t="s">
        <v>3332</v>
      </c>
      <c r="F1107">
        <v>-64.819999999999993</v>
      </c>
      <c r="G1107" t="s">
        <v>4686</v>
      </c>
      <c r="H1107" t="s">
        <v>4687</v>
      </c>
      <c r="I1107">
        <v>26676</v>
      </c>
      <c r="J1107">
        <v>54474</v>
      </c>
      <c r="K1107" t="s">
        <v>3353</v>
      </c>
      <c r="L1107" t="str">
        <f>SUBSTITUTE(K1107,"'","")</f>
        <v>320251910016436208</v>
      </c>
      <c r="M1107">
        <v>54820</v>
      </c>
    </row>
    <row r="1108" spans="1:13" x14ac:dyDescent="0.4">
      <c r="A1108" s="1">
        <v>45848</v>
      </c>
      <c r="B1108" t="s">
        <v>4683</v>
      </c>
      <c r="C1108" t="s">
        <v>5786</v>
      </c>
      <c r="D1108">
        <v>61130</v>
      </c>
      <c r="E1108" t="s">
        <v>605</v>
      </c>
      <c r="F1108">
        <v>19.14</v>
      </c>
      <c r="G1108" t="s">
        <v>4686</v>
      </c>
      <c r="H1108" t="s">
        <v>4687</v>
      </c>
      <c r="I1108">
        <v>25520</v>
      </c>
      <c r="J1108">
        <v>52162</v>
      </c>
      <c r="K1108" t="s">
        <v>652</v>
      </c>
      <c r="L1108" t="str">
        <f>SUBSTITUTE(K1108,"'","")</f>
        <v>320251910020203451</v>
      </c>
      <c r="M1108">
        <v>61130</v>
      </c>
    </row>
    <row r="1109" spans="1:13" x14ac:dyDescent="0.4">
      <c r="A1109" s="1">
        <v>45848</v>
      </c>
      <c r="B1109" t="s">
        <v>4683</v>
      </c>
      <c r="C1109" t="s">
        <v>5785</v>
      </c>
      <c r="D1109">
        <v>61130</v>
      </c>
      <c r="E1109" t="s">
        <v>605</v>
      </c>
      <c r="F1109">
        <v>14.82</v>
      </c>
      <c r="G1109" t="s">
        <v>4686</v>
      </c>
      <c r="H1109" t="s">
        <v>4687</v>
      </c>
      <c r="I1109">
        <v>25519</v>
      </c>
      <c r="J1109">
        <v>52160</v>
      </c>
      <c r="K1109" t="s">
        <v>650</v>
      </c>
      <c r="L1109" t="str">
        <f>SUBSTITUTE(K1109,"'","")</f>
        <v>320251910020223554</v>
      </c>
      <c r="M1109">
        <v>61130</v>
      </c>
    </row>
    <row r="1110" spans="1:13" x14ac:dyDescent="0.4">
      <c r="A1110" s="1">
        <v>45848</v>
      </c>
      <c r="B1110" t="s">
        <v>4683</v>
      </c>
      <c r="C1110" t="s">
        <v>6401</v>
      </c>
      <c r="D1110">
        <v>65600</v>
      </c>
      <c r="E1110" t="s">
        <v>653</v>
      </c>
      <c r="F1110">
        <v>330</v>
      </c>
      <c r="G1110" t="s">
        <v>4686</v>
      </c>
      <c r="H1110" t="s">
        <v>4687</v>
      </c>
      <c r="I1110">
        <v>26097</v>
      </c>
      <c r="J1110">
        <v>53316</v>
      </c>
      <c r="K1110" t="s">
        <v>655</v>
      </c>
      <c r="L1110" t="str">
        <f>SUBSTITUTE(K1110,"'","")</f>
        <v>320251910024160540</v>
      </c>
      <c r="M1110">
        <v>65600</v>
      </c>
    </row>
    <row r="1111" spans="1:13" x14ac:dyDescent="0.4">
      <c r="A1111" s="1">
        <v>45848</v>
      </c>
      <c r="B1111" t="s">
        <v>4683</v>
      </c>
      <c r="C1111" t="s">
        <v>6402</v>
      </c>
      <c r="D1111">
        <v>65600</v>
      </c>
      <c r="E1111" t="s">
        <v>2208</v>
      </c>
      <c r="F1111">
        <v>234</v>
      </c>
      <c r="G1111" t="s">
        <v>4686</v>
      </c>
      <c r="H1111" t="s">
        <v>4687</v>
      </c>
      <c r="I1111">
        <v>26908</v>
      </c>
      <c r="J1111">
        <v>54938</v>
      </c>
      <c r="K1111" t="s">
        <v>3351</v>
      </c>
      <c r="L1111" t="str">
        <f>SUBSTITUTE(K1111,"'","")</f>
        <v>320251910038771883</v>
      </c>
      <c r="M1111">
        <v>65600</v>
      </c>
    </row>
    <row r="1112" spans="1:13" x14ac:dyDescent="0.4">
      <c r="A1112" s="1">
        <v>45849</v>
      </c>
      <c r="B1112" t="s">
        <v>4683</v>
      </c>
      <c r="C1112" t="s">
        <v>5152</v>
      </c>
      <c r="D1112">
        <v>54820</v>
      </c>
      <c r="E1112" t="s">
        <v>2181</v>
      </c>
      <c r="F1112">
        <v>9.99</v>
      </c>
      <c r="G1112" t="s">
        <v>4686</v>
      </c>
      <c r="H1112" t="s">
        <v>4687</v>
      </c>
      <c r="I1112">
        <v>27006</v>
      </c>
      <c r="J1112">
        <v>55134</v>
      </c>
      <c r="K1112" t="s">
        <v>3343</v>
      </c>
      <c r="L1112" t="str">
        <f>SUBSTITUTE(K1112,"'","")</f>
        <v>320251920046021697</v>
      </c>
      <c r="M1112">
        <v>54820</v>
      </c>
    </row>
    <row r="1113" spans="1:13" x14ac:dyDescent="0.4">
      <c r="A1113" s="1">
        <v>45849</v>
      </c>
      <c r="B1113" t="s">
        <v>4683</v>
      </c>
      <c r="C1113" t="s">
        <v>5153</v>
      </c>
      <c r="D1113">
        <v>54820</v>
      </c>
      <c r="E1113" t="s">
        <v>3346</v>
      </c>
      <c r="F1113">
        <v>58.7</v>
      </c>
      <c r="G1113" t="s">
        <v>4686</v>
      </c>
      <c r="H1113" t="s">
        <v>4687</v>
      </c>
      <c r="I1113">
        <v>27007</v>
      </c>
      <c r="J1113">
        <v>55136</v>
      </c>
      <c r="K1113" t="s">
        <v>3349</v>
      </c>
      <c r="L1113" t="str">
        <f>SUBSTITUTE(K1113,"'","")</f>
        <v>320251920047335044</v>
      </c>
      <c r="M1113">
        <v>54820</v>
      </c>
    </row>
    <row r="1114" spans="1:13" x14ac:dyDescent="0.4">
      <c r="A1114" s="1">
        <v>45849</v>
      </c>
      <c r="B1114" t="s">
        <v>4683</v>
      </c>
      <c r="C1114" t="s">
        <v>6256</v>
      </c>
      <c r="D1114">
        <v>64100</v>
      </c>
      <c r="E1114" t="s">
        <v>2259</v>
      </c>
      <c r="F1114">
        <v>21.39</v>
      </c>
      <c r="G1114" t="s">
        <v>4686</v>
      </c>
      <c r="H1114" t="s">
        <v>4687</v>
      </c>
      <c r="I1114">
        <v>26336</v>
      </c>
      <c r="J1114">
        <v>53794</v>
      </c>
      <c r="K1114" t="s">
        <v>3341</v>
      </c>
      <c r="L1114" t="str">
        <f>SUBSTITUTE(K1114,"'","")</f>
        <v>320251930085688296</v>
      </c>
      <c r="M1114">
        <v>64100</v>
      </c>
    </row>
    <row r="1115" spans="1:13" x14ac:dyDescent="0.4">
      <c r="A1115" s="1">
        <v>45849</v>
      </c>
      <c r="B1115" t="s">
        <v>4683</v>
      </c>
      <c r="C1115" t="s">
        <v>6257</v>
      </c>
      <c r="D1115">
        <v>64100</v>
      </c>
      <c r="E1115" t="s">
        <v>2265</v>
      </c>
      <c r="F1115">
        <v>36.9</v>
      </c>
      <c r="G1115" t="s">
        <v>4686</v>
      </c>
      <c r="H1115" t="s">
        <v>4687</v>
      </c>
      <c r="I1115">
        <v>26337</v>
      </c>
      <c r="J1115">
        <v>53796</v>
      </c>
      <c r="K1115" t="s">
        <v>3345</v>
      </c>
      <c r="L1115" t="str">
        <f>SUBSTITUTE(K1115,"'","")</f>
        <v>320251930086741412</v>
      </c>
      <c r="M1115">
        <v>64100</v>
      </c>
    </row>
    <row r="1116" spans="1:13" x14ac:dyDescent="0.4">
      <c r="A1116" s="1">
        <v>45849</v>
      </c>
      <c r="B1116" t="s">
        <v>4683</v>
      </c>
      <c r="C1116" t="s">
        <v>6255</v>
      </c>
      <c r="D1116">
        <v>64100</v>
      </c>
      <c r="E1116" t="s">
        <v>461</v>
      </c>
      <c r="F1116">
        <v>15</v>
      </c>
      <c r="G1116" t="s">
        <v>4686</v>
      </c>
      <c r="H1116" t="s">
        <v>4687</v>
      </c>
      <c r="I1116">
        <v>26040</v>
      </c>
      <c r="J1116">
        <v>53202</v>
      </c>
      <c r="K1116" t="s">
        <v>648</v>
      </c>
      <c r="L1116" t="str">
        <f>SUBSTITUTE(K1116,"'","")</f>
        <v>320251930095276991</v>
      </c>
      <c r="M1116">
        <v>64100</v>
      </c>
    </row>
    <row r="1117" spans="1:13" x14ac:dyDescent="0.4">
      <c r="A1117" s="1">
        <v>45850</v>
      </c>
      <c r="B1117" t="s">
        <v>4683</v>
      </c>
      <c r="C1117" t="s">
        <v>5916</v>
      </c>
      <c r="D1117">
        <v>61131</v>
      </c>
      <c r="E1117" t="s">
        <v>644</v>
      </c>
      <c r="F1117">
        <v>8.3000000000000007</v>
      </c>
      <c r="G1117" t="s">
        <v>4686</v>
      </c>
      <c r="H1117" t="s">
        <v>4687</v>
      </c>
      <c r="I1117">
        <v>26098</v>
      </c>
      <c r="J1117">
        <v>53318</v>
      </c>
      <c r="K1117" t="s">
        <v>646</v>
      </c>
      <c r="L1117" t="str">
        <f>SUBSTITUTE(K1117,"'","")</f>
        <v>320251930085429702</v>
      </c>
      <c r="M1117">
        <v>61131</v>
      </c>
    </row>
    <row r="1118" spans="1:13" x14ac:dyDescent="0.4">
      <c r="A1118" s="1">
        <v>45850</v>
      </c>
      <c r="B1118" t="s">
        <v>4683</v>
      </c>
      <c r="C1118" t="s">
        <v>6258</v>
      </c>
      <c r="D1118">
        <v>64100</v>
      </c>
      <c r="E1118" t="s">
        <v>458</v>
      </c>
      <c r="F1118">
        <v>16.04</v>
      </c>
      <c r="G1118" t="s">
        <v>4686</v>
      </c>
      <c r="H1118" t="s">
        <v>4687</v>
      </c>
      <c r="I1118">
        <v>25540</v>
      </c>
      <c r="J1118">
        <v>52202</v>
      </c>
      <c r="K1118" t="s">
        <v>643</v>
      </c>
      <c r="L1118" t="str">
        <f>SUBSTITUTE(K1118,"'","")</f>
        <v>320251930089210150</v>
      </c>
      <c r="M1118">
        <v>64100</v>
      </c>
    </row>
    <row r="1119" spans="1:13" x14ac:dyDescent="0.4">
      <c r="A1119" s="1">
        <v>45850</v>
      </c>
      <c r="B1119" t="s">
        <v>4683</v>
      </c>
      <c r="C1119" t="s">
        <v>5154</v>
      </c>
      <c r="D1119">
        <v>54820</v>
      </c>
      <c r="E1119" t="s">
        <v>2246</v>
      </c>
      <c r="F1119">
        <v>11.99</v>
      </c>
      <c r="G1119" t="s">
        <v>4686</v>
      </c>
      <c r="H1119" t="s">
        <v>4687</v>
      </c>
      <c r="I1119">
        <v>26312</v>
      </c>
      <c r="J1119">
        <v>53746</v>
      </c>
      <c r="K1119" t="s">
        <v>3339</v>
      </c>
      <c r="L1119" t="str">
        <f>SUBSTITUTE(K1119,"'","")</f>
        <v>320251940121793170</v>
      </c>
      <c r="M1119">
        <v>54820</v>
      </c>
    </row>
    <row r="1120" spans="1:13" x14ac:dyDescent="0.4">
      <c r="A1120" s="1">
        <v>45851</v>
      </c>
      <c r="B1120" t="s">
        <v>4683</v>
      </c>
      <c r="C1120" t="s">
        <v>5526</v>
      </c>
      <c r="D1120">
        <v>61100</v>
      </c>
      <c r="E1120" t="s">
        <v>3329</v>
      </c>
      <c r="F1120">
        <v>106.99</v>
      </c>
      <c r="G1120" t="s">
        <v>4686</v>
      </c>
      <c r="H1120" t="s">
        <v>4687</v>
      </c>
      <c r="I1120">
        <v>26254</v>
      </c>
      <c r="J1120">
        <v>53630</v>
      </c>
      <c r="K1120" t="s">
        <v>3331</v>
      </c>
      <c r="L1120" t="str">
        <f>SUBSTITUTE(K1120,"'","")</f>
        <v>320251940106995384</v>
      </c>
      <c r="M1120">
        <v>61100</v>
      </c>
    </row>
    <row r="1121" spans="1:13" x14ac:dyDescent="0.4">
      <c r="A1121" s="1">
        <v>45851</v>
      </c>
      <c r="B1121" t="s">
        <v>4683</v>
      </c>
      <c r="C1121" t="s">
        <v>5156</v>
      </c>
      <c r="D1121">
        <v>54820</v>
      </c>
      <c r="E1121" t="s">
        <v>3332</v>
      </c>
      <c r="F1121">
        <v>71.42</v>
      </c>
      <c r="G1121" t="s">
        <v>4686</v>
      </c>
      <c r="H1121" t="s">
        <v>4687</v>
      </c>
      <c r="I1121">
        <v>26677</v>
      </c>
      <c r="J1121">
        <v>54476</v>
      </c>
      <c r="K1121" t="s">
        <v>3337</v>
      </c>
      <c r="L1121" t="str">
        <f>SUBSTITUTE(K1121,"'","")</f>
        <v>320251940107540408</v>
      </c>
      <c r="M1121">
        <v>54820</v>
      </c>
    </row>
    <row r="1122" spans="1:13" x14ac:dyDescent="0.4">
      <c r="A1122" s="1">
        <v>45851</v>
      </c>
      <c r="B1122" t="s">
        <v>4683</v>
      </c>
      <c r="C1122" t="s">
        <v>5155</v>
      </c>
      <c r="D1122">
        <v>54820</v>
      </c>
      <c r="E1122" t="s">
        <v>638</v>
      </c>
      <c r="F1122" s="5">
        <v>1131.18</v>
      </c>
      <c r="G1122" t="s">
        <v>4686</v>
      </c>
      <c r="H1122" t="s">
        <v>4687</v>
      </c>
      <c r="I1122">
        <v>26018</v>
      </c>
      <c r="J1122">
        <v>53158</v>
      </c>
      <c r="K1122" t="s">
        <v>641</v>
      </c>
      <c r="L1122" t="str">
        <f>SUBSTITUTE(K1122,"'","")</f>
        <v>320251940124426294</v>
      </c>
      <c r="M1122">
        <v>54820</v>
      </c>
    </row>
    <row r="1123" spans="1:13" x14ac:dyDescent="0.4">
      <c r="A1123" s="1">
        <v>45852</v>
      </c>
      <c r="B1123" t="s">
        <v>4683</v>
      </c>
      <c r="C1123" t="s">
        <v>5158</v>
      </c>
      <c r="D1123">
        <v>54820</v>
      </c>
      <c r="E1123" t="s">
        <v>2222</v>
      </c>
      <c r="F1123">
        <v>20.18</v>
      </c>
      <c r="G1123" t="s">
        <v>4686</v>
      </c>
      <c r="H1123" t="s">
        <v>4687</v>
      </c>
      <c r="I1123">
        <v>26454</v>
      </c>
      <c r="J1123">
        <v>54030</v>
      </c>
      <c r="K1123" t="s">
        <v>3324</v>
      </c>
      <c r="L1123" t="str">
        <f>SUBSTITUTE(K1123,"'","")</f>
        <v>320251950131466794</v>
      </c>
      <c r="M1123">
        <v>54820</v>
      </c>
    </row>
    <row r="1124" spans="1:13" x14ac:dyDescent="0.4">
      <c r="A1124" s="1">
        <v>45852</v>
      </c>
      <c r="B1124" t="s">
        <v>4683</v>
      </c>
      <c r="C1124" t="s">
        <v>5160</v>
      </c>
      <c r="D1124">
        <v>54820</v>
      </c>
      <c r="E1124" t="s">
        <v>3240</v>
      </c>
      <c r="F1124">
        <v>165.2</v>
      </c>
      <c r="G1124" t="s">
        <v>4686</v>
      </c>
      <c r="H1124" t="s">
        <v>4687</v>
      </c>
      <c r="I1124">
        <v>26827</v>
      </c>
      <c r="J1124">
        <v>54776</v>
      </c>
      <c r="K1124" t="s">
        <v>3316</v>
      </c>
      <c r="L1124" t="str">
        <f>SUBSTITUTE(K1124,"'","")</f>
        <v>320251950131785601</v>
      </c>
      <c r="M1124">
        <v>54820</v>
      </c>
    </row>
    <row r="1125" spans="1:13" x14ac:dyDescent="0.4">
      <c r="A1125" s="1">
        <v>45852</v>
      </c>
      <c r="B1125" t="s">
        <v>4683</v>
      </c>
      <c r="C1125" t="s">
        <v>5161</v>
      </c>
      <c r="D1125">
        <v>54820</v>
      </c>
      <c r="E1125" t="s">
        <v>3311</v>
      </c>
      <c r="F1125">
        <v>82.01</v>
      </c>
      <c r="G1125" t="s">
        <v>4686</v>
      </c>
      <c r="H1125" t="s">
        <v>4687</v>
      </c>
      <c r="I1125">
        <v>26833</v>
      </c>
      <c r="J1125">
        <v>54788</v>
      </c>
      <c r="K1125" t="s">
        <v>3314</v>
      </c>
      <c r="L1125" t="str">
        <f>SUBSTITUTE(K1125,"'","")</f>
        <v>320251950133922181</v>
      </c>
      <c r="M1125">
        <v>54820</v>
      </c>
    </row>
    <row r="1126" spans="1:13" x14ac:dyDescent="0.4">
      <c r="A1126" s="1">
        <v>45852</v>
      </c>
      <c r="B1126" t="s">
        <v>4683</v>
      </c>
      <c r="C1126" t="s">
        <v>5162</v>
      </c>
      <c r="D1126">
        <v>54820</v>
      </c>
      <c r="E1126" t="s">
        <v>3325</v>
      </c>
      <c r="F1126">
        <v>9.31</v>
      </c>
      <c r="G1126" t="s">
        <v>4686</v>
      </c>
      <c r="H1126" t="s">
        <v>4687</v>
      </c>
      <c r="I1126">
        <v>27008</v>
      </c>
      <c r="J1126">
        <v>55138</v>
      </c>
      <c r="K1126" t="s">
        <v>3328</v>
      </c>
      <c r="L1126" t="str">
        <f>SUBSTITUTE(K1126,"'","")</f>
        <v>320251950150359643</v>
      </c>
      <c r="M1126">
        <v>54820</v>
      </c>
    </row>
    <row r="1127" spans="1:13" x14ac:dyDescent="0.4">
      <c r="A1127" s="1">
        <v>45852</v>
      </c>
      <c r="B1127" t="s">
        <v>4683</v>
      </c>
      <c r="C1127" t="s">
        <v>5159</v>
      </c>
      <c r="D1127">
        <v>54820</v>
      </c>
      <c r="E1127" t="s">
        <v>3317</v>
      </c>
      <c r="F1127">
        <v>11.6</v>
      </c>
      <c r="G1127" t="s">
        <v>4686</v>
      </c>
      <c r="H1127" t="s">
        <v>4687</v>
      </c>
      <c r="I1127">
        <v>26760</v>
      </c>
      <c r="J1127">
        <v>54642</v>
      </c>
      <c r="K1127" t="s">
        <v>3320</v>
      </c>
      <c r="L1127" t="str">
        <f>SUBSTITUTE(K1127,"'","")</f>
        <v>320251950150359974</v>
      </c>
      <c r="M1127">
        <v>54820</v>
      </c>
    </row>
    <row r="1128" spans="1:13" x14ac:dyDescent="0.4">
      <c r="A1128" s="1">
        <v>45852</v>
      </c>
      <c r="B1128" t="s">
        <v>4683</v>
      </c>
      <c r="C1128" t="s">
        <v>5157</v>
      </c>
      <c r="D1128">
        <v>54820</v>
      </c>
      <c r="E1128" t="s">
        <v>2344</v>
      </c>
      <c r="F1128">
        <v>50.67</v>
      </c>
      <c r="G1128" t="s">
        <v>4686</v>
      </c>
      <c r="H1128" t="s">
        <v>4687</v>
      </c>
      <c r="I1128">
        <v>26270</v>
      </c>
      <c r="J1128">
        <v>53662</v>
      </c>
      <c r="K1128" t="s">
        <v>3322</v>
      </c>
      <c r="L1128" t="str">
        <f>SUBSTITUTE(K1128,"'","")</f>
        <v>320251950152623056</v>
      </c>
      <c r="M1128">
        <v>54820</v>
      </c>
    </row>
    <row r="1129" spans="1:13" x14ac:dyDescent="0.4">
      <c r="A1129" s="1">
        <v>45852</v>
      </c>
      <c r="B1129" t="s">
        <v>4683</v>
      </c>
      <c r="C1129" t="s">
        <v>6433</v>
      </c>
      <c r="D1129">
        <v>65700</v>
      </c>
      <c r="E1129" t="s">
        <v>83</v>
      </c>
      <c r="F1129">
        <v>234.9</v>
      </c>
      <c r="G1129" t="s">
        <v>4686</v>
      </c>
      <c r="H1129" t="s">
        <v>4687</v>
      </c>
      <c r="I1129">
        <v>25550</v>
      </c>
      <c r="J1129">
        <v>52222</v>
      </c>
      <c r="K1129" t="s">
        <v>637</v>
      </c>
      <c r="L1129" t="str">
        <f>SUBSTITUTE(K1129,"'","")</f>
        <v>320251960171828859</v>
      </c>
      <c r="M1129">
        <v>65700</v>
      </c>
    </row>
    <row r="1130" spans="1:13" x14ac:dyDescent="0.4">
      <c r="A1130" s="1">
        <v>45853</v>
      </c>
      <c r="B1130" t="s">
        <v>4683</v>
      </c>
      <c r="C1130" t="s">
        <v>5164</v>
      </c>
      <c r="D1130">
        <v>54820</v>
      </c>
      <c r="E1130" t="s">
        <v>2181</v>
      </c>
      <c r="F1130">
        <v>7.48</v>
      </c>
      <c r="G1130" t="s">
        <v>4686</v>
      </c>
      <c r="H1130" t="s">
        <v>4687</v>
      </c>
      <c r="I1130">
        <v>27009</v>
      </c>
      <c r="J1130">
        <v>55140</v>
      </c>
      <c r="K1130" t="s">
        <v>3306</v>
      </c>
      <c r="L1130" t="str">
        <f>SUBSTITUTE(K1130,"'","")</f>
        <v>320251960158884722</v>
      </c>
      <c r="M1130">
        <v>54820</v>
      </c>
    </row>
    <row r="1131" spans="1:13" x14ac:dyDescent="0.4">
      <c r="A1131" s="1">
        <v>45853</v>
      </c>
      <c r="B1131" t="s">
        <v>4683</v>
      </c>
      <c r="C1131" t="s">
        <v>5163</v>
      </c>
      <c r="D1131">
        <v>54820</v>
      </c>
      <c r="E1131" t="s">
        <v>3307</v>
      </c>
      <c r="F1131">
        <v>760.44</v>
      </c>
      <c r="G1131" t="s">
        <v>4686</v>
      </c>
      <c r="H1131" t="s">
        <v>4687</v>
      </c>
      <c r="I1131">
        <v>26761</v>
      </c>
      <c r="J1131">
        <v>54644</v>
      </c>
      <c r="K1131" t="s">
        <v>3310</v>
      </c>
      <c r="L1131" t="str">
        <f>SUBSTITUTE(K1131,"'","")</f>
        <v>320251960179372450</v>
      </c>
      <c r="M1131">
        <v>54820</v>
      </c>
    </row>
    <row r="1132" spans="1:13" x14ac:dyDescent="0.4">
      <c r="A1132" s="1">
        <v>45853</v>
      </c>
      <c r="B1132" t="s">
        <v>4683</v>
      </c>
      <c r="C1132" t="s">
        <v>6259</v>
      </c>
      <c r="D1132">
        <v>64100</v>
      </c>
      <c r="E1132" t="s">
        <v>437</v>
      </c>
      <c r="F1132">
        <v>10</v>
      </c>
      <c r="G1132" t="s">
        <v>4686</v>
      </c>
      <c r="H1132" t="s">
        <v>4687</v>
      </c>
      <c r="I1132">
        <v>25575</v>
      </c>
      <c r="J1132">
        <v>52272</v>
      </c>
      <c r="K1132" t="s">
        <v>635</v>
      </c>
      <c r="L1132" t="str">
        <f>SUBSTITUTE(K1132,"'","")</f>
        <v>320251970196795006</v>
      </c>
      <c r="M1132">
        <v>64100</v>
      </c>
    </row>
    <row r="1133" spans="1:13" x14ac:dyDescent="0.4">
      <c r="A1133" s="1">
        <v>45854</v>
      </c>
      <c r="B1133" t="s">
        <v>4683</v>
      </c>
      <c r="C1133" t="s">
        <v>5166</v>
      </c>
      <c r="D1133">
        <v>54820</v>
      </c>
      <c r="E1133" t="s">
        <v>2125</v>
      </c>
      <c r="F1133">
        <v>27.99</v>
      </c>
      <c r="G1133" t="s">
        <v>4686</v>
      </c>
      <c r="H1133" t="s">
        <v>4687</v>
      </c>
      <c r="I1133">
        <v>26532</v>
      </c>
      <c r="J1133">
        <v>54186</v>
      </c>
      <c r="K1133" t="s">
        <v>3302</v>
      </c>
      <c r="L1133" t="str">
        <f>SUBSTITUTE(K1133,"'","")</f>
        <v>320251970188666049</v>
      </c>
      <c r="M1133">
        <v>54820</v>
      </c>
    </row>
    <row r="1134" spans="1:13" x14ac:dyDescent="0.4">
      <c r="A1134" s="1">
        <v>45854</v>
      </c>
      <c r="B1134" t="s">
        <v>4683</v>
      </c>
      <c r="C1134" t="s">
        <v>5787</v>
      </c>
      <c r="D1134">
        <v>61130</v>
      </c>
      <c r="E1134" t="s">
        <v>605</v>
      </c>
      <c r="F1134">
        <v>14.94</v>
      </c>
      <c r="G1134" t="s">
        <v>4686</v>
      </c>
      <c r="H1134" t="s">
        <v>4687</v>
      </c>
      <c r="I1134">
        <v>25521</v>
      </c>
      <c r="J1134">
        <v>52164</v>
      </c>
      <c r="K1134" t="s">
        <v>633</v>
      </c>
      <c r="L1134" t="str">
        <f>SUBSTITUTE(K1134,"'","")</f>
        <v>320251970190416849</v>
      </c>
      <c r="M1134">
        <v>61130</v>
      </c>
    </row>
    <row r="1135" spans="1:13" x14ac:dyDescent="0.4">
      <c r="A1135" s="1">
        <v>45854</v>
      </c>
      <c r="B1135" t="s">
        <v>4683</v>
      </c>
      <c r="C1135" t="s">
        <v>5170</v>
      </c>
      <c r="D1135">
        <v>54820</v>
      </c>
      <c r="E1135" t="s">
        <v>3296</v>
      </c>
      <c r="F1135">
        <v>115.78</v>
      </c>
      <c r="G1135" t="s">
        <v>4686</v>
      </c>
      <c r="H1135" t="s">
        <v>4687</v>
      </c>
      <c r="I1135">
        <v>27013</v>
      </c>
      <c r="J1135">
        <v>55148</v>
      </c>
      <c r="K1135" t="s">
        <v>3300</v>
      </c>
      <c r="L1135" t="str">
        <f>SUBSTITUTE(K1135,"'","")</f>
        <v>320251970190488327</v>
      </c>
      <c r="M1135">
        <v>54820</v>
      </c>
    </row>
    <row r="1136" spans="1:13" x14ac:dyDescent="0.4">
      <c r="A1136" s="1">
        <v>45854</v>
      </c>
      <c r="B1136" t="s">
        <v>4683</v>
      </c>
      <c r="C1136" t="s">
        <v>5169</v>
      </c>
      <c r="D1136">
        <v>54820</v>
      </c>
      <c r="E1136" t="s">
        <v>627</v>
      </c>
      <c r="F1136">
        <v>442.07</v>
      </c>
      <c r="G1136" t="s">
        <v>4686</v>
      </c>
      <c r="H1136" t="s">
        <v>4687</v>
      </c>
      <c r="I1136">
        <v>27012</v>
      </c>
      <c r="J1136">
        <v>55146</v>
      </c>
      <c r="K1136" t="s">
        <v>3295</v>
      </c>
      <c r="L1136" t="str">
        <f>SUBSTITUTE(K1136,"'","")</f>
        <v>320251970208035989</v>
      </c>
      <c r="M1136">
        <v>54820</v>
      </c>
    </row>
    <row r="1137" spans="1:13" x14ac:dyDescent="0.4">
      <c r="A1137" s="1">
        <v>45854</v>
      </c>
      <c r="B1137" t="s">
        <v>4683</v>
      </c>
      <c r="C1137" t="s">
        <v>5165</v>
      </c>
      <c r="D1137">
        <v>54820</v>
      </c>
      <c r="E1137" t="s">
        <v>627</v>
      </c>
      <c r="F1137">
        <v>543.53</v>
      </c>
      <c r="G1137" t="s">
        <v>4686</v>
      </c>
      <c r="H1137" t="s">
        <v>4687</v>
      </c>
      <c r="I1137">
        <v>26070</v>
      </c>
      <c r="J1137">
        <v>53262</v>
      </c>
      <c r="K1137" t="s">
        <v>630</v>
      </c>
      <c r="L1137" t="str">
        <f>SUBSTITUTE(K1137,"'","")</f>
        <v>320251970208036097</v>
      </c>
      <c r="M1137">
        <v>54820</v>
      </c>
    </row>
    <row r="1138" spans="1:13" x14ac:dyDescent="0.4">
      <c r="A1138" s="1">
        <v>45854</v>
      </c>
      <c r="B1138" t="s">
        <v>4683</v>
      </c>
      <c r="C1138" t="s">
        <v>5168</v>
      </c>
      <c r="D1138">
        <v>54820</v>
      </c>
      <c r="E1138" t="s">
        <v>627</v>
      </c>
      <c r="F1138">
        <v>22.09</v>
      </c>
      <c r="G1138" t="s">
        <v>4686</v>
      </c>
      <c r="H1138" t="s">
        <v>4687</v>
      </c>
      <c r="I1138">
        <v>27011</v>
      </c>
      <c r="J1138">
        <v>55144</v>
      </c>
      <c r="K1138" t="s">
        <v>3293</v>
      </c>
      <c r="L1138" t="str">
        <f>SUBSTITUTE(K1138,"'","")</f>
        <v>320251970208036204</v>
      </c>
      <c r="M1138">
        <v>54820</v>
      </c>
    </row>
    <row r="1139" spans="1:13" x14ac:dyDescent="0.4">
      <c r="A1139" s="1">
        <v>45854</v>
      </c>
      <c r="B1139" t="s">
        <v>4683</v>
      </c>
      <c r="C1139" t="s">
        <v>5167</v>
      </c>
      <c r="D1139">
        <v>54820</v>
      </c>
      <c r="E1139" t="s">
        <v>3288</v>
      </c>
      <c r="F1139">
        <v>11.06</v>
      </c>
      <c r="G1139" t="s">
        <v>4686</v>
      </c>
      <c r="H1139" t="s">
        <v>4687</v>
      </c>
      <c r="I1139">
        <v>27010</v>
      </c>
      <c r="J1139">
        <v>55142</v>
      </c>
      <c r="K1139" t="s">
        <v>3291</v>
      </c>
      <c r="L1139" t="str">
        <f>SUBSTITUTE(K1139,"'","")</f>
        <v>320251980226492429</v>
      </c>
      <c r="M1139">
        <v>54820</v>
      </c>
    </row>
    <row r="1140" spans="1:13" x14ac:dyDescent="0.4">
      <c r="A1140" s="1">
        <v>45854</v>
      </c>
      <c r="B1140" t="s">
        <v>4683</v>
      </c>
      <c r="C1140" t="s">
        <v>6403</v>
      </c>
      <c r="D1140">
        <v>65600</v>
      </c>
      <c r="E1140" t="s">
        <v>2208</v>
      </c>
      <c r="F1140">
        <v>234</v>
      </c>
      <c r="G1140" t="s">
        <v>4686</v>
      </c>
      <c r="H1140" t="s">
        <v>4687</v>
      </c>
      <c r="I1140">
        <v>26909</v>
      </c>
      <c r="J1140">
        <v>54940</v>
      </c>
      <c r="K1140" t="s">
        <v>3304</v>
      </c>
      <c r="L1140" t="str">
        <f>SUBSTITUTE(K1140,"'","")</f>
        <v>320251980229568298</v>
      </c>
      <c r="M1140">
        <v>65600</v>
      </c>
    </row>
    <row r="1141" spans="1:13" x14ac:dyDescent="0.4">
      <c r="A1141" s="1">
        <v>45855</v>
      </c>
      <c r="B1141" t="s">
        <v>4683</v>
      </c>
      <c r="C1141" t="s">
        <v>6260</v>
      </c>
      <c r="D1141">
        <v>64100</v>
      </c>
      <c r="E1141" t="s">
        <v>621</v>
      </c>
      <c r="F1141">
        <v>199.99</v>
      </c>
      <c r="G1141" t="s">
        <v>4686</v>
      </c>
      <c r="H1141" t="s">
        <v>4687</v>
      </c>
      <c r="I1141">
        <v>26078</v>
      </c>
      <c r="J1141">
        <v>53278</v>
      </c>
      <c r="K1141" t="s">
        <v>626</v>
      </c>
      <c r="L1141" t="str">
        <f>SUBSTITUTE(K1141,"'","")</f>
        <v>320251970188841327</v>
      </c>
      <c r="M1141">
        <v>64100</v>
      </c>
    </row>
    <row r="1142" spans="1:13" x14ac:dyDescent="0.4">
      <c r="A1142" s="1">
        <v>45855</v>
      </c>
      <c r="B1142" t="s">
        <v>4683</v>
      </c>
      <c r="C1142" t="s">
        <v>5175</v>
      </c>
      <c r="D1142">
        <v>54820</v>
      </c>
      <c r="E1142" t="s">
        <v>3280</v>
      </c>
      <c r="F1142">
        <v>63.27</v>
      </c>
      <c r="G1142" t="s">
        <v>4686</v>
      </c>
      <c r="H1142" t="s">
        <v>4687</v>
      </c>
      <c r="I1142">
        <v>27016</v>
      </c>
      <c r="J1142">
        <v>55154</v>
      </c>
      <c r="K1142" t="s">
        <v>3283</v>
      </c>
      <c r="L1142" t="str">
        <f>SUBSTITUTE(K1142,"'","")</f>
        <v>320251980236724741</v>
      </c>
      <c r="M1142">
        <v>54820</v>
      </c>
    </row>
    <row r="1143" spans="1:13" x14ac:dyDescent="0.4">
      <c r="A1143" s="1">
        <v>45855</v>
      </c>
      <c r="B1143" t="s">
        <v>4683</v>
      </c>
      <c r="C1143" t="s">
        <v>5173</v>
      </c>
      <c r="D1143">
        <v>54820</v>
      </c>
      <c r="E1143" t="s">
        <v>627</v>
      </c>
      <c r="F1143">
        <v>40.229999999999997</v>
      </c>
      <c r="G1143" t="s">
        <v>4686</v>
      </c>
      <c r="H1143" t="s">
        <v>4687</v>
      </c>
      <c r="I1143">
        <v>27014</v>
      </c>
      <c r="J1143">
        <v>55150</v>
      </c>
      <c r="K1143" t="s">
        <v>3277</v>
      </c>
      <c r="L1143" t="str">
        <f>SUBSTITUTE(K1143,"'","")</f>
        <v>320251980236725191</v>
      </c>
      <c r="M1143">
        <v>54820</v>
      </c>
    </row>
    <row r="1144" spans="1:13" x14ac:dyDescent="0.4">
      <c r="A1144" s="1">
        <v>45855</v>
      </c>
      <c r="B1144" t="s">
        <v>4683</v>
      </c>
      <c r="C1144" t="s">
        <v>5174</v>
      </c>
      <c r="D1144">
        <v>54820</v>
      </c>
      <c r="E1144" t="s">
        <v>627</v>
      </c>
      <c r="F1144">
        <v>84.9</v>
      </c>
      <c r="G1144" t="s">
        <v>4686</v>
      </c>
      <c r="H1144" t="s">
        <v>4687</v>
      </c>
      <c r="I1144">
        <v>27015</v>
      </c>
      <c r="J1144">
        <v>55152</v>
      </c>
      <c r="K1144" t="s">
        <v>3279</v>
      </c>
      <c r="L1144" t="str">
        <f>SUBSTITUTE(K1144,"'","")</f>
        <v>320251980236725270</v>
      </c>
      <c r="M1144">
        <v>54820</v>
      </c>
    </row>
    <row r="1145" spans="1:13" x14ac:dyDescent="0.4">
      <c r="A1145" s="1">
        <v>45855</v>
      </c>
      <c r="B1145" t="s">
        <v>4683</v>
      </c>
      <c r="C1145" t="s">
        <v>5176</v>
      </c>
      <c r="D1145">
        <v>54820</v>
      </c>
      <c r="E1145" t="s">
        <v>3284</v>
      </c>
      <c r="F1145">
        <v>195.38</v>
      </c>
      <c r="G1145" t="s">
        <v>4686</v>
      </c>
      <c r="H1145" t="s">
        <v>4687</v>
      </c>
      <c r="I1145">
        <v>27017</v>
      </c>
      <c r="J1145">
        <v>55156</v>
      </c>
      <c r="K1145" t="s">
        <v>3287</v>
      </c>
      <c r="L1145" t="str">
        <f>SUBSTITUTE(K1145,"'","")</f>
        <v>320251980236727576</v>
      </c>
      <c r="M1145">
        <v>54820</v>
      </c>
    </row>
    <row r="1146" spans="1:13" x14ac:dyDescent="0.4">
      <c r="A1146" s="1">
        <v>45855</v>
      </c>
      <c r="B1146" t="s">
        <v>4683</v>
      </c>
      <c r="C1146" t="s">
        <v>5171</v>
      </c>
      <c r="D1146">
        <v>54820</v>
      </c>
      <c r="E1146" t="s">
        <v>977</v>
      </c>
      <c r="F1146">
        <v>10</v>
      </c>
      <c r="G1146" t="s">
        <v>4686</v>
      </c>
      <c r="H1146" t="s">
        <v>4687</v>
      </c>
      <c r="I1146">
        <v>26483</v>
      </c>
      <c r="J1146">
        <v>54088</v>
      </c>
      <c r="K1146" t="s">
        <v>3275</v>
      </c>
      <c r="L1146" t="str">
        <f>SUBSTITUTE(K1146,"'","")</f>
        <v>320251980236945060</v>
      </c>
      <c r="M1146">
        <v>54820</v>
      </c>
    </row>
    <row r="1147" spans="1:13" x14ac:dyDescent="0.4">
      <c r="A1147" s="1">
        <v>45855</v>
      </c>
      <c r="B1147" t="s">
        <v>4683</v>
      </c>
      <c r="C1147" t="s">
        <v>5172</v>
      </c>
      <c r="D1147">
        <v>54820</v>
      </c>
      <c r="E1147" t="s">
        <v>3270</v>
      </c>
      <c r="F1147">
        <v>316.14</v>
      </c>
      <c r="G1147" t="s">
        <v>4686</v>
      </c>
      <c r="H1147" t="s">
        <v>4687</v>
      </c>
      <c r="I1147">
        <v>26762</v>
      </c>
      <c r="J1147">
        <v>54646</v>
      </c>
      <c r="K1147" t="s">
        <v>3273</v>
      </c>
      <c r="L1147" t="str">
        <f>SUBSTITUTE(K1147,"'","")</f>
        <v>320251980237084982</v>
      </c>
      <c r="M1147">
        <v>54820</v>
      </c>
    </row>
    <row r="1148" spans="1:13" x14ac:dyDescent="0.4">
      <c r="A1148" s="1">
        <v>45857</v>
      </c>
      <c r="B1148" t="s">
        <v>4683</v>
      </c>
      <c r="C1148" t="s">
        <v>5177</v>
      </c>
      <c r="D1148">
        <v>54820</v>
      </c>
      <c r="E1148" t="s">
        <v>977</v>
      </c>
      <c r="F1148">
        <v>10.44</v>
      </c>
      <c r="G1148" t="s">
        <v>4686</v>
      </c>
      <c r="H1148" t="s">
        <v>4687</v>
      </c>
      <c r="I1148">
        <v>26484</v>
      </c>
      <c r="J1148">
        <v>54090</v>
      </c>
      <c r="K1148" t="s">
        <v>3269</v>
      </c>
      <c r="L1148" t="str">
        <f>SUBSTITUTE(K1148,"'","")</f>
        <v>320252000279290394</v>
      </c>
      <c r="M1148">
        <v>54820</v>
      </c>
    </row>
    <row r="1149" spans="1:13" x14ac:dyDescent="0.4">
      <c r="A1149" s="1">
        <v>45857</v>
      </c>
      <c r="B1149" t="s">
        <v>4683</v>
      </c>
      <c r="C1149" t="s">
        <v>5917</v>
      </c>
      <c r="D1149">
        <v>61131</v>
      </c>
      <c r="E1149" t="s">
        <v>448</v>
      </c>
      <c r="F1149">
        <v>5.44</v>
      </c>
      <c r="G1149" t="s">
        <v>4686</v>
      </c>
      <c r="H1149" t="s">
        <v>4687</v>
      </c>
      <c r="I1149">
        <v>25742</v>
      </c>
      <c r="J1149">
        <v>52606</v>
      </c>
      <c r="K1149" t="s">
        <v>620</v>
      </c>
      <c r="L1149" t="str">
        <f>SUBSTITUTE(K1149,"'","")</f>
        <v>320252010312700908</v>
      </c>
      <c r="M1149">
        <v>61131</v>
      </c>
    </row>
    <row r="1150" spans="1:13" x14ac:dyDescent="0.4">
      <c r="A1150" s="1">
        <v>45858</v>
      </c>
      <c r="B1150" t="s">
        <v>4683</v>
      </c>
      <c r="C1150" t="s">
        <v>5178</v>
      </c>
      <c r="D1150">
        <v>54820</v>
      </c>
      <c r="E1150" t="s">
        <v>2125</v>
      </c>
      <c r="F1150">
        <v>13.9</v>
      </c>
      <c r="G1150" t="s">
        <v>4686</v>
      </c>
      <c r="H1150" t="s">
        <v>4687</v>
      </c>
      <c r="I1150">
        <v>26533</v>
      </c>
      <c r="J1150">
        <v>54188</v>
      </c>
      <c r="K1150" t="s">
        <v>3267</v>
      </c>
      <c r="L1150" t="str">
        <f>SUBSTITUTE(K1150,"'","")</f>
        <v>320252010303888447</v>
      </c>
      <c r="M1150">
        <v>54820</v>
      </c>
    </row>
    <row r="1151" spans="1:13" x14ac:dyDescent="0.4">
      <c r="A1151" s="1">
        <v>45858</v>
      </c>
      <c r="B1151" t="s">
        <v>4683</v>
      </c>
      <c r="C1151" t="s">
        <v>5788</v>
      </c>
      <c r="D1151">
        <v>61130</v>
      </c>
      <c r="E1151" t="s">
        <v>605</v>
      </c>
      <c r="F1151">
        <v>16.89</v>
      </c>
      <c r="G1151" t="s">
        <v>4686</v>
      </c>
      <c r="H1151" t="s">
        <v>4687</v>
      </c>
      <c r="I1151">
        <v>25522</v>
      </c>
      <c r="J1151">
        <v>52166</v>
      </c>
      <c r="K1151" t="s">
        <v>618</v>
      </c>
      <c r="L1151" t="str">
        <f>SUBSTITUTE(K1151,"'","")</f>
        <v>320252010307165107</v>
      </c>
      <c r="M1151">
        <v>61130</v>
      </c>
    </row>
    <row r="1152" spans="1:13" x14ac:dyDescent="0.4">
      <c r="A1152" s="1">
        <v>45859</v>
      </c>
      <c r="B1152" t="s">
        <v>4683</v>
      </c>
      <c r="C1152" t="s">
        <v>5179</v>
      </c>
      <c r="D1152">
        <v>54820</v>
      </c>
      <c r="E1152" t="s">
        <v>977</v>
      </c>
      <c r="F1152">
        <v>10.38</v>
      </c>
      <c r="G1152" t="s">
        <v>4686</v>
      </c>
      <c r="H1152" t="s">
        <v>4687</v>
      </c>
      <c r="I1152">
        <v>26485</v>
      </c>
      <c r="J1152">
        <v>54092</v>
      </c>
      <c r="K1152" t="s">
        <v>3262</v>
      </c>
      <c r="L1152" t="str">
        <f>SUBSTITUTE(K1152,"'","")</f>
        <v>320252020330757935</v>
      </c>
      <c r="M1152">
        <v>54820</v>
      </c>
    </row>
    <row r="1153" spans="1:13" x14ac:dyDescent="0.4">
      <c r="A1153" s="1">
        <v>45859</v>
      </c>
      <c r="B1153" t="s">
        <v>4683</v>
      </c>
      <c r="C1153" t="s">
        <v>6261</v>
      </c>
      <c r="D1153">
        <v>64100</v>
      </c>
      <c r="E1153" t="s">
        <v>3258</v>
      </c>
      <c r="F1153">
        <v>15</v>
      </c>
      <c r="G1153" t="s">
        <v>4686</v>
      </c>
      <c r="H1153" t="s">
        <v>4687</v>
      </c>
      <c r="I1153">
        <v>26664</v>
      </c>
      <c r="J1153">
        <v>54450</v>
      </c>
      <c r="K1153" t="s">
        <v>3260</v>
      </c>
      <c r="L1153" t="str">
        <f>SUBSTITUTE(K1153,"'","")</f>
        <v>320252020350017720</v>
      </c>
      <c r="M1153">
        <v>64100</v>
      </c>
    </row>
    <row r="1154" spans="1:13" x14ac:dyDescent="0.4">
      <c r="A1154" s="1">
        <v>45859</v>
      </c>
      <c r="B1154" t="s">
        <v>4683</v>
      </c>
      <c r="C1154" t="s">
        <v>6262</v>
      </c>
      <c r="D1154">
        <v>64100</v>
      </c>
      <c r="E1154" t="s">
        <v>3263</v>
      </c>
      <c r="F1154">
        <v>372.36</v>
      </c>
      <c r="G1154" t="s">
        <v>4686</v>
      </c>
      <c r="H1154" t="s">
        <v>4687</v>
      </c>
      <c r="I1154">
        <v>26728</v>
      </c>
      <c r="J1154">
        <v>54578</v>
      </c>
      <c r="K1154" t="s">
        <v>3265</v>
      </c>
      <c r="L1154" t="str">
        <f>SUBSTITUTE(K1154,"'","")</f>
        <v>320252030370160089</v>
      </c>
      <c r="M1154">
        <v>64100</v>
      </c>
    </row>
    <row r="1155" spans="1:13" x14ac:dyDescent="0.4">
      <c r="A1155" s="1">
        <v>45860</v>
      </c>
      <c r="B1155" t="s">
        <v>4683</v>
      </c>
      <c r="C1155" t="s">
        <v>5182</v>
      </c>
      <c r="D1155">
        <v>54820</v>
      </c>
      <c r="E1155" t="s">
        <v>3240</v>
      </c>
      <c r="F1155">
        <v>37.44</v>
      </c>
      <c r="G1155" t="s">
        <v>4686</v>
      </c>
      <c r="H1155" t="s">
        <v>4687</v>
      </c>
      <c r="I1155">
        <v>26829</v>
      </c>
      <c r="J1155">
        <v>54780</v>
      </c>
      <c r="K1155" t="s">
        <v>3247</v>
      </c>
      <c r="L1155" t="str">
        <f>SUBSTITUTE(K1155,"'","")</f>
        <v>320252030357311602</v>
      </c>
      <c r="M1155">
        <v>54820</v>
      </c>
    </row>
    <row r="1156" spans="1:13" x14ac:dyDescent="0.4">
      <c r="A1156" s="1">
        <v>45860</v>
      </c>
      <c r="B1156" t="s">
        <v>4683</v>
      </c>
      <c r="C1156" t="s">
        <v>5183</v>
      </c>
      <c r="D1156">
        <v>54820</v>
      </c>
      <c r="E1156" t="s">
        <v>3240</v>
      </c>
      <c r="F1156">
        <v>37.44</v>
      </c>
      <c r="G1156" t="s">
        <v>4686</v>
      </c>
      <c r="H1156" t="s">
        <v>4687</v>
      </c>
      <c r="I1156">
        <v>26830</v>
      </c>
      <c r="J1156">
        <v>54782</v>
      </c>
      <c r="K1156" t="s">
        <v>3249</v>
      </c>
      <c r="L1156" t="str">
        <f>SUBSTITUTE(K1156,"'","")</f>
        <v>320252030358414503</v>
      </c>
      <c r="M1156">
        <v>54820</v>
      </c>
    </row>
    <row r="1157" spans="1:13" x14ac:dyDescent="0.4">
      <c r="A1157" s="1">
        <v>45860</v>
      </c>
      <c r="B1157" t="s">
        <v>4730</v>
      </c>
      <c r="C1157" t="s">
        <v>5181</v>
      </c>
      <c r="D1157">
        <v>54820</v>
      </c>
      <c r="E1157" t="s">
        <v>3240</v>
      </c>
      <c r="F1157">
        <v>-37.44</v>
      </c>
      <c r="G1157" t="s">
        <v>4686</v>
      </c>
      <c r="H1157" t="s">
        <v>4687</v>
      </c>
      <c r="I1157">
        <v>26828</v>
      </c>
      <c r="J1157">
        <v>54778</v>
      </c>
      <c r="K1157" t="s">
        <v>3244</v>
      </c>
      <c r="L1157" t="str">
        <f>SUBSTITUTE(K1157,"'","")</f>
        <v>320252030359272490</v>
      </c>
      <c r="M1157">
        <v>54820</v>
      </c>
    </row>
    <row r="1158" spans="1:13" x14ac:dyDescent="0.4">
      <c r="A1158" s="1">
        <v>45860</v>
      </c>
      <c r="B1158" t="s">
        <v>4683</v>
      </c>
      <c r="C1158" t="s">
        <v>6263</v>
      </c>
      <c r="D1158">
        <v>64100</v>
      </c>
      <c r="E1158" t="s">
        <v>32</v>
      </c>
      <c r="F1158">
        <v>21.4</v>
      </c>
      <c r="G1158" t="s">
        <v>4686</v>
      </c>
      <c r="H1158" t="s">
        <v>4687</v>
      </c>
      <c r="I1158">
        <v>25565</v>
      </c>
      <c r="J1158">
        <v>52252</v>
      </c>
      <c r="K1158" t="s">
        <v>616</v>
      </c>
      <c r="L1158" t="str">
        <f>SUBSTITUTE(K1158,"'","")</f>
        <v>320252030360579686</v>
      </c>
      <c r="M1158">
        <v>64100</v>
      </c>
    </row>
    <row r="1159" spans="1:13" x14ac:dyDescent="0.4">
      <c r="A1159" s="1">
        <v>45860</v>
      </c>
      <c r="B1159" t="s">
        <v>4683</v>
      </c>
      <c r="C1159" t="s">
        <v>5185</v>
      </c>
      <c r="D1159">
        <v>54820</v>
      </c>
      <c r="E1159" t="s">
        <v>3254</v>
      </c>
      <c r="F1159">
        <v>58.39</v>
      </c>
      <c r="G1159" t="s">
        <v>4686</v>
      </c>
      <c r="H1159" t="s">
        <v>4687</v>
      </c>
      <c r="I1159">
        <v>27019</v>
      </c>
      <c r="J1159">
        <v>55160</v>
      </c>
      <c r="K1159" t="s">
        <v>3257</v>
      </c>
      <c r="L1159" t="str">
        <f>SUBSTITUTE(K1159,"'","")</f>
        <v>320252040400243384</v>
      </c>
      <c r="M1159">
        <v>54820</v>
      </c>
    </row>
    <row r="1160" spans="1:13" x14ac:dyDescent="0.4">
      <c r="A1160" s="1">
        <v>45860</v>
      </c>
      <c r="B1160" t="s">
        <v>4683</v>
      </c>
      <c r="C1160" t="s">
        <v>5184</v>
      </c>
      <c r="D1160">
        <v>54820</v>
      </c>
      <c r="E1160" t="s">
        <v>3250</v>
      </c>
      <c r="F1160">
        <v>44.46</v>
      </c>
      <c r="G1160" t="s">
        <v>4686</v>
      </c>
      <c r="H1160" t="s">
        <v>4687</v>
      </c>
      <c r="I1160">
        <v>27018</v>
      </c>
      <c r="J1160">
        <v>55158</v>
      </c>
      <c r="K1160" t="s">
        <v>3253</v>
      </c>
      <c r="L1160" t="str">
        <f>SUBSTITUTE(K1160,"'","")</f>
        <v>320252040400244396</v>
      </c>
      <c r="M1160">
        <v>54820</v>
      </c>
    </row>
    <row r="1161" spans="1:13" x14ac:dyDescent="0.4">
      <c r="A1161" s="1">
        <v>45860</v>
      </c>
      <c r="B1161" t="s">
        <v>4683</v>
      </c>
      <c r="C1161" t="s">
        <v>5180</v>
      </c>
      <c r="D1161">
        <v>54820</v>
      </c>
      <c r="E1161" t="s">
        <v>611</v>
      </c>
      <c r="F1161">
        <v>251.45</v>
      </c>
      <c r="G1161" t="s">
        <v>4686</v>
      </c>
      <c r="H1161" t="s">
        <v>4687</v>
      </c>
      <c r="I1161">
        <v>25984</v>
      </c>
      <c r="J1161">
        <v>53090</v>
      </c>
      <c r="K1161" t="s">
        <v>614</v>
      </c>
      <c r="L1161" t="str">
        <f>SUBSTITUTE(K1161,"'","")</f>
        <v>320252040400254054</v>
      </c>
      <c r="M1161">
        <v>54820</v>
      </c>
    </row>
    <row r="1162" spans="1:13" x14ac:dyDescent="0.4">
      <c r="A1162" s="1">
        <v>45861</v>
      </c>
      <c r="B1162" t="s">
        <v>4683</v>
      </c>
      <c r="C1162" t="s">
        <v>5789</v>
      </c>
      <c r="D1162">
        <v>61130</v>
      </c>
      <c r="E1162" t="s">
        <v>605</v>
      </c>
      <c r="F1162">
        <v>60.88</v>
      </c>
      <c r="G1162" t="s">
        <v>4686</v>
      </c>
      <c r="H1162" t="s">
        <v>4687</v>
      </c>
      <c r="I1162">
        <v>25523</v>
      </c>
      <c r="J1162">
        <v>52168</v>
      </c>
      <c r="K1162" t="s">
        <v>610</v>
      </c>
      <c r="L1162" t="str">
        <f>SUBSTITUTE(K1162,"'","")</f>
        <v>320252040386706376</v>
      </c>
      <c r="M1162">
        <v>61130</v>
      </c>
    </row>
    <row r="1163" spans="1:13" x14ac:dyDescent="0.4">
      <c r="A1163" s="1">
        <v>45861</v>
      </c>
      <c r="B1163" t="s">
        <v>4683</v>
      </c>
      <c r="C1163" t="s">
        <v>5186</v>
      </c>
      <c r="D1163">
        <v>54820</v>
      </c>
      <c r="E1163" t="s">
        <v>592</v>
      </c>
      <c r="F1163">
        <v>206.3</v>
      </c>
      <c r="G1163" t="s">
        <v>4686</v>
      </c>
      <c r="H1163" t="s">
        <v>4687</v>
      </c>
      <c r="I1163">
        <v>26019</v>
      </c>
      <c r="J1163">
        <v>53160</v>
      </c>
      <c r="K1163" t="s">
        <v>601</v>
      </c>
      <c r="L1163" t="str">
        <f>SUBSTITUTE(K1163,"'","")</f>
        <v>320252050424237906</v>
      </c>
      <c r="M1163">
        <v>54820</v>
      </c>
    </row>
    <row r="1164" spans="1:13" x14ac:dyDescent="0.4">
      <c r="A1164" s="1">
        <v>45861</v>
      </c>
      <c r="B1164" t="s">
        <v>4683</v>
      </c>
      <c r="C1164" t="s">
        <v>5187</v>
      </c>
      <c r="D1164">
        <v>54820</v>
      </c>
      <c r="E1164" t="s">
        <v>592</v>
      </c>
      <c r="F1164">
        <v>279.77</v>
      </c>
      <c r="G1164" t="s">
        <v>4686</v>
      </c>
      <c r="H1164" t="s">
        <v>4687</v>
      </c>
      <c r="I1164">
        <v>26020</v>
      </c>
      <c r="J1164">
        <v>53162</v>
      </c>
      <c r="K1164" t="s">
        <v>603</v>
      </c>
      <c r="L1164" t="str">
        <f>SUBSTITUTE(K1164,"'","")</f>
        <v>320252050424376065</v>
      </c>
      <c r="M1164">
        <v>54820</v>
      </c>
    </row>
    <row r="1165" spans="1:13" x14ac:dyDescent="0.4">
      <c r="A1165" s="1">
        <v>45862</v>
      </c>
      <c r="B1165" t="s">
        <v>4683</v>
      </c>
      <c r="C1165" t="s">
        <v>5190</v>
      </c>
      <c r="D1165">
        <v>54820</v>
      </c>
      <c r="E1165" t="s">
        <v>3235</v>
      </c>
      <c r="F1165">
        <v>7.64</v>
      </c>
      <c r="G1165" t="s">
        <v>4686</v>
      </c>
      <c r="H1165" t="s">
        <v>4687</v>
      </c>
      <c r="I1165">
        <v>26763</v>
      </c>
      <c r="J1165">
        <v>54648</v>
      </c>
      <c r="K1165" t="s">
        <v>3239</v>
      </c>
      <c r="L1165" t="str">
        <f>SUBSTITUTE(K1165,"'","")</f>
        <v>320252050408958573</v>
      </c>
      <c r="M1165">
        <v>54820</v>
      </c>
    </row>
    <row r="1166" spans="1:13" x14ac:dyDescent="0.4">
      <c r="A1166" s="1">
        <v>45862</v>
      </c>
      <c r="B1166" t="s">
        <v>4683</v>
      </c>
      <c r="C1166" t="s">
        <v>5188</v>
      </c>
      <c r="D1166">
        <v>54820</v>
      </c>
      <c r="E1166" t="s">
        <v>592</v>
      </c>
      <c r="F1166">
        <v>235.1</v>
      </c>
      <c r="G1166" t="s">
        <v>4686</v>
      </c>
      <c r="H1166" t="s">
        <v>4687</v>
      </c>
      <c r="I1166">
        <v>26021</v>
      </c>
      <c r="J1166">
        <v>53164</v>
      </c>
      <c r="K1166" t="s">
        <v>597</v>
      </c>
      <c r="L1166" t="str">
        <f>SUBSTITUTE(K1166,"'","")</f>
        <v>320252050424422344</v>
      </c>
      <c r="M1166">
        <v>54820</v>
      </c>
    </row>
    <row r="1167" spans="1:13" x14ac:dyDescent="0.4">
      <c r="A1167" s="1">
        <v>45862</v>
      </c>
      <c r="B1167" t="s">
        <v>4683</v>
      </c>
      <c r="C1167" t="s">
        <v>5189</v>
      </c>
      <c r="D1167">
        <v>54820</v>
      </c>
      <c r="E1167" t="s">
        <v>592</v>
      </c>
      <c r="F1167">
        <v>803.74</v>
      </c>
      <c r="G1167" t="s">
        <v>4686</v>
      </c>
      <c r="H1167" t="s">
        <v>4687</v>
      </c>
      <c r="I1167">
        <v>26022</v>
      </c>
      <c r="J1167">
        <v>53166</v>
      </c>
      <c r="K1167" t="s">
        <v>599</v>
      </c>
      <c r="L1167" t="str">
        <f>SUBSTITUTE(K1167,"'","")</f>
        <v>320252060451495820</v>
      </c>
      <c r="M1167">
        <v>54820</v>
      </c>
    </row>
    <row r="1168" spans="1:13" x14ac:dyDescent="0.4">
      <c r="A1168" s="1">
        <v>45863</v>
      </c>
      <c r="B1168" t="s">
        <v>4683</v>
      </c>
      <c r="C1168" t="s">
        <v>6528</v>
      </c>
      <c r="D1168">
        <v>80100</v>
      </c>
      <c r="E1168" t="s">
        <v>19</v>
      </c>
      <c r="F1168">
        <v>252.57</v>
      </c>
      <c r="G1168" t="s">
        <v>4686</v>
      </c>
      <c r="H1168" t="s">
        <v>4687</v>
      </c>
      <c r="I1168">
        <v>25909</v>
      </c>
      <c r="J1168">
        <v>52940</v>
      </c>
      <c r="K1168" t="s">
        <v>587</v>
      </c>
      <c r="L1168" t="str">
        <f>SUBSTITUTE(K1168,"'","")</f>
        <v>150726060000069475</v>
      </c>
      <c r="M1168">
        <v>80100</v>
      </c>
    </row>
    <row r="1169" spans="1:13" x14ac:dyDescent="0.4">
      <c r="A1169" s="1">
        <v>45863</v>
      </c>
      <c r="B1169" t="s">
        <v>4683</v>
      </c>
      <c r="C1169" t="s">
        <v>5790</v>
      </c>
      <c r="D1169">
        <v>61130</v>
      </c>
      <c r="E1169" t="s">
        <v>478</v>
      </c>
      <c r="F1169">
        <v>216.73</v>
      </c>
      <c r="G1169" t="s">
        <v>4686</v>
      </c>
      <c r="H1169" t="s">
        <v>4687</v>
      </c>
      <c r="I1169">
        <v>25524</v>
      </c>
      <c r="J1169">
        <v>52170</v>
      </c>
      <c r="K1169" t="s">
        <v>591</v>
      </c>
      <c r="L1169" t="str">
        <f>SUBSTITUTE(K1169,"'","")</f>
        <v>320252060442119603</v>
      </c>
      <c r="M1169">
        <v>61130</v>
      </c>
    </row>
    <row r="1170" spans="1:13" x14ac:dyDescent="0.4">
      <c r="A1170" s="1">
        <v>45863</v>
      </c>
      <c r="B1170" t="s">
        <v>4683</v>
      </c>
      <c r="C1170" t="s">
        <v>6529</v>
      </c>
      <c r="D1170">
        <v>80100</v>
      </c>
      <c r="E1170" t="s">
        <v>588</v>
      </c>
      <c r="F1170">
        <v>650</v>
      </c>
      <c r="G1170" t="s">
        <v>4686</v>
      </c>
      <c r="H1170" t="s">
        <v>4687</v>
      </c>
      <c r="I1170">
        <v>26099</v>
      </c>
      <c r="J1170">
        <v>53320</v>
      </c>
      <c r="K1170" t="s">
        <v>589</v>
      </c>
      <c r="L1170" t="str">
        <f>SUBSTITUTE(K1170,"'","")</f>
        <v>320252063436710423</v>
      </c>
      <c r="M1170">
        <v>80100</v>
      </c>
    </row>
    <row r="1171" spans="1:13" x14ac:dyDescent="0.4">
      <c r="A1171" s="1">
        <v>45863</v>
      </c>
      <c r="B1171" t="s">
        <v>4683</v>
      </c>
      <c r="C1171" t="s">
        <v>5192</v>
      </c>
      <c r="D1171">
        <v>54820</v>
      </c>
      <c r="E1171" t="s">
        <v>2934</v>
      </c>
      <c r="F1171">
        <v>12.79</v>
      </c>
      <c r="G1171" t="s">
        <v>4686</v>
      </c>
      <c r="H1171" t="s">
        <v>4687</v>
      </c>
      <c r="I1171">
        <v>26566</v>
      </c>
      <c r="J1171">
        <v>54254</v>
      </c>
      <c r="K1171" t="s">
        <v>3234</v>
      </c>
      <c r="L1171" t="str">
        <f>SUBSTITUTE(K1171,"'","")</f>
        <v>320252070479439084</v>
      </c>
      <c r="M1171">
        <v>54820</v>
      </c>
    </row>
    <row r="1172" spans="1:13" x14ac:dyDescent="0.4">
      <c r="A1172" s="1">
        <v>45863</v>
      </c>
      <c r="B1172" t="s">
        <v>4683</v>
      </c>
      <c r="C1172" t="s">
        <v>6491</v>
      </c>
      <c r="D1172">
        <v>67500</v>
      </c>
      <c r="E1172" t="s">
        <v>2146</v>
      </c>
      <c r="F1172">
        <v>41.72</v>
      </c>
      <c r="G1172" t="s">
        <v>4686</v>
      </c>
      <c r="H1172" t="s">
        <v>4687</v>
      </c>
      <c r="I1172">
        <v>26435</v>
      </c>
      <c r="J1172">
        <v>53992</v>
      </c>
      <c r="K1172" t="s">
        <v>3232</v>
      </c>
      <c r="L1172" t="str">
        <f>SUBSTITUTE(K1172,"'","")</f>
        <v>320252070482392582</v>
      </c>
      <c r="M1172">
        <v>67500</v>
      </c>
    </row>
    <row r="1173" spans="1:13" x14ac:dyDescent="0.4">
      <c r="A1173" s="1">
        <v>45863</v>
      </c>
      <c r="B1173" t="s">
        <v>4683</v>
      </c>
      <c r="C1173" t="s">
        <v>5191</v>
      </c>
      <c r="D1173">
        <v>54820</v>
      </c>
      <c r="E1173" t="s">
        <v>977</v>
      </c>
      <c r="F1173">
        <v>20</v>
      </c>
      <c r="G1173" t="s">
        <v>4686</v>
      </c>
      <c r="H1173" t="s">
        <v>4687</v>
      </c>
      <c r="I1173">
        <v>26486</v>
      </c>
      <c r="J1173">
        <v>54094</v>
      </c>
      <c r="K1173" t="s">
        <v>3230</v>
      </c>
      <c r="L1173" t="str">
        <f>SUBSTITUTE(K1173,"'","")</f>
        <v>320252070485815540</v>
      </c>
      <c r="M1173">
        <v>54820</v>
      </c>
    </row>
    <row r="1174" spans="1:13" x14ac:dyDescent="0.4">
      <c r="A1174" s="1">
        <v>45864</v>
      </c>
      <c r="B1174" t="s">
        <v>4683</v>
      </c>
      <c r="C1174" t="s">
        <v>5198</v>
      </c>
      <c r="D1174">
        <v>54820</v>
      </c>
      <c r="E1174" t="s">
        <v>3210</v>
      </c>
      <c r="F1174">
        <v>15.81</v>
      </c>
      <c r="G1174" t="s">
        <v>4686</v>
      </c>
      <c r="H1174" t="s">
        <v>4687</v>
      </c>
      <c r="I1174">
        <v>27020</v>
      </c>
      <c r="J1174">
        <v>55162</v>
      </c>
      <c r="K1174" t="s">
        <v>3213</v>
      </c>
      <c r="L1174" t="str">
        <f>SUBSTITUTE(K1174,"'","")</f>
        <v>320252070470510685</v>
      </c>
      <c r="M1174">
        <v>54820</v>
      </c>
    </row>
    <row r="1175" spans="1:13" x14ac:dyDescent="0.4">
      <c r="A1175" s="1">
        <v>45864</v>
      </c>
      <c r="B1175" t="s">
        <v>4683</v>
      </c>
      <c r="C1175" t="s">
        <v>5194</v>
      </c>
      <c r="D1175">
        <v>54820</v>
      </c>
      <c r="E1175" t="s">
        <v>580</v>
      </c>
      <c r="F1175">
        <v>10.99</v>
      </c>
      <c r="G1175" t="s">
        <v>4686</v>
      </c>
      <c r="H1175" t="s">
        <v>4687</v>
      </c>
      <c r="I1175">
        <v>25707</v>
      </c>
      <c r="J1175">
        <v>52536</v>
      </c>
      <c r="K1175" t="s">
        <v>582</v>
      </c>
      <c r="L1175" t="str">
        <f>SUBSTITUTE(K1175,"'","")</f>
        <v>320252070470556310</v>
      </c>
      <c r="M1175">
        <v>54820</v>
      </c>
    </row>
    <row r="1176" spans="1:13" x14ac:dyDescent="0.4">
      <c r="A1176" s="1">
        <v>45864</v>
      </c>
      <c r="B1176" t="s">
        <v>4683</v>
      </c>
      <c r="C1176" t="s">
        <v>6492</v>
      </c>
      <c r="D1176">
        <v>67500</v>
      </c>
      <c r="E1176" t="s">
        <v>106</v>
      </c>
      <c r="F1176">
        <v>46.95</v>
      </c>
      <c r="G1176" t="s">
        <v>4686</v>
      </c>
      <c r="H1176" t="s">
        <v>4687</v>
      </c>
      <c r="I1176">
        <v>26371</v>
      </c>
      <c r="J1176">
        <v>53864</v>
      </c>
      <c r="K1176" t="s">
        <v>3226</v>
      </c>
      <c r="L1176" t="str">
        <f>SUBSTITUTE(K1176,"'","")</f>
        <v>320252070470700101</v>
      </c>
      <c r="M1176">
        <v>67500</v>
      </c>
    </row>
    <row r="1177" spans="1:13" x14ac:dyDescent="0.4">
      <c r="A1177" s="1">
        <v>45864</v>
      </c>
      <c r="B1177" t="s">
        <v>4683</v>
      </c>
      <c r="C1177" t="s">
        <v>5193</v>
      </c>
      <c r="D1177">
        <v>54820</v>
      </c>
      <c r="E1177" t="s">
        <v>583</v>
      </c>
      <c r="F1177">
        <v>113.13</v>
      </c>
      <c r="G1177" t="s">
        <v>4686</v>
      </c>
      <c r="H1177" t="s">
        <v>4687</v>
      </c>
      <c r="I1177">
        <v>25366</v>
      </c>
      <c r="J1177">
        <v>51854</v>
      </c>
      <c r="K1177" t="s">
        <v>586</v>
      </c>
      <c r="L1177" t="str">
        <f>SUBSTITUTE(K1177,"'","")</f>
        <v>320252070472613189</v>
      </c>
      <c r="M1177">
        <v>54820</v>
      </c>
    </row>
    <row r="1178" spans="1:13" x14ac:dyDescent="0.4">
      <c r="A1178" s="1">
        <v>45864</v>
      </c>
      <c r="B1178" t="s">
        <v>4683</v>
      </c>
      <c r="C1178" t="s">
        <v>5199</v>
      </c>
      <c r="D1178">
        <v>54820</v>
      </c>
      <c r="E1178" t="s">
        <v>3220</v>
      </c>
      <c r="F1178">
        <v>17.88</v>
      </c>
      <c r="G1178" t="s">
        <v>4686</v>
      </c>
      <c r="H1178" t="s">
        <v>4687</v>
      </c>
      <c r="I1178">
        <v>27021</v>
      </c>
      <c r="J1178">
        <v>55164</v>
      </c>
      <c r="K1178" t="s">
        <v>3224</v>
      </c>
      <c r="L1178" t="str">
        <f>SUBSTITUTE(K1178,"'","")</f>
        <v>320252070485143501</v>
      </c>
      <c r="M1178">
        <v>54820</v>
      </c>
    </row>
    <row r="1179" spans="1:13" x14ac:dyDescent="0.4">
      <c r="A1179" s="1">
        <v>45864</v>
      </c>
      <c r="B1179" t="s">
        <v>4683</v>
      </c>
      <c r="C1179" t="s">
        <v>5197</v>
      </c>
      <c r="D1179">
        <v>54820</v>
      </c>
      <c r="E1179" t="s">
        <v>2934</v>
      </c>
      <c r="F1179">
        <v>12.79</v>
      </c>
      <c r="G1179" t="s">
        <v>4686</v>
      </c>
      <c r="H1179" t="s">
        <v>4687</v>
      </c>
      <c r="I1179">
        <v>26567</v>
      </c>
      <c r="J1179">
        <v>54256</v>
      </c>
      <c r="K1179" t="s">
        <v>3219</v>
      </c>
      <c r="L1179" t="str">
        <f>SUBSTITUTE(K1179,"'","")</f>
        <v>320252080502102951</v>
      </c>
      <c r="M1179">
        <v>54820</v>
      </c>
    </row>
    <row r="1180" spans="1:13" x14ac:dyDescent="0.4">
      <c r="A1180" s="1">
        <v>45864</v>
      </c>
      <c r="B1180" t="s">
        <v>4683</v>
      </c>
      <c r="C1180" t="s">
        <v>6264</v>
      </c>
      <c r="D1180">
        <v>64100</v>
      </c>
      <c r="E1180" t="s">
        <v>1792</v>
      </c>
      <c r="F1180">
        <v>16.05</v>
      </c>
      <c r="G1180" t="s">
        <v>4686</v>
      </c>
      <c r="H1180" t="s">
        <v>4687</v>
      </c>
      <c r="I1180">
        <v>26412</v>
      </c>
      <c r="J1180">
        <v>53946</v>
      </c>
      <c r="K1180" t="s">
        <v>3215</v>
      </c>
      <c r="L1180" t="str">
        <f>SUBSTITUTE(K1180,"'","")</f>
        <v>320252080505392311</v>
      </c>
      <c r="M1180">
        <v>64100</v>
      </c>
    </row>
    <row r="1181" spans="1:13" x14ac:dyDescent="0.4">
      <c r="A1181" s="1">
        <v>45864</v>
      </c>
      <c r="B1181" t="s">
        <v>4683</v>
      </c>
      <c r="C1181" t="s">
        <v>5195</v>
      </c>
      <c r="D1181">
        <v>54820</v>
      </c>
      <c r="E1181" t="s">
        <v>2240</v>
      </c>
      <c r="F1181">
        <v>105.97</v>
      </c>
      <c r="G1181" t="s">
        <v>4686</v>
      </c>
      <c r="H1181" t="s">
        <v>4687</v>
      </c>
      <c r="I1181">
        <v>26141</v>
      </c>
      <c r="J1181">
        <v>53404</v>
      </c>
      <c r="K1181" t="s">
        <v>3228</v>
      </c>
      <c r="L1181" t="str">
        <f>SUBSTITUTE(K1181,"'","")</f>
        <v>320252080506591609</v>
      </c>
      <c r="M1181">
        <v>54820</v>
      </c>
    </row>
    <row r="1182" spans="1:13" x14ac:dyDescent="0.4">
      <c r="A1182" s="1">
        <v>45864</v>
      </c>
      <c r="B1182" t="s">
        <v>4683</v>
      </c>
      <c r="C1182" t="s">
        <v>5196</v>
      </c>
      <c r="D1182">
        <v>54820</v>
      </c>
      <c r="E1182" t="s">
        <v>977</v>
      </c>
      <c r="F1182">
        <v>10</v>
      </c>
      <c r="G1182" t="s">
        <v>4686</v>
      </c>
      <c r="H1182" t="s">
        <v>4687</v>
      </c>
      <c r="I1182">
        <v>26487</v>
      </c>
      <c r="J1182">
        <v>54096</v>
      </c>
      <c r="K1182" t="s">
        <v>3217</v>
      </c>
      <c r="L1182" t="str">
        <f>SUBSTITUTE(K1182,"'","")</f>
        <v>320252080508382382</v>
      </c>
      <c r="M1182">
        <v>54820</v>
      </c>
    </row>
    <row r="1183" spans="1:13" x14ac:dyDescent="0.4">
      <c r="A1183" s="1">
        <v>45865</v>
      </c>
      <c r="B1183" t="s">
        <v>4683</v>
      </c>
      <c r="C1183" t="s">
        <v>5918</v>
      </c>
      <c r="D1183">
        <v>61131</v>
      </c>
      <c r="E1183" t="s">
        <v>574</v>
      </c>
      <c r="F1183">
        <v>9.15</v>
      </c>
      <c r="G1183" t="s">
        <v>4686</v>
      </c>
      <c r="H1183" t="s">
        <v>4687</v>
      </c>
      <c r="I1183">
        <v>25743</v>
      </c>
      <c r="J1183">
        <v>52608</v>
      </c>
      <c r="K1183" t="s">
        <v>578</v>
      </c>
      <c r="L1183" t="str">
        <f>SUBSTITUTE(K1183,"'","")</f>
        <v>320252080501826229</v>
      </c>
      <c r="M1183">
        <v>61131</v>
      </c>
    </row>
    <row r="1184" spans="1:13" x14ac:dyDescent="0.4">
      <c r="A1184" s="1">
        <v>45865</v>
      </c>
      <c r="B1184" t="s">
        <v>4683</v>
      </c>
      <c r="C1184" t="s">
        <v>6026</v>
      </c>
      <c r="D1184">
        <v>61215</v>
      </c>
      <c r="E1184" t="s">
        <v>3206</v>
      </c>
      <c r="F1184" s="5">
        <v>1255.3900000000001</v>
      </c>
      <c r="G1184" t="s">
        <v>4686</v>
      </c>
      <c r="H1184" t="s">
        <v>4687</v>
      </c>
      <c r="I1184">
        <v>26764</v>
      </c>
      <c r="J1184">
        <v>54650</v>
      </c>
      <c r="K1184" t="s">
        <v>3209</v>
      </c>
      <c r="L1184" t="str">
        <f>SUBSTITUTE(K1184,"'","")</f>
        <v>320252090529851970</v>
      </c>
      <c r="M1184">
        <v>61215</v>
      </c>
    </row>
    <row r="1185" spans="1:13" x14ac:dyDescent="0.4">
      <c r="A1185" s="1">
        <v>45865</v>
      </c>
      <c r="B1185" t="s">
        <v>4683</v>
      </c>
      <c r="C1185" t="s">
        <v>5954</v>
      </c>
      <c r="D1185">
        <v>61133</v>
      </c>
      <c r="E1185" t="s">
        <v>2458</v>
      </c>
      <c r="F1185">
        <v>2.9</v>
      </c>
      <c r="G1185" t="s">
        <v>4686</v>
      </c>
      <c r="H1185" t="s">
        <v>4687</v>
      </c>
      <c r="I1185">
        <v>26688</v>
      </c>
      <c r="J1185">
        <v>54498</v>
      </c>
      <c r="K1185" t="s">
        <v>3202</v>
      </c>
      <c r="L1185" t="str">
        <f>SUBSTITUTE(K1185,"'","")</f>
        <v>320252090532373090</v>
      </c>
      <c r="M1185">
        <v>61133</v>
      </c>
    </row>
    <row r="1186" spans="1:13" x14ac:dyDescent="0.4">
      <c r="A1186" s="1">
        <v>45865</v>
      </c>
      <c r="B1186" t="s">
        <v>4683</v>
      </c>
      <c r="C1186" t="s">
        <v>5955</v>
      </c>
      <c r="D1186">
        <v>61133</v>
      </c>
      <c r="E1186" t="s">
        <v>2458</v>
      </c>
      <c r="F1186">
        <v>2.9</v>
      </c>
      <c r="G1186" t="s">
        <v>4686</v>
      </c>
      <c r="H1186" t="s">
        <v>4687</v>
      </c>
      <c r="I1186">
        <v>26689</v>
      </c>
      <c r="J1186">
        <v>54500</v>
      </c>
      <c r="K1186" t="s">
        <v>3204</v>
      </c>
      <c r="L1186" t="str">
        <f>SUBSTITUTE(K1186,"'","")</f>
        <v>320252090532468912</v>
      </c>
      <c r="M1186">
        <v>61133</v>
      </c>
    </row>
    <row r="1187" spans="1:13" x14ac:dyDescent="0.4">
      <c r="A1187" s="1">
        <v>45866</v>
      </c>
      <c r="B1187" t="s">
        <v>4683</v>
      </c>
      <c r="C1187" t="s">
        <v>5201</v>
      </c>
      <c r="D1187">
        <v>54820</v>
      </c>
      <c r="E1187" t="s">
        <v>3189</v>
      </c>
      <c r="F1187">
        <v>108</v>
      </c>
      <c r="G1187" t="s">
        <v>4686</v>
      </c>
      <c r="H1187" t="s">
        <v>4687</v>
      </c>
      <c r="I1187">
        <v>27022</v>
      </c>
      <c r="J1187">
        <v>55166</v>
      </c>
      <c r="K1187" t="s">
        <v>3192</v>
      </c>
      <c r="L1187" t="str">
        <f>SUBSTITUTE(K1187,"'","")</f>
        <v>320252090545327945</v>
      </c>
      <c r="M1187">
        <v>54820</v>
      </c>
    </row>
    <row r="1188" spans="1:13" x14ac:dyDescent="0.4">
      <c r="A1188" s="1">
        <v>45866</v>
      </c>
      <c r="B1188" t="s">
        <v>4683</v>
      </c>
      <c r="C1188" t="s">
        <v>5200</v>
      </c>
      <c r="D1188">
        <v>54820</v>
      </c>
      <c r="E1188" t="s">
        <v>3193</v>
      </c>
      <c r="F1188">
        <v>10.47</v>
      </c>
      <c r="G1188" t="s">
        <v>4686</v>
      </c>
      <c r="H1188" t="s">
        <v>4687</v>
      </c>
      <c r="I1188">
        <v>26765</v>
      </c>
      <c r="J1188">
        <v>54652</v>
      </c>
      <c r="K1188" t="s">
        <v>3196</v>
      </c>
      <c r="L1188" t="str">
        <f>SUBSTITUTE(K1188,"'","")</f>
        <v>320252100552406326</v>
      </c>
      <c r="M1188">
        <v>54820</v>
      </c>
    </row>
    <row r="1189" spans="1:13" x14ac:dyDescent="0.4">
      <c r="A1189" s="1">
        <v>45866</v>
      </c>
      <c r="B1189" t="s">
        <v>4683</v>
      </c>
      <c r="C1189" t="s">
        <v>6061</v>
      </c>
      <c r="D1189">
        <v>63100</v>
      </c>
      <c r="E1189" t="s">
        <v>260</v>
      </c>
      <c r="F1189">
        <v>81.59</v>
      </c>
      <c r="G1189" t="s">
        <v>4686</v>
      </c>
      <c r="H1189" t="s">
        <v>4687</v>
      </c>
      <c r="I1189">
        <v>25694</v>
      </c>
      <c r="J1189">
        <v>52510</v>
      </c>
      <c r="K1189" t="s">
        <v>568</v>
      </c>
      <c r="L1189" t="str">
        <f>SUBSTITUTE(K1189,"'","")</f>
        <v>320252100555299981</v>
      </c>
      <c r="M1189">
        <v>63100</v>
      </c>
    </row>
    <row r="1190" spans="1:13" x14ac:dyDescent="0.4">
      <c r="A1190" s="1">
        <v>45866</v>
      </c>
      <c r="B1190" t="s">
        <v>4683</v>
      </c>
      <c r="C1190" t="s">
        <v>6027</v>
      </c>
      <c r="D1190">
        <v>61215</v>
      </c>
      <c r="E1190" t="s">
        <v>3197</v>
      </c>
      <c r="F1190">
        <v>600</v>
      </c>
      <c r="G1190" t="s">
        <v>4686</v>
      </c>
      <c r="H1190" t="s">
        <v>4687</v>
      </c>
      <c r="I1190">
        <v>26766</v>
      </c>
      <c r="J1190">
        <v>54654</v>
      </c>
      <c r="K1190" t="s">
        <v>3200</v>
      </c>
      <c r="L1190" t="str">
        <f>SUBSTITUTE(K1190,"'","")</f>
        <v>320252100560316007</v>
      </c>
      <c r="M1190">
        <v>61215</v>
      </c>
    </row>
    <row r="1191" spans="1:13" x14ac:dyDescent="0.4">
      <c r="A1191" s="1">
        <v>45866</v>
      </c>
      <c r="B1191" t="s">
        <v>4683</v>
      </c>
      <c r="C1191" t="s">
        <v>6404</v>
      </c>
      <c r="D1191">
        <v>65600</v>
      </c>
      <c r="E1191" t="s">
        <v>569</v>
      </c>
      <c r="F1191">
        <v>18.5</v>
      </c>
      <c r="G1191" t="s">
        <v>4686</v>
      </c>
      <c r="H1191" t="s">
        <v>4687</v>
      </c>
      <c r="I1191">
        <v>26100</v>
      </c>
      <c r="J1191">
        <v>53322</v>
      </c>
      <c r="K1191" t="s">
        <v>572</v>
      </c>
      <c r="L1191" t="str">
        <f>SUBSTITUTE(K1191,"'","")</f>
        <v>320252100561630992</v>
      </c>
      <c r="M1191">
        <v>65600</v>
      </c>
    </row>
    <row r="1192" spans="1:13" x14ac:dyDescent="0.4">
      <c r="A1192" s="1">
        <v>45866</v>
      </c>
      <c r="B1192" t="s">
        <v>4683</v>
      </c>
      <c r="C1192" t="s">
        <v>6265</v>
      </c>
      <c r="D1192">
        <v>64100</v>
      </c>
      <c r="E1192" t="s">
        <v>563</v>
      </c>
      <c r="F1192">
        <v>50</v>
      </c>
      <c r="G1192" t="s">
        <v>4686</v>
      </c>
      <c r="H1192" t="s">
        <v>4687</v>
      </c>
      <c r="I1192">
        <v>26085</v>
      </c>
      <c r="J1192">
        <v>53292</v>
      </c>
      <c r="K1192" t="s">
        <v>566</v>
      </c>
      <c r="L1192" t="str">
        <f>SUBSTITUTE(K1192,"'","")</f>
        <v>320252100565958161</v>
      </c>
      <c r="M1192">
        <v>64100</v>
      </c>
    </row>
    <row r="1193" spans="1:13" x14ac:dyDescent="0.4">
      <c r="A1193" s="1">
        <v>45867</v>
      </c>
      <c r="B1193" t="s">
        <v>4683</v>
      </c>
      <c r="C1193" t="s">
        <v>5202</v>
      </c>
      <c r="D1193">
        <v>54820</v>
      </c>
      <c r="E1193" t="s">
        <v>977</v>
      </c>
      <c r="F1193">
        <v>30</v>
      </c>
      <c r="G1193" t="s">
        <v>4686</v>
      </c>
      <c r="H1193" t="s">
        <v>4687</v>
      </c>
      <c r="I1193">
        <v>26488</v>
      </c>
      <c r="J1193">
        <v>54098</v>
      </c>
      <c r="K1193" t="s">
        <v>3188</v>
      </c>
      <c r="L1193" t="str">
        <f>SUBSTITUTE(K1193,"'","")</f>
        <v>320252100550460986</v>
      </c>
      <c r="M1193">
        <v>54820</v>
      </c>
    </row>
    <row r="1194" spans="1:13" x14ac:dyDescent="0.4">
      <c r="A1194" s="1">
        <v>45868</v>
      </c>
      <c r="B1194" t="s">
        <v>4683</v>
      </c>
      <c r="C1194" t="s">
        <v>5204</v>
      </c>
      <c r="D1194">
        <v>54820</v>
      </c>
      <c r="E1194" t="s">
        <v>3181</v>
      </c>
      <c r="F1194">
        <v>135</v>
      </c>
      <c r="G1194" t="s">
        <v>4686</v>
      </c>
      <c r="H1194" t="s">
        <v>4687</v>
      </c>
      <c r="I1194">
        <v>27023</v>
      </c>
      <c r="J1194">
        <v>55168</v>
      </c>
      <c r="K1194" t="s">
        <v>3184</v>
      </c>
      <c r="L1194" t="str">
        <f>SUBSTITUTE(K1194,"'","")</f>
        <v>320252110596940684</v>
      </c>
      <c r="M1194">
        <v>54820</v>
      </c>
    </row>
    <row r="1195" spans="1:13" x14ac:dyDescent="0.4">
      <c r="A1195" s="1">
        <v>45868</v>
      </c>
      <c r="B1195" t="s">
        <v>4683</v>
      </c>
      <c r="C1195" t="s">
        <v>5203</v>
      </c>
      <c r="D1195">
        <v>54820</v>
      </c>
      <c r="E1195" t="s">
        <v>2934</v>
      </c>
      <c r="F1195">
        <v>12.79</v>
      </c>
      <c r="G1195" t="s">
        <v>4686</v>
      </c>
      <c r="H1195" t="s">
        <v>4687</v>
      </c>
      <c r="I1195">
        <v>26568</v>
      </c>
      <c r="J1195">
        <v>54258</v>
      </c>
      <c r="K1195" t="s">
        <v>3186</v>
      </c>
      <c r="L1195" t="str">
        <f>SUBSTITUTE(K1195,"'","")</f>
        <v>320252120611381339</v>
      </c>
      <c r="M1195">
        <v>54820</v>
      </c>
    </row>
    <row r="1196" spans="1:13" x14ac:dyDescent="0.4">
      <c r="A1196" s="1">
        <v>45868</v>
      </c>
      <c r="B1196" t="s">
        <v>4683</v>
      </c>
      <c r="C1196" t="s">
        <v>5920</v>
      </c>
      <c r="D1196">
        <v>61131</v>
      </c>
      <c r="E1196" t="s">
        <v>448</v>
      </c>
      <c r="F1196">
        <v>0.49</v>
      </c>
      <c r="G1196" t="s">
        <v>4686</v>
      </c>
      <c r="H1196" t="s">
        <v>4687</v>
      </c>
      <c r="I1196">
        <v>25744</v>
      </c>
      <c r="J1196">
        <v>52610</v>
      </c>
      <c r="K1196" t="s">
        <v>562</v>
      </c>
      <c r="L1196" t="str">
        <f>SUBSTITUTE(K1196,"'","")</f>
        <v>320252120612197376</v>
      </c>
      <c r="M1196">
        <v>61131</v>
      </c>
    </row>
    <row r="1197" spans="1:13" x14ac:dyDescent="0.4">
      <c r="A1197" s="1">
        <v>45868</v>
      </c>
      <c r="B1197" t="s">
        <v>4683</v>
      </c>
      <c r="C1197" t="s">
        <v>5919</v>
      </c>
      <c r="D1197">
        <v>61131</v>
      </c>
      <c r="E1197" t="s">
        <v>38</v>
      </c>
      <c r="F1197">
        <v>761.98</v>
      </c>
      <c r="G1197" t="s">
        <v>4686</v>
      </c>
      <c r="H1197" t="s">
        <v>4687</v>
      </c>
      <c r="I1197">
        <v>25633</v>
      </c>
      <c r="J1197">
        <v>52388</v>
      </c>
      <c r="K1197" t="s">
        <v>560</v>
      </c>
      <c r="L1197" t="str">
        <f>SUBSTITUTE(K1197,"'","")</f>
        <v>320252120619219637</v>
      </c>
      <c r="M1197">
        <v>61131</v>
      </c>
    </row>
    <row r="1198" spans="1:13" x14ac:dyDescent="0.4">
      <c r="A1198" s="1">
        <v>45869</v>
      </c>
      <c r="B1198" t="s">
        <v>4683</v>
      </c>
      <c r="C1198" t="s">
        <v>5792</v>
      </c>
      <c r="D1198">
        <v>61130</v>
      </c>
      <c r="E1198" t="s">
        <v>478</v>
      </c>
      <c r="F1198">
        <v>72.430000000000007</v>
      </c>
      <c r="G1198" t="s">
        <v>4686</v>
      </c>
      <c r="H1198" t="s">
        <v>4687</v>
      </c>
      <c r="I1198">
        <v>25526</v>
      </c>
      <c r="J1198">
        <v>52174</v>
      </c>
      <c r="K1198" t="s">
        <v>556</v>
      </c>
      <c r="L1198" t="str">
        <f>SUBSTITUTE(K1198,"'","")</f>
        <v>320252120607348385</v>
      </c>
      <c r="M1198">
        <v>61130</v>
      </c>
    </row>
    <row r="1199" spans="1:13" x14ac:dyDescent="0.4">
      <c r="A1199" s="1">
        <v>45869</v>
      </c>
      <c r="B1199" t="s">
        <v>4683</v>
      </c>
      <c r="C1199" t="s">
        <v>5791</v>
      </c>
      <c r="D1199">
        <v>61130</v>
      </c>
      <c r="E1199" t="s">
        <v>478</v>
      </c>
      <c r="F1199">
        <v>47.32</v>
      </c>
      <c r="G1199" t="s">
        <v>4686</v>
      </c>
      <c r="H1199" t="s">
        <v>4687</v>
      </c>
      <c r="I1199">
        <v>25525</v>
      </c>
      <c r="J1199">
        <v>52172</v>
      </c>
      <c r="K1199" t="s">
        <v>554</v>
      </c>
      <c r="L1199" t="str">
        <f>SUBSTITUTE(K1199,"'","")</f>
        <v>320252120607554962</v>
      </c>
      <c r="M1199">
        <v>61130</v>
      </c>
    </row>
    <row r="1200" spans="1:13" x14ac:dyDescent="0.4">
      <c r="A1200" s="1">
        <v>45869</v>
      </c>
      <c r="B1200" t="s">
        <v>4683</v>
      </c>
      <c r="C1200" t="s">
        <v>5793</v>
      </c>
      <c r="D1200">
        <v>61130</v>
      </c>
      <c r="E1200" t="s">
        <v>478</v>
      </c>
      <c r="F1200">
        <v>102.24</v>
      </c>
      <c r="G1200" t="s">
        <v>4686</v>
      </c>
      <c r="H1200" t="s">
        <v>4687</v>
      </c>
      <c r="I1200">
        <v>25527</v>
      </c>
      <c r="J1200">
        <v>52176</v>
      </c>
      <c r="K1200" t="s">
        <v>558</v>
      </c>
      <c r="L1200" t="str">
        <f>SUBSTITUTE(K1200,"'","")</f>
        <v>320252120607807262</v>
      </c>
      <c r="M1200">
        <v>61130</v>
      </c>
    </row>
    <row r="1201" spans="1:13" x14ac:dyDescent="0.4">
      <c r="A1201" s="1">
        <v>45869</v>
      </c>
      <c r="B1201" t="s">
        <v>4683</v>
      </c>
      <c r="C1201" t="s">
        <v>5206</v>
      </c>
      <c r="D1201">
        <v>54820</v>
      </c>
      <c r="E1201" t="s">
        <v>3177</v>
      </c>
      <c r="F1201">
        <v>27.82</v>
      </c>
      <c r="G1201" t="s">
        <v>4686</v>
      </c>
      <c r="H1201" t="s">
        <v>4687</v>
      </c>
      <c r="I1201">
        <v>27024</v>
      </c>
      <c r="J1201">
        <v>55170</v>
      </c>
      <c r="K1201" t="s">
        <v>3180</v>
      </c>
      <c r="L1201" t="str">
        <f>SUBSTITUTE(K1201,"'","")</f>
        <v>320252120623340262</v>
      </c>
      <c r="M1201">
        <v>54820</v>
      </c>
    </row>
    <row r="1202" spans="1:13" x14ac:dyDescent="0.4">
      <c r="A1202" s="1">
        <v>45869</v>
      </c>
      <c r="B1202" t="s">
        <v>4683</v>
      </c>
      <c r="C1202" t="s">
        <v>5205</v>
      </c>
      <c r="D1202">
        <v>54820</v>
      </c>
      <c r="E1202" t="s">
        <v>2764</v>
      </c>
      <c r="F1202">
        <v>8.66</v>
      </c>
      <c r="G1202" t="s">
        <v>4686</v>
      </c>
      <c r="H1202" t="s">
        <v>4687</v>
      </c>
      <c r="I1202">
        <v>26742</v>
      </c>
      <c r="J1202">
        <v>54606</v>
      </c>
      <c r="K1202" t="s">
        <v>3176</v>
      </c>
      <c r="L1202" t="str">
        <f>SUBSTITUTE(K1202,"'","")</f>
        <v>320252130650979065</v>
      </c>
      <c r="M1202">
        <v>54820</v>
      </c>
    </row>
    <row r="1203" spans="1:13" x14ac:dyDescent="0.4">
      <c r="A1203" s="1">
        <v>45870</v>
      </c>
      <c r="B1203" t="s">
        <v>4683</v>
      </c>
      <c r="C1203" t="s">
        <v>6365</v>
      </c>
      <c r="D1203">
        <v>64101</v>
      </c>
      <c r="E1203" t="s">
        <v>2429</v>
      </c>
      <c r="F1203" s="5">
        <v>1576.93</v>
      </c>
      <c r="G1203" t="s">
        <v>4686</v>
      </c>
      <c r="H1203" t="s">
        <v>4687</v>
      </c>
      <c r="I1203">
        <v>26390</v>
      </c>
      <c r="J1203">
        <v>53902</v>
      </c>
      <c r="K1203" t="s">
        <v>3164</v>
      </c>
      <c r="L1203" t="str">
        <f>SUBSTITUTE(K1203,"'","")</f>
        <v>320252130632722010</v>
      </c>
      <c r="M1203">
        <v>64101</v>
      </c>
    </row>
    <row r="1204" spans="1:13" x14ac:dyDescent="0.4">
      <c r="A1204" s="1">
        <v>45870</v>
      </c>
      <c r="B1204" t="s">
        <v>4683</v>
      </c>
      <c r="C1204" t="s">
        <v>6493</v>
      </c>
      <c r="D1204">
        <v>67500</v>
      </c>
      <c r="E1204" t="s">
        <v>106</v>
      </c>
      <c r="F1204">
        <v>48.43</v>
      </c>
      <c r="G1204" t="s">
        <v>4686</v>
      </c>
      <c r="H1204" t="s">
        <v>4687</v>
      </c>
      <c r="I1204">
        <v>26372</v>
      </c>
      <c r="J1204">
        <v>53866</v>
      </c>
      <c r="K1204" t="s">
        <v>3172</v>
      </c>
      <c r="L1204" t="str">
        <f>SUBSTITUTE(K1204,"'","")</f>
        <v>320252130633922608</v>
      </c>
      <c r="M1204">
        <v>67500</v>
      </c>
    </row>
    <row r="1205" spans="1:13" x14ac:dyDescent="0.4">
      <c r="A1205" s="1">
        <v>45870</v>
      </c>
      <c r="B1205" t="s">
        <v>4683</v>
      </c>
      <c r="C1205" t="s">
        <v>6434</v>
      </c>
      <c r="D1205">
        <v>65700</v>
      </c>
      <c r="E1205" t="s">
        <v>234</v>
      </c>
      <c r="F1205">
        <v>403.07</v>
      </c>
      <c r="G1205" t="s">
        <v>4686</v>
      </c>
      <c r="H1205" t="s">
        <v>4687</v>
      </c>
      <c r="I1205">
        <v>25817</v>
      </c>
      <c r="J1205">
        <v>52756</v>
      </c>
      <c r="K1205" t="s">
        <v>551</v>
      </c>
      <c r="L1205" t="str">
        <f>SUBSTITUTE(K1205,"'","")</f>
        <v>320252130646472709</v>
      </c>
      <c r="M1205">
        <v>65700</v>
      </c>
    </row>
    <row r="1206" spans="1:13" x14ac:dyDescent="0.4">
      <c r="A1206" s="1">
        <v>45870</v>
      </c>
      <c r="B1206" t="s">
        <v>4683</v>
      </c>
      <c r="C1206" t="s">
        <v>5921</v>
      </c>
      <c r="D1206">
        <v>61131</v>
      </c>
      <c r="E1206" t="s">
        <v>317</v>
      </c>
      <c r="F1206">
        <v>24.95</v>
      </c>
      <c r="G1206" t="s">
        <v>4686</v>
      </c>
      <c r="H1206" t="s">
        <v>4687</v>
      </c>
      <c r="I1206">
        <v>25650</v>
      </c>
      <c r="J1206">
        <v>52422</v>
      </c>
      <c r="K1206" t="s">
        <v>545</v>
      </c>
      <c r="L1206" t="str">
        <f>SUBSTITUTE(K1206,"'","")</f>
        <v>320252130656134194</v>
      </c>
      <c r="M1206">
        <v>61131</v>
      </c>
    </row>
    <row r="1207" spans="1:13" x14ac:dyDescent="0.4">
      <c r="A1207" s="1">
        <v>45870</v>
      </c>
      <c r="B1207" t="s">
        <v>4683</v>
      </c>
      <c r="C1207" t="s">
        <v>5211</v>
      </c>
      <c r="D1207">
        <v>54820</v>
      </c>
      <c r="E1207" t="s">
        <v>2934</v>
      </c>
      <c r="F1207">
        <v>12.79</v>
      </c>
      <c r="G1207" t="s">
        <v>4686</v>
      </c>
      <c r="H1207" t="s">
        <v>4687</v>
      </c>
      <c r="I1207">
        <v>26569</v>
      </c>
      <c r="J1207">
        <v>54260</v>
      </c>
      <c r="K1207" t="s">
        <v>3170</v>
      </c>
      <c r="L1207" t="str">
        <f>SUBSTITUTE(K1207,"'","")</f>
        <v>320252140671973498</v>
      </c>
      <c r="M1207">
        <v>54820</v>
      </c>
    </row>
    <row r="1208" spans="1:13" x14ac:dyDescent="0.4">
      <c r="A1208" s="1">
        <v>45870</v>
      </c>
      <c r="B1208" t="s">
        <v>4683</v>
      </c>
      <c r="C1208" t="s">
        <v>5207</v>
      </c>
      <c r="D1208">
        <v>54820</v>
      </c>
      <c r="E1208" t="s">
        <v>546</v>
      </c>
      <c r="F1208">
        <v>74.58</v>
      </c>
      <c r="G1208" t="s">
        <v>4686</v>
      </c>
      <c r="H1208" t="s">
        <v>4687</v>
      </c>
      <c r="I1208">
        <v>25997</v>
      </c>
      <c r="J1208">
        <v>53116</v>
      </c>
      <c r="K1208" t="s">
        <v>549</v>
      </c>
      <c r="L1208" t="str">
        <f>SUBSTITUTE(K1208,"'","")</f>
        <v>320252140672180148</v>
      </c>
      <c r="M1208">
        <v>54820</v>
      </c>
    </row>
    <row r="1209" spans="1:13" x14ac:dyDescent="0.4">
      <c r="A1209" s="1">
        <v>45870</v>
      </c>
      <c r="B1209" t="s">
        <v>4683</v>
      </c>
      <c r="C1209" t="s">
        <v>5208</v>
      </c>
      <c r="D1209">
        <v>54820</v>
      </c>
      <c r="E1209" t="s">
        <v>2240</v>
      </c>
      <c r="F1209">
        <v>23.46</v>
      </c>
      <c r="G1209" t="s">
        <v>4686</v>
      </c>
      <c r="H1209" t="s">
        <v>4687</v>
      </c>
      <c r="I1209">
        <v>26142</v>
      </c>
      <c r="J1209">
        <v>53406</v>
      </c>
      <c r="K1209" t="s">
        <v>3174</v>
      </c>
      <c r="L1209" t="str">
        <f>SUBSTITUTE(K1209,"'","")</f>
        <v>320252140676862883</v>
      </c>
      <c r="M1209">
        <v>54820</v>
      </c>
    </row>
    <row r="1210" spans="1:13" x14ac:dyDescent="0.4">
      <c r="A1210" s="1">
        <v>45870</v>
      </c>
      <c r="B1210" t="s">
        <v>4683</v>
      </c>
      <c r="C1210" t="s">
        <v>5210</v>
      </c>
      <c r="D1210">
        <v>54820</v>
      </c>
      <c r="E1210" t="s">
        <v>977</v>
      </c>
      <c r="F1210">
        <v>50</v>
      </c>
      <c r="G1210" t="s">
        <v>4686</v>
      </c>
      <c r="H1210" t="s">
        <v>4687</v>
      </c>
      <c r="I1210">
        <v>26490</v>
      </c>
      <c r="J1210">
        <v>54102</v>
      </c>
      <c r="K1210" t="s">
        <v>3168</v>
      </c>
      <c r="L1210" t="str">
        <f>SUBSTITUTE(K1210,"'","")</f>
        <v>320252140687393532</v>
      </c>
      <c r="M1210">
        <v>54820</v>
      </c>
    </row>
    <row r="1211" spans="1:13" x14ac:dyDescent="0.4">
      <c r="A1211" s="1">
        <v>45870</v>
      </c>
      <c r="B1211" t="s">
        <v>4683</v>
      </c>
      <c r="C1211" t="s">
        <v>5209</v>
      </c>
      <c r="D1211">
        <v>54820</v>
      </c>
      <c r="E1211" t="s">
        <v>977</v>
      </c>
      <c r="F1211">
        <v>20</v>
      </c>
      <c r="G1211" t="s">
        <v>4686</v>
      </c>
      <c r="H1211" t="s">
        <v>4687</v>
      </c>
      <c r="I1211">
        <v>26489</v>
      </c>
      <c r="J1211">
        <v>54100</v>
      </c>
      <c r="K1211" t="s">
        <v>3166</v>
      </c>
      <c r="L1211" t="str">
        <f>SUBSTITUTE(K1211,"'","")</f>
        <v>320252140687402028</v>
      </c>
      <c r="M1211">
        <v>54820</v>
      </c>
    </row>
    <row r="1212" spans="1:13" x14ac:dyDescent="0.4">
      <c r="A1212" s="1">
        <v>45871</v>
      </c>
      <c r="B1212" t="s">
        <v>4683</v>
      </c>
      <c r="C1212" t="s">
        <v>6266</v>
      </c>
      <c r="D1212">
        <v>64100</v>
      </c>
      <c r="E1212" t="s">
        <v>213</v>
      </c>
      <c r="F1212">
        <v>21.4</v>
      </c>
      <c r="G1212" t="s">
        <v>4686</v>
      </c>
      <c r="H1212" t="s">
        <v>4687</v>
      </c>
      <c r="I1212">
        <v>25927</v>
      </c>
      <c r="J1212">
        <v>52976</v>
      </c>
      <c r="K1212" t="s">
        <v>541</v>
      </c>
      <c r="L1212" t="str">
        <f>SUBSTITUTE(K1212,"'","")</f>
        <v>320252140687552220</v>
      </c>
      <c r="M1212">
        <v>64100</v>
      </c>
    </row>
    <row r="1213" spans="1:13" x14ac:dyDescent="0.4">
      <c r="A1213" s="1">
        <v>45871</v>
      </c>
      <c r="B1213" t="s">
        <v>4683</v>
      </c>
      <c r="C1213" t="s">
        <v>5213</v>
      </c>
      <c r="D1213">
        <v>54820</v>
      </c>
      <c r="E1213" t="s">
        <v>2181</v>
      </c>
      <c r="F1213">
        <v>40.44</v>
      </c>
      <c r="G1213" t="s">
        <v>4686</v>
      </c>
      <c r="H1213" t="s">
        <v>4687</v>
      </c>
      <c r="I1213">
        <v>27025</v>
      </c>
      <c r="J1213">
        <v>55172</v>
      </c>
      <c r="K1213" t="s">
        <v>3160</v>
      </c>
      <c r="L1213" t="str">
        <f>SUBSTITUTE(K1213,"'","")</f>
        <v>320252150693728772</v>
      </c>
      <c r="M1213">
        <v>54820</v>
      </c>
    </row>
    <row r="1214" spans="1:13" x14ac:dyDescent="0.4">
      <c r="A1214" s="1">
        <v>45871</v>
      </c>
      <c r="B1214" t="s">
        <v>4683</v>
      </c>
      <c r="C1214" t="s">
        <v>5212</v>
      </c>
      <c r="D1214">
        <v>54820</v>
      </c>
      <c r="E1214" t="s">
        <v>2706</v>
      </c>
      <c r="F1214">
        <v>104.7</v>
      </c>
      <c r="G1214" t="s">
        <v>4686</v>
      </c>
      <c r="H1214" t="s">
        <v>4687</v>
      </c>
      <c r="I1214">
        <v>26834</v>
      </c>
      <c r="J1214">
        <v>54790</v>
      </c>
      <c r="K1214" t="s">
        <v>3162</v>
      </c>
      <c r="L1214" t="str">
        <f>SUBSTITUTE(K1214,"'","")</f>
        <v>320252150707514084</v>
      </c>
      <c r="M1214">
        <v>54820</v>
      </c>
    </row>
    <row r="1215" spans="1:13" x14ac:dyDescent="0.4">
      <c r="A1215" s="1">
        <v>45871</v>
      </c>
      <c r="B1215" t="s">
        <v>4683</v>
      </c>
      <c r="C1215" t="s">
        <v>6380</v>
      </c>
      <c r="D1215">
        <v>64200</v>
      </c>
      <c r="E1215" t="s">
        <v>222</v>
      </c>
      <c r="F1215">
        <v>79</v>
      </c>
      <c r="G1215" t="s">
        <v>4686</v>
      </c>
      <c r="H1215" t="s">
        <v>4687</v>
      </c>
      <c r="I1215">
        <v>25866</v>
      </c>
      <c r="J1215">
        <v>52854</v>
      </c>
      <c r="K1215" t="s">
        <v>543</v>
      </c>
      <c r="L1215" t="str">
        <f>SUBSTITUTE(K1215,"'","")</f>
        <v>320252150709337270</v>
      </c>
      <c r="M1215">
        <v>64200</v>
      </c>
    </row>
    <row r="1216" spans="1:13" x14ac:dyDescent="0.4">
      <c r="A1216" s="1">
        <v>45872</v>
      </c>
      <c r="B1216" t="s">
        <v>4683</v>
      </c>
      <c r="C1216" t="s">
        <v>6267</v>
      </c>
      <c r="D1216">
        <v>64100</v>
      </c>
      <c r="E1216" t="s">
        <v>153</v>
      </c>
      <c r="F1216">
        <v>25.84</v>
      </c>
      <c r="G1216" t="s">
        <v>4686</v>
      </c>
      <c r="H1216" t="s">
        <v>4687</v>
      </c>
      <c r="I1216">
        <v>25607</v>
      </c>
      <c r="J1216">
        <v>52336</v>
      </c>
      <c r="K1216" t="s">
        <v>539</v>
      </c>
      <c r="L1216" t="str">
        <f>SUBSTITUTE(K1216,"'","")</f>
        <v>320252150708997290</v>
      </c>
      <c r="M1216">
        <v>64100</v>
      </c>
    </row>
    <row r="1217" spans="1:13" x14ac:dyDescent="0.4">
      <c r="A1217" s="1">
        <v>45872</v>
      </c>
      <c r="B1217" t="s">
        <v>4683</v>
      </c>
      <c r="C1217" t="s">
        <v>6494</v>
      </c>
      <c r="D1217">
        <v>67500</v>
      </c>
      <c r="E1217" t="s">
        <v>2400</v>
      </c>
      <c r="F1217">
        <v>21.39</v>
      </c>
      <c r="G1217" t="s">
        <v>4686</v>
      </c>
      <c r="H1217" t="s">
        <v>4687</v>
      </c>
      <c r="I1217">
        <v>26283</v>
      </c>
      <c r="J1217">
        <v>53688</v>
      </c>
      <c r="K1217" t="s">
        <v>3148</v>
      </c>
      <c r="L1217" t="str">
        <f>SUBSTITUTE(K1217,"'","")</f>
        <v>320252160726605026</v>
      </c>
      <c r="M1217">
        <v>67500</v>
      </c>
    </row>
    <row r="1218" spans="1:13" x14ac:dyDescent="0.4">
      <c r="A1218" s="1">
        <v>45872</v>
      </c>
      <c r="B1218" t="s">
        <v>4683</v>
      </c>
      <c r="C1218" t="s">
        <v>5215</v>
      </c>
      <c r="D1218">
        <v>54820</v>
      </c>
      <c r="E1218" t="s">
        <v>2934</v>
      </c>
      <c r="F1218">
        <v>12.79</v>
      </c>
      <c r="G1218" t="s">
        <v>4686</v>
      </c>
      <c r="H1218" t="s">
        <v>4687</v>
      </c>
      <c r="I1218">
        <v>26570</v>
      </c>
      <c r="J1218">
        <v>54262</v>
      </c>
      <c r="K1218" t="s">
        <v>3150</v>
      </c>
      <c r="L1218" t="str">
        <f>SUBSTITUTE(K1218,"'","")</f>
        <v>320252160726923006</v>
      </c>
      <c r="M1218">
        <v>54820</v>
      </c>
    </row>
    <row r="1219" spans="1:13" x14ac:dyDescent="0.4">
      <c r="A1219" s="1">
        <v>45872</v>
      </c>
      <c r="B1219" t="s">
        <v>4683</v>
      </c>
      <c r="C1219" t="s">
        <v>5216</v>
      </c>
      <c r="D1219">
        <v>54820</v>
      </c>
      <c r="E1219" t="s">
        <v>3154</v>
      </c>
      <c r="F1219">
        <v>294.01</v>
      </c>
      <c r="G1219" t="s">
        <v>4686</v>
      </c>
      <c r="H1219" t="s">
        <v>4687</v>
      </c>
      <c r="I1219">
        <v>26669</v>
      </c>
      <c r="J1219">
        <v>54460</v>
      </c>
      <c r="K1219" t="s">
        <v>3158</v>
      </c>
      <c r="L1219" t="str">
        <f>SUBSTITUTE(K1219,"'","")</f>
        <v>320252160727160074</v>
      </c>
      <c r="M1219">
        <v>54820</v>
      </c>
    </row>
    <row r="1220" spans="1:13" x14ac:dyDescent="0.4">
      <c r="A1220" s="1">
        <v>45872</v>
      </c>
      <c r="B1220" t="s">
        <v>4683</v>
      </c>
      <c r="C1220" t="s">
        <v>5214</v>
      </c>
      <c r="D1220">
        <v>54820</v>
      </c>
      <c r="E1220" t="s">
        <v>3151</v>
      </c>
      <c r="F1220">
        <v>92.59</v>
      </c>
      <c r="G1220" t="s">
        <v>4686</v>
      </c>
      <c r="H1220" t="s">
        <v>4687</v>
      </c>
      <c r="I1220">
        <v>26196</v>
      </c>
      <c r="J1220">
        <v>53514</v>
      </c>
      <c r="K1220" t="s">
        <v>3153</v>
      </c>
      <c r="L1220" t="str">
        <f>SUBSTITUTE(K1220,"'","")</f>
        <v>320252160731444452</v>
      </c>
      <c r="M1220">
        <v>54820</v>
      </c>
    </row>
    <row r="1221" spans="1:13" x14ac:dyDescent="0.4">
      <c r="A1221" s="1">
        <v>45873</v>
      </c>
      <c r="B1221" t="s">
        <v>4683</v>
      </c>
      <c r="C1221" t="s">
        <v>5217</v>
      </c>
      <c r="D1221">
        <v>54820</v>
      </c>
      <c r="E1221" t="s">
        <v>196</v>
      </c>
      <c r="F1221">
        <v>7.99</v>
      </c>
      <c r="G1221" t="s">
        <v>4686</v>
      </c>
      <c r="H1221" t="s">
        <v>4687</v>
      </c>
      <c r="I1221">
        <v>25884</v>
      </c>
      <c r="J1221">
        <v>52890</v>
      </c>
      <c r="K1221" t="s">
        <v>537</v>
      </c>
      <c r="L1221" t="str">
        <f>SUBSTITUTE(K1221,"'","")</f>
        <v>320252160722423115</v>
      </c>
      <c r="M1221">
        <v>54820</v>
      </c>
    </row>
    <row r="1222" spans="1:13" x14ac:dyDescent="0.4">
      <c r="A1222" s="1">
        <v>45873</v>
      </c>
      <c r="B1222" t="s">
        <v>4683</v>
      </c>
      <c r="C1222" t="s">
        <v>5222</v>
      </c>
      <c r="D1222">
        <v>54820</v>
      </c>
      <c r="E1222" t="s">
        <v>2393</v>
      </c>
      <c r="F1222">
        <v>9.9499999999999993</v>
      </c>
      <c r="G1222" t="s">
        <v>4686</v>
      </c>
      <c r="H1222" t="s">
        <v>4687</v>
      </c>
      <c r="I1222">
        <v>27026</v>
      </c>
      <c r="J1222">
        <v>55174</v>
      </c>
      <c r="K1222" t="s">
        <v>3138</v>
      </c>
      <c r="L1222" t="str">
        <f>SUBSTITUTE(K1222,"'","")</f>
        <v>320252160725587605</v>
      </c>
      <c r="M1222">
        <v>54820</v>
      </c>
    </row>
    <row r="1223" spans="1:13" x14ac:dyDescent="0.4">
      <c r="A1223" s="1">
        <v>45873</v>
      </c>
      <c r="B1223" t="s">
        <v>4683</v>
      </c>
      <c r="C1223" t="s">
        <v>6495</v>
      </c>
      <c r="D1223">
        <v>67500</v>
      </c>
      <c r="E1223" t="s">
        <v>525</v>
      </c>
      <c r="F1223">
        <v>114</v>
      </c>
      <c r="G1223" t="s">
        <v>4686</v>
      </c>
      <c r="H1223" t="s">
        <v>4687</v>
      </c>
      <c r="I1223">
        <v>26083</v>
      </c>
      <c r="J1223">
        <v>53288</v>
      </c>
      <c r="K1223" t="s">
        <v>531</v>
      </c>
      <c r="L1223" t="str">
        <f>SUBSTITUTE(K1223,"'","")</f>
        <v>320252160728641858</v>
      </c>
      <c r="M1223">
        <v>67500</v>
      </c>
    </row>
    <row r="1224" spans="1:13" x14ac:dyDescent="0.4">
      <c r="A1224" s="1">
        <v>45873</v>
      </c>
      <c r="B1224" t="s">
        <v>4683</v>
      </c>
      <c r="C1224" t="s">
        <v>6268</v>
      </c>
      <c r="D1224">
        <v>64100</v>
      </c>
      <c r="E1224" t="s">
        <v>153</v>
      </c>
      <c r="F1224">
        <v>25.84</v>
      </c>
      <c r="G1224" t="s">
        <v>4686</v>
      </c>
      <c r="H1224" t="s">
        <v>4687</v>
      </c>
      <c r="I1224">
        <v>25608</v>
      </c>
      <c r="J1224">
        <v>52338</v>
      </c>
      <c r="K1224" t="s">
        <v>536</v>
      </c>
      <c r="L1224" t="str">
        <f>SUBSTITUTE(K1224,"'","")</f>
        <v>320252160735297581</v>
      </c>
      <c r="M1224">
        <v>64100</v>
      </c>
    </row>
    <row r="1225" spans="1:13" x14ac:dyDescent="0.4">
      <c r="A1225" s="1">
        <v>45873</v>
      </c>
      <c r="B1225" t="s">
        <v>4683</v>
      </c>
      <c r="C1225" t="s">
        <v>6272</v>
      </c>
      <c r="D1225">
        <v>64100</v>
      </c>
      <c r="E1225" t="s">
        <v>165</v>
      </c>
      <c r="F1225">
        <v>42.8</v>
      </c>
      <c r="G1225" t="s">
        <v>4686</v>
      </c>
      <c r="H1225" t="s">
        <v>4687</v>
      </c>
      <c r="I1225">
        <v>26235</v>
      </c>
      <c r="J1225">
        <v>53592</v>
      </c>
      <c r="K1225" t="s">
        <v>3128</v>
      </c>
      <c r="L1225" t="str">
        <f>SUBSTITUTE(K1225,"'","")</f>
        <v>320252160739489244</v>
      </c>
      <c r="M1225">
        <v>64100</v>
      </c>
    </row>
    <row r="1226" spans="1:13" x14ac:dyDescent="0.4">
      <c r="A1226" s="1">
        <v>45873</v>
      </c>
      <c r="B1226" t="s">
        <v>4683</v>
      </c>
      <c r="C1226" t="s">
        <v>6270</v>
      </c>
      <c r="D1226">
        <v>64100</v>
      </c>
      <c r="E1226" t="s">
        <v>165</v>
      </c>
      <c r="F1226">
        <v>25.68</v>
      </c>
      <c r="G1226" t="s">
        <v>4686</v>
      </c>
      <c r="H1226" t="s">
        <v>4687</v>
      </c>
      <c r="I1226">
        <v>26233</v>
      </c>
      <c r="J1226">
        <v>53588</v>
      </c>
      <c r="K1226" t="s">
        <v>3124</v>
      </c>
      <c r="L1226" t="str">
        <f>SUBSTITUTE(K1226,"'","")</f>
        <v>320252160739491960</v>
      </c>
      <c r="M1226">
        <v>64100</v>
      </c>
    </row>
    <row r="1227" spans="1:13" x14ac:dyDescent="0.4">
      <c r="A1227" s="1">
        <v>45873</v>
      </c>
      <c r="B1227" t="s">
        <v>4683</v>
      </c>
      <c r="C1227" t="s">
        <v>6271</v>
      </c>
      <c r="D1227">
        <v>64100</v>
      </c>
      <c r="E1227" t="s">
        <v>165</v>
      </c>
      <c r="F1227">
        <v>32.07</v>
      </c>
      <c r="G1227" t="s">
        <v>4686</v>
      </c>
      <c r="H1227" t="s">
        <v>4687</v>
      </c>
      <c r="I1227">
        <v>26234</v>
      </c>
      <c r="J1227">
        <v>53590</v>
      </c>
      <c r="K1227" t="s">
        <v>3126</v>
      </c>
      <c r="L1227" t="str">
        <f>SUBSTITUTE(K1227,"'","")</f>
        <v>320252160739493348</v>
      </c>
      <c r="M1227">
        <v>64100</v>
      </c>
    </row>
    <row r="1228" spans="1:13" x14ac:dyDescent="0.4">
      <c r="A1228" s="1">
        <v>45873</v>
      </c>
      <c r="B1228" t="s">
        <v>4683</v>
      </c>
      <c r="C1228" t="s">
        <v>6273</v>
      </c>
      <c r="D1228">
        <v>64100</v>
      </c>
      <c r="E1228" t="s">
        <v>165</v>
      </c>
      <c r="F1228">
        <v>68.48</v>
      </c>
      <c r="G1228" t="s">
        <v>4686</v>
      </c>
      <c r="H1228" t="s">
        <v>4687</v>
      </c>
      <c r="I1228">
        <v>26236</v>
      </c>
      <c r="J1228">
        <v>53594</v>
      </c>
      <c r="K1228" t="s">
        <v>3130</v>
      </c>
      <c r="L1228" t="str">
        <f>SUBSTITUTE(K1228,"'","")</f>
        <v>320252160739505582</v>
      </c>
      <c r="M1228">
        <v>64100</v>
      </c>
    </row>
    <row r="1229" spans="1:13" x14ac:dyDescent="0.4">
      <c r="A1229" s="1">
        <v>45873</v>
      </c>
      <c r="B1229" t="s">
        <v>4683</v>
      </c>
      <c r="C1229" t="s">
        <v>6275</v>
      </c>
      <c r="D1229">
        <v>64100</v>
      </c>
      <c r="E1229" t="s">
        <v>2390</v>
      </c>
      <c r="F1229">
        <v>21.4</v>
      </c>
      <c r="G1229" t="s">
        <v>4686</v>
      </c>
      <c r="H1229" t="s">
        <v>4687</v>
      </c>
      <c r="I1229">
        <v>26705</v>
      </c>
      <c r="J1229">
        <v>54532</v>
      </c>
      <c r="K1229" t="s">
        <v>3134</v>
      </c>
      <c r="L1229" t="str">
        <f>SUBSTITUTE(K1229,"'","")</f>
        <v>320252160739511434</v>
      </c>
      <c r="M1229">
        <v>64100</v>
      </c>
    </row>
    <row r="1230" spans="1:13" x14ac:dyDescent="0.4">
      <c r="A1230" s="1">
        <v>45873</v>
      </c>
      <c r="B1230" t="s">
        <v>4683</v>
      </c>
      <c r="C1230" t="s">
        <v>6274</v>
      </c>
      <c r="D1230">
        <v>64100</v>
      </c>
      <c r="E1230" t="s">
        <v>165</v>
      </c>
      <c r="F1230">
        <v>289.06</v>
      </c>
      <c r="G1230" t="s">
        <v>4686</v>
      </c>
      <c r="H1230" t="s">
        <v>4687</v>
      </c>
      <c r="I1230">
        <v>26237</v>
      </c>
      <c r="J1230">
        <v>53596</v>
      </c>
      <c r="K1230" t="s">
        <v>3132</v>
      </c>
      <c r="L1230" t="str">
        <f>SUBSTITUTE(K1230,"'","")</f>
        <v>320252160739518975</v>
      </c>
      <c r="M1230">
        <v>64100</v>
      </c>
    </row>
    <row r="1231" spans="1:13" x14ac:dyDescent="0.4">
      <c r="A1231" s="1">
        <v>45873</v>
      </c>
      <c r="B1231" t="s">
        <v>4683</v>
      </c>
      <c r="C1231" t="s">
        <v>5220</v>
      </c>
      <c r="D1231">
        <v>54820</v>
      </c>
      <c r="E1231" t="s">
        <v>3073</v>
      </c>
      <c r="F1231">
        <v>118.57</v>
      </c>
      <c r="G1231" t="s">
        <v>4686</v>
      </c>
      <c r="H1231" t="s">
        <v>4687</v>
      </c>
      <c r="I1231">
        <v>26515</v>
      </c>
      <c r="J1231">
        <v>54152</v>
      </c>
      <c r="K1231" t="s">
        <v>3136</v>
      </c>
      <c r="L1231" t="str">
        <f>SUBSTITUTE(K1231,"'","")</f>
        <v>320252160743221701</v>
      </c>
      <c r="M1231">
        <v>54820</v>
      </c>
    </row>
    <row r="1232" spans="1:13" x14ac:dyDescent="0.4">
      <c r="A1232" s="1">
        <v>45873</v>
      </c>
      <c r="B1232" t="s">
        <v>4683</v>
      </c>
      <c r="C1232" t="s">
        <v>5221</v>
      </c>
      <c r="D1232">
        <v>54820</v>
      </c>
      <c r="E1232" t="s">
        <v>2934</v>
      </c>
      <c r="F1232">
        <v>12.79</v>
      </c>
      <c r="G1232" t="s">
        <v>4686</v>
      </c>
      <c r="H1232" t="s">
        <v>4687</v>
      </c>
      <c r="I1232">
        <v>26571</v>
      </c>
      <c r="J1232">
        <v>54264</v>
      </c>
      <c r="K1232" t="s">
        <v>3143</v>
      </c>
      <c r="L1232" t="str">
        <f>SUBSTITUTE(K1232,"'","")</f>
        <v>320252170755016808</v>
      </c>
      <c r="M1232">
        <v>54820</v>
      </c>
    </row>
    <row r="1233" spans="1:13" x14ac:dyDescent="0.4">
      <c r="A1233" s="1">
        <v>45873</v>
      </c>
      <c r="B1233" t="s">
        <v>4683</v>
      </c>
      <c r="C1233" t="s">
        <v>5218</v>
      </c>
      <c r="D1233">
        <v>54820</v>
      </c>
      <c r="E1233" t="s">
        <v>2240</v>
      </c>
      <c r="F1233">
        <v>10.78</v>
      </c>
      <c r="G1233" t="s">
        <v>4686</v>
      </c>
      <c r="H1233" t="s">
        <v>4687</v>
      </c>
      <c r="I1233">
        <v>26143</v>
      </c>
      <c r="J1233">
        <v>53408</v>
      </c>
      <c r="K1233" t="s">
        <v>3147</v>
      </c>
      <c r="L1233" t="str">
        <f>SUBSTITUTE(K1233,"'","")</f>
        <v>320252170756211085</v>
      </c>
      <c r="M1233">
        <v>54820</v>
      </c>
    </row>
    <row r="1234" spans="1:13" x14ac:dyDescent="0.4">
      <c r="A1234" s="1">
        <v>45873</v>
      </c>
      <c r="B1234" t="s">
        <v>4683</v>
      </c>
      <c r="C1234" t="s">
        <v>6269</v>
      </c>
      <c r="D1234">
        <v>64100</v>
      </c>
      <c r="E1234" t="s">
        <v>91</v>
      </c>
      <c r="F1234">
        <v>199</v>
      </c>
      <c r="G1234" t="s">
        <v>4686</v>
      </c>
      <c r="H1234" t="s">
        <v>4687</v>
      </c>
      <c r="I1234">
        <v>26086</v>
      </c>
      <c r="J1234">
        <v>53294</v>
      </c>
      <c r="K1234" t="s">
        <v>534</v>
      </c>
      <c r="L1234" t="str">
        <f>SUBSTITUTE(K1234,"'","")</f>
        <v>320252170760370780</v>
      </c>
      <c r="M1234">
        <v>64100</v>
      </c>
    </row>
    <row r="1235" spans="1:13" x14ac:dyDescent="0.4">
      <c r="A1235" s="1">
        <v>45873</v>
      </c>
      <c r="B1235" t="s">
        <v>4683</v>
      </c>
      <c r="C1235" t="s">
        <v>6435</v>
      </c>
      <c r="D1235">
        <v>65700</v>
      </c>
      <c r="E1235" t="s">
        <v>2340</v>
      </c>
      <c r="F1235">
        <v>16.96</v>
      </c>
      <c r="G1235" t="s">
        <v>4686</v>
      </c>
      <c r="H1235" t="s">
        <v>4687</v>
      </c>
      <c r="I1235">
        <v>26422</v>
      </c>
      <c r="J1235">
        <v>53966</v>
      </c>
      <c r="K1235" t="s">
        <v>3145</v>
      </c>
      <c r="L1235" t="str">
        <f>SUBSTITUTE(K1235,"'","")</f>
        <v>320252170763332463</v>
      </c>
      <c r="M1235">
        <v>65700</v>
      </c>
    </row>
    <row r="1236" spans="1:13" x14ac:dyDescent="0.4">
      <c r="A1236" s="1">
        <v>45873</v>
      </c>
      <c r="B1236" t="s">
        <v>4683</v>
      </c>
      <c r="C1236" t="s">
        <v>5219</v>
      </c>
      <c r="D1236">
        <v>54820</v>
      </c>
      <c r="E1236" t="s">
        <v>3139</v>
      </c>
      <c r="F1236">
        <v>43</v>
      </c>
      <c r="G1236" t="s">
        <v>4686</v>
      </c>
      <c r="H1236" t="s">
        <v>4687</v>
      </c>
      <c r="I1236">
        <v>26313</v>
      </c>
      <c r="J1236">
        <v>53748</v>
      </c>
      <c r="K1236" t="s">
        <v>3141</v>
      </c>
      <c r="L1236" t="str">
        <f>SUBSTITUTE(K1236,"'","")</f>
        <v>320252170766337347</v>
      </c>
      <c r="M1236">
        <v>54820</v>
      </c>
    </row>
    <row r="1237" spans="1:13" x14ac:dyDescent="0.4">
      <c r="A1237" s="1">
        <v>45874</v>
      </c>
      <c r="B1237" t="s">
        <v>4683</v>
      </c>
      <c r="C1237" t="s">
        <v>5224</v>
      </c>
      <c r="D1237">
        <v>54820</v>
      </c>
      <c r="E1237" t="s">
        <v>2677</v>
      </c>
      <c r="F1237">
        <v>9.98</v>
      </c>
      <c r="G1237" t="s">
        <v>4686</v>
      </c>
      <c r="H1237" t="s">
        <v>4687</v>
      </c>
      <c r="I1237">
        <v>27027</v>
      </c>
      <c r="J1237">
        <v>55176</v>
      </c>
      <c r="K1237" t="s">
        <v>3117</v>
      </c>
      <c r="L1237" t="str">
        <f>SUBSTITUTE(K1237,"'","")</f>
        <v>320252170746516638</v>
      </c>
      <c r="M1237">
        <v>54820</v>
      </c>
    </row>
    <row r="1238" spans="1:13" x14ac:dyDescent="0.4">
      <c r="A1238" s="1">
        <v>45874</v>
      </c>
      <c r="B1238" t="s">
        <v>4683</v>
      </c>
      <c r="C1238" t="s">
        <v>6496</v>
      </c>
      <c r="D1238">
        <v>67500</v>
      </c>
      <c r="E1238" t="s">
        <v>106</v>
      </c>
      <c r="F1238">
        <v>85</v>
      </c>
      <c r="G1238" t="s">
        <v>4686</v>
      </c>
      <c r="H1238" t="s">
        <v>4687</v>
      </c>
      <c r="I1238">
        <v>26373</v>
      </c>
      <c r="J1238">
        <v>53868</v>
      </c>
      <c r="K1238" t="s">
        <v>3122</v>
      </c>
      <c r="L1238" t="str">
        <f>SUBSTITUTE(K1238,"'","")</f>
        <v>320252170746532032</v>
      </c>
      <c r="M1238">
        <v>67500</v>
      </c>
    </row>
    <row r="1239" spans="1:13" x14ac:dyDescent="0.4">
      <c r="A1239" s="1">
        <v>45874</v>
      </c>
      <c r="B1239" t="s">
        <v>4683</v>
      </c>
      <c r="C1239" t="s">
        <v>6276</v>
      </c>
      <c r="D1239">
        <v>64100</v>
      </c>
      <c r="E1239" t="s">
        <v>517</v>
      </c>
      <c r="F1239">
        <v>4</v>
      </c>
      <c r="G1239" t="s">
        <v>4686</v>
      </c>
      <c r="H1239" t="s">
        <v>4687</v>
      </c>
      <c r="I1239">
        <v>25660</v>
      </c>
      <c r="J1239">
        <v>52442</v>
      </c>
      <c r="K1239" t="s">
        <v>520</v>
      </c>
      <c r="L1239" t="str">
        <f>SUBSTITUTE(K1239,"'","")</f>
        <v>320252170747022219</v>
      </c>
      <c r="M1239">
        <v>64100</v>
      </c>
    </row>
    <row r="1240" spans="1:13" x14ac:dyDescent="0.4">
      <c r="A1240" s="1">
        <v>45874</v>
      </c>
      <c r="B1240" t="s">
        <v>4683</v>
      </c>
      <c r="C1240" t="s">
        <v>6028</v>
      </c>
      <c r="D1240">
        <v>61215</v>
      </c>
      <c r="E1240" t="s">
        <v>521</v>
      </c>
      <c r="F1240">
        <v>550</v>
      </c>
      <c r="G1240" t="s">
        <v>4686</v>
      </c>
      <c r="H1240" t="s">
        <v>4687</v>
      </c>
      <c r="I1240">
        <v>25985</v>
      </c>
      <c r="J1240">
        <v>53092</v>
      </c>
      <c r="K1240" t="s">
        <v>524</v>
      </c>
      <c r="L1240" t="str">
        <f>SUBSTITUTE(K1240,"'","")</f>
        <v>320252180783936734</v>
      </c>
      <c r="M1240">
        <v>61215</v>
      </c>
    </row>
    <row r="1241" spans="1:13" x14ac:dyDescent="0.4">
      <c r="A1241" s="1">
        <v>45874</v>
      </c>
      <c r="B1241" t="s">
        <v>4683</v>
      </c>
      <c r="C1241" t="s">
        <v>5922</v>
      </c>
      <c r="D1241">
        <v>61131</v>
      </c>
      <c r="E1241" t="s">
        <v>297</v>
      </c>
      <c r="F1241">
        <v>27.33</v>
      </c>
      <c r="G1241" t="s">
        <v>4686</v>
      </c>
      <c r="H1241" t="s">
        <v>4687</v>
      </c>
      <c r="I1241">
        <v>25745</v>
      </c>
      <c r="J1241">
        <v>52612</v>
      </c>
      <c r="K1241" t="s">
        <v>516</v>
      </c>
      <c r="L1241" t="str">
        <f>SUBSTITUTE(K1241,"'","")</f>
        <v>320252180787299601</v>
      </c>
      <c r="M1241">
        <v>61131</v>
      </c>
    </row>
    <row r="1242" spans="1:13" x14ac:dyDescent="0.4">
      <c r="A1242" s="1">
        <v>45874</v>
      </c>
      <c r="B1242" t="s">
        <v>4683</v>
      </c>
      <c r="C1242" t="s">
        <v>5223</v>
      </c>
      <c r="D1242">
        <v>54820</v>
      </c>
      <c r="E1242" t="s">
        <v>3118</v>
      </c>
      <c r="F1242">
        <v>133.97999999999999</v>
      </c>
      <c r="G1242" t="s">
        <v>4686</v>
      </c>
      <c r="H1242" t="s">
        <v>4687</v>
      </c>
      <c r="I1242">
        <v>26767</v>
      </c>
      <c r="J1242">
        <v>54656</v>
      </c>
      <c r="K1242" t="s">
        <v>3120</v>
      </c>
      <c r="L1242" t="str">
        <f>SUBSTITUTE(K1242,"'","")</f>
        <v>320252180788755245</v>
      </c>
      <c r="M1242">
        <v>54820</v>
      </c>
    </row>
    <row r="1243" spans="1:13" x14ac:dyDescent="0.4">
      <c r="A1243" s="1">
        <v>45875</v>
      </c>
      <c r="B1243" t="s">
        <v>4683</v>
      </c>
      <c r="C1243" t="s">
        <v>5226</v>
      </c>
      <c r="D1243">
        <v>54820</v>
      </c>
      <c r="E1243" t="s">
        <v>3098</v>
      </c>
      <c r="F1243">
        <v>5.26</v>
      </c>
      <c r="G1243" t="s">
        <v>4686</v>
      </c>
      <c r="H1243" t="s">
        <v>4687</v>
      </c>
      <c r="I1243">
        <v>26314</v>
      </c>
      <c r="J1243">
        <v>53750</v>
      </c>
      <c r="K1243" t="s">
        <v>3100</v>
      </c>
      <c r="L1243" t="str">
        <f>SUBSTITUTE(K1243,"'","")</f>
        <v>320252180777612530</v>
      </c>
      <c r="M1243">
        <v>54820</v>
      </c>
    </row>
    <row r="1244" spans="1:13" x14ac:dyDescent="0.4">
      <c r="A1244" s="1">
        <v>45875</v>
      </c>
      <c r="B1244" t="s">
        <v>4683</v>
      </c>
      <c r="C1244" t="s">
        <v>6277</v>
      </c>
      <c r="D1244">
        <v>64100</v>
      </c>
      <c r="E1244" t="s">
        <v>184</v>
      </c>
      <c r="F1244">
        <v>25.68</v>
      </c>
      <c r="G1244" t="s">
        <v>4686</v>
      </c>
      <c r="H1244" t="s">
        <v>4687</v>
      </c>
      <c r="I1244">
        <v>25920</v>
      </c>
      <c r="J1244">
        <v>52962</v>
      </c>
      <c r="K1244" t="s">
        <v>508</v>
      </c>
      <c r="L1244" t="str">
        <f>SUBSTITUTE(K1244,"'","")</f>
        <v>320252180778725336</v>
      </c>
      <c r="M1244">
        <v>64100</v>
      </c>
    </row>
    <row r="1245" spans="1:13" x14ac:dyDescent="0.4">
      <c r="A1245" s="1">
        <v>45875</v>
      </c>
      <c r="B1245" t="s">
        <v>4683</v>
      </c>
      <c r="C1245" t="s">
        <v>5231</v>
      </c>
      <c r="D1245">
        <v>54820</v>
      </c>
      <c r="E1245" t="s">
        <v>3112</v>
      </c>
      <c r="F1245">
        <v>96</v>
      </c>
      <c r="G1245" t="s">
        <v>4686</v>
      </c>
      <c r="H1245" t="s">
        <v>4687</v>
      </c>
      <c r="I1245">
        <v>26720</v>
      </c>
      <c r="J1245">
        <v>54562</v>
      </c>
      <c r="K1245" t="s">
        <v>3115</v>
      </c>
      <c r="L1245" t="str">
        <f>SUBSTITUTE(K1245,"'","")</f>
        <v>320252180780852173</v>
      </c>
      <c r="M1245">
        <v>54820</v>
      </c>
    </row>
    <row r="1246" spans="1:13" x14ac:dyDescent="0.4">
      <c r="A1246" s="1">
        <v>45875</v>
      </c>
      <c r="B1246" t="s">
        <v>4683</v>
      </c>
      <c r="C1246" t="s">
        <v>5795</v>
      </c>
      <c r="D1246">
        <v>61130</v>
      </c>
      <c r="E1246" t="s">
        <v>478</v>
      </c>
      <c r="F1246">
        <v>51.27</v>
      </c>
      <c r="G1246" t="s">
        <v>4686</v>
      </c>
      <c r="H1246" t="s">
        <v>4687</v>
      </c>
      <c r="I1246">
        <v>25529</v>
      </c>
      <c r="J1246">
        <v>52180</v>
      </c>
      <c r="K1246" t="s">
        <v>512</v>
      </c>
      <c r="L1246" t="str">
        <f>SUBSTITUTE(K1246,"'","")</f>
        <v>320252180780997409</v>
      </c>
      <c r="M1246">
        <v>61130</v>
      </c>
    </row>
    <row r="1247" spans="1:13" x14ac:dyDescent="0.4">
      <c r="A1247" s="1">
        <v>45875</v>
      </c>
      <c r="B1247" t="s">
        <v>4683</v>
      </c>
      <c r="C1247" t="s">
        <v>5796</v>
      </c>
      <c r="D1247">
        <v>61130</v>
      </c>
      <c r="E1247" t="s">
        <v>478</v>
      </c>
      <c r="F1247">
        <v>69.88</v>
      </c>
      <c r="G1247" t="s">
        <v>4686</v>
      </c>
      <c r="H1247" t="s">
        <v>4687</v>
      </c>
      <c r="I1247">
        <v>25530</v>
      </c>
      <c r="J1247">
        <v>52182</v>
      </c>
      <c r="K1247" t="s">
        <v>514</v>
      </c>
      <c r="L1247" t="str">
        <f>SUBSTITUTE(K1247,"'","")</f>
        <v>320252180781107569</v>
      </c>
      <c r="M1247">
        <v>61130</v>
      </c>
    </row>
    <row r="1248" spans="1:13" x14ac:dyDescent="0.4">
      <c r="A1248" s="1">
        <v>45875</v>
      </c>
      <c r="B1248" t="s">
        <v>4683</v>
      </c>
      <c r="C1248" t="s">
        <v>5794</v>
      </c>
      <c r="D1248">
        <v>61130</v>
      </c>
      <c r="E1248" t="s">
        <v>478</v>
      </c>
      <c r="F1248">
        <v>44.23</v>
      </c>
      <c r="G1248" t="s">
        <v>4686</v>
      </c>
      <c r="H1248" t="s">
        <v>4687</v>
      </c>
      <c r="I1248">
        <v>25528</v>
      </c>
      <c r="J1248">
        <v>52178</v>
      </c>
      <c r="K1248" t="s">
        <v>510</v>
      </c>
      <c r="L1248" t="str">
        <f>SUBSTITUTE(K1248,"'","")</f>
        <v>320252180782216232</v>
      </c>
      <c r="M1248">
        <v>61130</v>
      </c>
    </row>
    <row r="1249" spans="1:13" x14ac:dyDescent="0.4">
      <c r="A1249" s="1">
        <v>45875</v>
      </c>
      <c r="B1249" t="s">
        <v>4683</v>
      </c>
      <c r="C1249" t="s">
        <v>6436</v>
      </c>
      <c r="D1249">
        <v>65700</v>
      </c>
      <c r="E1249" t="s">
        <v>2354</v>
      </c>
      <c r="F1249">
        <v>115</v>
      </c>
      <c r="G1249" t="s">
        <v>4686</v>
      </c>
      <c r="H1249" t="s">
        <v>4687</v>
      </c>
      <c r="I1249">
        <v>26292</v>
      </c>
      <c r="J1249">
        <v>53706</v>
      </c>
      <c r="K1249" t="s">
        <v>3111</v>
      </c>
      <c r="L1249" t="str">
        <f>SUBSTITUTE(K1249,"'","")</f>
        <v>320252180782297720</v>
      </c>
      <c r="M1249">
        <v>65700</v>
      </c>
    </row>
    <row r="1250" spans="1:13" x14ac:dyDescent="0.4">
      <c r="A1250" s="1">
        <v>45875</v>
      </c>
      <c r="B1250" t="s">
        <v>4683</v>
      </c>
      <c r="C1250" t="s">
        <v>5227</v>
      </c>
      <c r="D1250">
        <v>54820</v>
      </c>
      <c r="E1250" t="s">
        <v>3101</v>
      </c>
      <c r="F1250">
        <v>2.83</v>
      </c>
      <c r="G1250" t="s">
        <v>4686</v>
      </c>
      <c r="H1250" t="s">
        <v>4687</v>
      </c>
      <c r="I1250">
        <v>26315</v>
      </c>
      <c r="J1250">
        <v>53752</v>
      </c>
      <c r="K1250" t="s">
        <v>3103</v>
      </c>
      <c r="L1250" t="str">
        <f>SUBSTITUTE(K1250,"'","")</f>
        <v>320252180782616458</v>
      </c>
      <c r="M1250">
        <v>54820</v>
      </c>
    </row>
    <row r="1251" spans="1:13" x14ac:dyDescent="0.4">
      <c r="A1251" s="1">
        <v>45875</v>
      </c>
      <c r="B1251" t="s">
        <v>4683</v>
      </c>
      <c r="C1251" t="s">
        <v>5225</v>
      </c>
      <c r="D1251">
        <v>54820</v>
      </c>
      <c r="E1251" t="s">
        <v>3020</v>
      </c>
      <c r="F1251">
        <v>9.42</v>
      </c>
      <c r="G1251" t="s">
        <v>4686</v>
      </c>
      <c r="H1251" t="s">
        <v>4687</v>
      </c>
      <c r="I1251">
        <v>26271</v>
      </c>
      <c r="J1251">
        <v>53664</v>
      </c>
      <c r="K1251" t="s">
        <v>3107</v>
      </c>
      <c r="L1251" t="str">
        <f>SUBSTITUTE(K1251,"'","")</f>
        <v>320252180784139052</v>
      </c>
      <c r="M1251">
        <v>54820</v>
      </c>
    </row>
    <row r="1252" spans="1:13" x14ac:dyDescent="0.4">
      <c r="A1252" s="1">
        <v>45875</v>
      </c>
      <c r="B1252" t="s">
        <v>4683</v>
      </c>
      <c r="C1252" t="s">
        <v>5232</v>
      </c>
      <c r="D1252">
        <v>54820</v>
      </c>
      <c r="E1252" t="s">
        <v>2690</v>
      </c>
      <c r="F1252">
        <v>100</v>
      </c>
      <c r="G1252" t="s">
        <v>4686</v>
      </c>
      <c r="H1252" t="s">
        <v>4687</v>
      </c>
      <c r="I1252">
        <v>27028</v>
      </c>
      <c r="J1252">
        <v>55178</v>
      </c>
      <c r="K1252" t="s">
        <v>3109</v>
      </c>
      <c r="L1252" t="str">
        <f>SUBSTITUTE(K1252,"'","")</f>
        <v>320252190803802872</v>
      </c>
      <c r="M1252">
        <v>54820</v>
      </c>
    </row>
    <row r="1253" spans="1:13" x14ac:dyDescent="0.4">
      <c r="A1253" s="1">
        <v>45875</v>
      </c>
      <c r="B1253" t="s">
        <v>4683</v>
      </c>
      <c r="C1253" t="s">
        <v>5230</v>
      </c>
      <c r="D1253">
        <v>54820</v>
      </c>
      <c r="E1253" t="s">
        <v>2934</v>
      </c>
      <c r="F1253">
        <v>12.79</v>
      </c>
      <c r="G1253" t="s">
        <v>4686</v>
      </c>
      <c r="H1253" t="s">
        <v>4687</v>
      </c>
      <c r="I1253">
        <v>26572</v>
      </c>
      <c r="J1253">
        <v>54266</v>
      </c>
      <c r="K1253" t="s">
        <v>3105</v>
      </c>
      <c r="L1253" t="str">
        <f>SUBSTITUTE(K1253,"'","")</f>
        <v>320252190805451440</v>
      </c>
      <c r="M1253">
        <v>54820</v>
      </c>
    </row>
    <row r="1254" spans="1:13" x14ac:dyDescent="0.4">
      <c r="A1254" s="1">
        <v>45875</v>
      </c>
      <c r="B1254" t="s">
        <v>4683</v>
      </c>
      <c r="C1254" t="s">
        <v>5228</v>
      </c>
      <c r="D1254">
        <v>54820</v>
      </c>
      <c r="E1254" t="s">
        <v>977</v>
      </c>
      <c r="F1254">
        <v>10</v>
      </c>
      <c r="G1254" t="s">
        <v>4686</v>
      </c>
      <c r="H1254" t="s">
        <v>4687</v>
      </c>
      <c r="I1254">
        <v>26491</v>
      </c>
      <c r="J1254">
        <v>54104</v>
      </c>
      <c r="K1254" t="s">
        <v>3095</v>
      </c>
      <c r="L1254" t="str">
        <f>SUBSTITUTE(K1254,"'","")</f>
        <v>320252190816852290</v>
      </c>
      <c r="M1254">
        <v>54820</v>
      </c>
    </row>
    <row r="1255" spans="1:13" x14ac:dyDescent="0.4">
      <c r="A1255" s="1">
        <v>45875</v>
      </c>
      <c r="B1255" t="s">
        <v>4683</v>
      </c>
      <c r="C1255" t="s">
        <v>5229</v>
      </c>
      <c r="D1255">
        <v>54820</v>
      </c>
      <c r="E1255" t="s">
        <v>977</v>
      </c>
      <c r="F1255">
        <v>20</v>
      </c>
      <c r="G1255" t="s">
        <v>4686</v>
      </c>
      <c r="H1255" t="s">
        <v>4687</v>
      </c>
      <c r="I1255">
        <v>26492</v>
      </c>
      <c r="J1255">
        <v>54106</v>
      </c>
      <c r="K1255" t="s">
        <v>3097</v>
      </c>
      <c r="L1255" t="str">
        <f>SUBSTITUTE(K1255,"'","")</f>
        <v>320252190816855590</v>
      </c>
      <c r="M1255">
        <v>54820</v>
      </c>
    </row>
    <row r="1256" spans="1:13" x14ac:dyDescent="0.4">
      <c r="A1256" s="1">
        <v>45876</v>
      </c>
      <c r="B1256" t="s">
        <v>4683</v>
      </c>
      <c r="C1256" t="s">
        <v>6278</v>
      </c>
      <c r="D1256">
        <v>64100</v>
      </c>
      <c r="E1256" t="s">
        <v>165</v>
      </c>
      <c r="F1256">
        <v>21.38</v>
      </c>
      <c r="G1256" t="s">
        <v>4686</v>
      </c>
      <c r="H1256" t="s">
        <v>4687</v>
      </c>
      <c r="I1256">
        <v>25609</v>
      </c>
      <c r="J1256">
        <v>52340</v>
      </c>
      <c r="K1256" t="s">
        <v>506</v>
      </c>
      <c r="L1256" t="str">
        <f>SUBSTITUTE(K1256,"'","")</f>
        <v>320252190815713111</v>
      </c>
      <c r="M1256">
        <v>64100</v>
      </c>
    </row>
    <row r="1257" spans="1:13" x14ac:dyDescent="0.4">
      <c r="A1257" s="1">
        <v>45876</v>
      </c>
      <c r="B1257" t="s">
        <v>4683</v>
      </c>
      <c r="C1257" t="s">
        <v>5235</v>
      </c>
      <c r="D1257">
        <v>54820</v>
      </c>
      <c r="E1257" t="s">
        <v>3090</v>
      </c>
      <c r="F1257">
        <v>7.08</v>
      </c>
      <c r="G1257" t="s">
        <v>4686</v>
      </c>
      <c r="H1257" t="s">
        <v>4687</v>
      </c>
      <c r="I1257">
        <v>27029</v>
      </c>
      <c r="J1257">
        <v>55180</v>
      </c>
      <c r="K1257" t="s">
        <v>3093</v>
      </c>
      <c r="L1257" t="str">
        <f>SUBSTITUTE(K1257,"'","")</f>
        <v>320252190820377283</v>
      </c>
      <c r="M1257">
        <v>54820</v>
      </c>
    </row>
    <row r="1258" spans="1:13" x14ac:dyDescent="0.4">
      <c r="A1258" s="1">
        <v>45876</v>
      </c>
      <c r="B1258" t="s">
        <v>4683</v>
      </c>
      <c r="C1258" t="s">
        <v>6279</v>
      </c>
      <c r="D1258">
        <v>64100</v>
      </c>
      <c r="E1258" t="s">
        <v>2311</v>
      </c>
      <c r="F1258">
        <v>44.86</v>
      </c>
      <c r="G1258" t="s">
        <v>4686</v>
      </c>
      <c r="H1258" t="s">
        <v>4687</v>
      </c>
      <c r="I1258">
        <v>26445</v>
      </c>
      <c r="J1258">
        <v>54012</v>
      </c>
      <c r="K1258" t="s">
        <v>3089</v>
      </c>
      <c r="L1258" t="str">
        <f>SUBSTITUTE(K1258,"'","")</f>
        <v>320252200845323429</v>
      </c>
      <c r="M1258">
        <v>64100</v>
      </c>
    </row>
    <row r="1259" spans="1:13" x14ac:dyDescent="0.4">
      <c r="A1259" s="1">
        <v>45876</v>
      </c>
      <c r="B1259" t="s">
        <v>4683</v>
      </c>
      <c r="C1259" t="s">
        <v>5233</v>
      </c>
      <c r="D1259">
        <v>54820</v>
      </c>
      <c r="E1259" t="s">
        <v>977</v>
      </c>
      <c r="F1259">
        <v>20</v>
      </c>
      <c r="G1259" t="s">
        <v>4686</v>
      </c>
      <c r="H1259" t="s">
        <v>4687</v>
      </c>
      <c r="I1259">
        <v>26493</v>
      </c>
      <c r="J1259">
        <v>54108</v>
      </c>
      <c r="K1259" t="s">
        <v>3085</v>
      </c>
      <c r="L1259" t="str">
        <f>SUBSTITUTE(K1259,"'","")</f>
        <v>320252200851532899</v>
      </c>
      <c r="M1259">
        <v>54820</v>
      </c>
    </row>
    <row r="1260" spans="1:13" x14ac:dyDescent="0.4">
      <c r="A1260" s="1">
        <v>45876</v>
      </c>
      <c r="B1260" t="s">
        <v>4683</v>
      </c>
      <c r="C1260" t="s">
        <v>5234</v>
      </c>
      <c r="D1260">
        <v>54820</v>
      </c>
      <c r="E1260" t="s">
        <v>977</v>
      </c>
      <c r="F1260">
        <v>40</v>
      </c>
      <c r="G1260" t="s">
        <v>4686</v>
      </c>
      <c r="H1260" t="s">
        <v>4687</v>
      </c>
      <c r="I1260">
        <v>26494</v>
      </c>
      <c r="J1260">
        <v>54110</v>
      </c>
      <c r="K1260" t="s">
        <v>3087</v>
      </c>
      <c r="L1260" t="str">
        <f>SUBSTITUTE(K1260,"'","")</f>
        <v>320252200851533618</v>
      </c>
      <c r="M1260">
        <v>54820</v>
      </c>
    </row>
    <row r="1261" spans="1:13" x14ac:dyDescent="0.4">
      <c r="A1261" s="1">
        <v>45877</v>
      </c>
      <c r="B1261" t="s">
        <v>4683</v>
      </c>
      <c r="C1261" t="s">
        <v>6530</v>
      </c>
      <c r="D1261">
        <v>80100</v>
      </c>
      <c r="E1261" t="s">
        <v>2303</v>
      </c>
      <c r="F1261">
        <v>646.30999999999995</v>
      </c>
      <c r="G1261" t="s">
        <v>4686</v>
      </c>
      <c r="H1261" t="s">
        <v>4687</v>
      </c>
      <c r="I1261">
        <v>26349</v>
      </c>
      <c r="J1261">
        <v>53820</v>
      </c>
      <c r="K1261" t="s">
        <v>3083</v>
      </c>
      <c r="L1261" t="str">
        <f>SUBSTITUTE(K1261,"'","")</f>
        <v>150809060001147391</v>
      </c>
      <c r="M1261">
        <v>80100</v>
      </c>
    </row>
    <row r="1262" spans="1:13" x14ac:dyDescent="0.4">
      <c r="A1262" s="1">
        <v>45877</v>
      </c>
      <c r="B1262" t="s">
        <v>4683</v>
      </c>
      <c r="C1262" t="s">
        <v>5238</v>
      </c>
      <c r="D1262">
        <v>54820</v>
      </c>
      <c r="E1262" t="s">
        <v>3080</v>
      </c>
      <c r="F1262">
        <v>8.89</v>
      </c>
      <c r="G1262" t="s">
        <v>4686</v>
      </c>
      <c r="H1262" t="s">
        <v>4687</v>
      </c>
      <c r="I1262">
        <v>27030</v>
      </c>
      <c r="J1262">
        <v>55182</v>
      </c>
      <c r="K1262" t="s">
        <v>3082</v>
      </c>
      <c r="L1262" t="str">
        <f>SUBSTITUTE(K1262,"'","")</f>
        <v>320252200830181513</v>
      </c>
      <c r="M1262">
        <v>54820</v>
      </c>
    </row>
    <row r="1263" spans="1:13" x14ac:dyDescent="0.4">
      <c r="A1263" s="1">
        <v>45877</v>
      </c>
      <c r="B1263" t="s">
        <v>4683</v>
      </c>
      <c r="C1263" t="s">
        <v>5797</v>
      </c>
      <c r="D1263">
        <v>61130</v>
      </c>
      <c r="E1263" t="s">
        <v>478</v>
      </c>
      <c r="F1263">
        <v>33.01</v>
      </c>
      <c r="G1263" t="s">
        <v>4686</v>
      </c>
      <c r="H1263" t="s">
        <v>4687</v>
      </c>
      <c r="I1263">
        <v>25531</v>
      </c>
      <c r="J1263">
        <v>52184</v>
      </c>
      <c r="K1263" t="s">
        <v>502</v>
      </c>
      <c r="L1263" t="str">
        <f>SUBSTITUTE(K1263,"'","")</f>
        <v>320252200832695296</v>
      </c>
      <c r="M1263">
        <v>61130</v>
      </c>
    </row>
    <row r="1264" spans="1:13" x14ac:dyDescent="0.4">
      <c r="A1264" s="1">
        <v>45877</v>
      </c>
      <c r="B1264" t="s">
        <v>4683</v>
      </c>
      <c r="C1264" t="s">
        <v>5798</v>
      </c>
      <c r="D1264">
        <v>61130</v>
      </c>
      <c r="E1264" t="s">
        <v>478</v>
      </c>
      <c r="F1264">
        <v>37.840000000000003</v>
      </c>
      <c r="G1264" t="s">
        <v>4686</v>
      </c>
      <c r="H1264" t="s">
        <v>4687</v>
      </c>
      <c r="I1264">
        <v>25532</v>
      </c>
      <c r="J1264">
        <v>52186</v>
      </c>
      <c r="K1264" t="s">
        <v>504</v>
      </c>
      <c r="L1264" t="str">
        <f>SUBSTITUTE(K1264,"'","")</f>
        <v>320252200833151636</v>
      </c>
      <c r="M1264">
        <v>61130</v>
      </c>
    </row>
    <row r="1265" spans="1:13" x14ac:dyDescent="0.4">
      <c r="A1265" s="1">
        <v>45877</v>
      </c>
      <c r="B1265" t="s">
        <v>4683</v>
      </c>
      <c r="C1265" t="s">
        <v>5236</v>
      </c>
      <c r="D1265">
        <v>54820</v>
      </c>
      <c r="E1265" t="s">
        <v>977</v>
      </c>
      <c r="F1265">
        <v>10</v>
      </c>
      <c r="G1265" t="s">
        <v>4686</v>
      </c>
      <c r="H1265" t="s">
        <v>4687</v>
      </c>
      <c r="I1265">
        <v>26495</v>
      </c>
      <c r="J1265">
        <v>54112</v>
      </c>
      <c r="K1265" t="s">
        <v>3079</v>
      </c>
      <c r="L1265" t="str">
        <f>SUBSTITUTE(K1265,"'","")</f>
        <v>320252200854408614</v>
      </c>
      <c r="M1265">
        <v>54820</v>
      </c>
    </row>
    <row r="1266" spans="1:13" x14ac:dyDescent="0.4">
      <c r="A1266" s="1">
        <v>45877</v>
      </c>
      <c r="B1266" t="s">
        <v>4683</v>
      </c>
      <c r="C1266" t="s">
        <v>6280</v>
      </c>
      <c r="D1266">
        <v>64100</v>
      </c>
      <c r="E1266" t="s">
        <v>169</v>
      </c>
      <c r="F1266">
        <v>21.39</v>
      </c>
      <c r="G1266" t="s">
        <v>4686</v>
      </c>
      <c r="H1266" t="s">
        <v>4687</v>
      </c>
      <c r="I1266">
        <v>25807</v>
      </c>
      <c r="J1266">
        <v>52736</v>
      </c>
      <c r="K1266" t="s">
        <v>487</v>
      </c>
      <c r="L1266" t="str">
        <f>SUBSTITUTE(K1266,"'","")</f>
        <v>320252210863192003</v>
      </c>
      <c r="M1266">
        <v>64100</v>
      </c>
    </row>
    <row r="1267" spans="1:13" x14ac:dyDescent="0.4">
      <c r="A1267" s="1">
        <v>45877</v>
      </c>
      <c r="B1267" t="s">
        <v>4683</v>
      </c>
      <c r="C1267" t="s">
        <v>6497</v>
      </c>
      <c r="D1267">
        <v>67500</v>
      </c>
      <c r="E1267" t="s">
        <v>493</v>
      </c>
      <c r="F1267">
        <v>24</v>
      </c>
      <c r="G1267" t="s">
        <v>4686</v>
      </c>
      <c r="H1267" t="s">
        <v>4687</v>
      </c>
      <c r="I1267">
        <v>26079</v>
      </c>
      <c r="J1267">
        <v>53280</v>
      </c>
      <c r="K1267" t="s">
        <v>499</v>
      </c>
      <c r="L1267" t="str">
        <f>SUBSTITUTE(K1267,"'","")</f>
        <v>320252210878842200</v>
      </c>
      <c r="M1267">
        <v>67500</v>
      </c>
    </row>
    <row r="1268" spans="1:13" x14ac:dyDescent="0.4">
      <c r="A1268" s="1">
        <v>45877</v>
      </c>
      <c r="B1268" t="s">
        <v>4683</v>
      </c>
      <c r="C1268" t="s">
        <v>6281</v>
      </c>
      <c r="D1268">
        <v>64100</v>
      </c>
      <c r="E1268" t="s">
        <v>488</v>
      </c>
      <c r="F1268">
        <v>42.79</v>
      </c>
      <c r="G1268" t="s">
        <v>4686</v>
      </c>
      <c r="H1268" t="s">
        <v>4687</v>
      </c>
      <c r="I1268">
        <v>26087</v>
      </c>
      <c r="J1268">
        <v>53296</v>
      </c>
      <c r="K1268" t="s">
        <v>492</v>
      </c>
      <c r="L1268" t="str">
        <f>SUBSTITUTE(K1268,"'","")</f>
        <v>320252210878880676</v>
      </c>
      <c r="M1268">
        <v>64100</v>
      </c>
    </row>
    <row r="1269" spans="1:13" x14ac:dyDescent="0.4">
      <c r="A1269" s="1">
        <v>45877</v>
      </c>
      <c r="B1269" t="s">
        <v>4683</v>
      </c>
      <c r="C1269" t="s">
        <v>5237</v>
      </c>
      <c r="D1269">
        <v>54820</v>
      </c>
      <c r="E1269" t="s">
        <v>3073</v>
      </c>
      <c r="F1269">
        <v>49.8</v>
      </c>
      <c r="G1269" t="s">
        <v>4686</v>
      </c>
      <c r="H1269" t="s">
        <v>4687</v>
      </c>
      <c r="I1269">
        <v>26516</v>
      </c>
      <c r="J1269">
        <v>54154</v>
      </c>
      <c r="K1269" t="s">
        <v>3077</v>
      </c>
      <c r="L1269" t="str">
        <f>SUBSTITUTE(K1269,"'","")</f>
        <v>320252210882794903</v>
      </c>
      <c r="M1269">
        <v>54820</v>
      </c>
    </row>
    <row r="1270" spans="1:13" x14ac:dyDescent="0.4">
      <c r="A1270" s="1">
        <v>45878</v>
      </c>
      <c r="B1270" t="s">
        <v>4683</v>
      </c>
      <c r="C1270" t="s">
        <v>6498</v>
      </c>
      <c r="D1270">
        <v>67500</v>
      </c>
      <c r="E1270" t="s">
        <v>106</v>
      </c>
      <c r="F1270">
        <v>69.67</v>
      </c>
      <c r="G1270" t="s">
        <v>4686</v>
      </c>
      <c r="H1270" t="s">
        <v>4687</v>
      </c>
      <c r="I1270">
        <v>26374</v>
      </c>
      <c r="J1270">
        <v>53870</v>
      </c>
      <c r="K1270" t="s">
        <v>3062</v>
      </c>
      <c r="L1270" t="str">
        <f>SUBSTITUTE(K1270,"'","")</f>
        <v>320252210862100131</v>
      </c>
      <c r="M1270">
        <v>67500</v>
      </c>
    </row>
    <row r="1271" spans="1:13" x14ac:dyDescent="0.4">
      <c r="A1271" s="1">
        <v>45878</v>
      </c>
      <c r="B1271" t="s">
        <v>4683</v>
      </c>
      <c r="C1271" t="s">
        <v>5799</v>
      </c>
      <c r="D1271">
        <v>61130</v>
      </c>
      <c r="E1271" t="s">
        <v>478</v>
      </c>
      <c r="F1271">
        <v>33.75</v>
      </c>
      <c r="G1271" t="s">
        <v>4686</v>
      </c>
      <c r="H1271" t="s">
        <v>4687</v>
      </c>
      <c r="I1271">
        <v>25533</v>
      </c>
      <c r="J1271">
        <v>52188</v>
      </c>
      <c r="K1271" t="s">
        <v>482</v>
      </c>
      <c r="L1271" t="str">
        <f>SUBSTITUTE(K1271,"'","")</f>
        <v>320252210866279769</v>
      </c>
      <c r="M1271">
        <v>61130</v>
      </c>
    </row>
    <row r="1272" spans="1:13" x14ac:dyDescent="0.4">
      <c r="A1272" s="1">
        <v>45878</v>
      </c>
      <c r="B1272" t="s">
        <v>4683</v>
      </c>
      <c r="C1272" t="s">
        <v>5801</v>
      </c>
      <c r="D1272">
        <v>61130</v>
      </c>
      <c r="E1272" t="s">
        <v>478</v>
      </c>
      <c r="F1272">
        <v>60.45</v>
      </c>
      <c r="G1272" t="s">
        <v>4686</v>
      </c>
      <c r="H1272" t="s">
        <v>4687</v>
      </c>
      <c r="I1272">
        <v>26845</v>
      </c>
      <c r="J1272">
        <v>54812</v>
      </c>
      <c r="K1272" t="s">
        <v>3072</v>
      </c>
      <c r="L1272" t="str">
        <f>SUBSTITUTE(K1272,"'","")</f>
        <v>320252210868090227</v>
      </c>
      <c r="M1272">
        <v>61130</v>
      </c>
    </row>
    <row r="1273" spans="1:13" x14ac:dyDescent="0.4">
      <c r="A1273" s="1">
        <v>45878</v>
      </c>
      <c r="B1273" t="s">
        <v>4683</v>
      </c>
      <c r="C1273" t="s">
        <v>5800</v>
      </c>
      <c r="D1273">
        <v>61130</v>
      </c>
      <c r="E1273" t="s">
        <v>478</v>
      </c>
      <c r="F1273">
        <v>28.82</v>
      </c>
      <c r="G1273" t="s">
        <v>4686</v>
      </c>
      <c r="H1273" t="s">
        <v>4687</v>
      </c>
      <c r="I1273">
        <v>26844</v>
      </c>
      <c r="J1273">
        <v>54810</v>
      </c>
      <c r="K1273" t="s">
        <v>3070</v>
      </c>
      <c r="L1273" t="str">
        <f>SUBSTITUTE(K1273,"'","")</f>
        <v>320252210868169803</v>
      </c>
      <c r="M1273">
        <v>61130</v>
      </c>
    </row>
    <row r="1274" spans="1:13" x14ac:dyDescent="0.4">
      <c r="A1274" s="1">
        <v>45878</v>
      </c>
      <c r="B1274" t="s">
        <v>4683</v>
      </c>
      <c r="C1274" t="s">
        <v>6282</v>
      </c>
      <c r="D1274">
        <v>64100</v>
      </c>
      <c r="E1274" t="s">
        <v>153</v>
      </c>
      <c r="F1274">
        <v>165.41</v>
      </c>
      <c r="G1274" t="s">
        <v>4686</v>
      </c>
      <c r="H1274" t="s">
        <v>4687</v>
      </c>
      <c r="I1274">
        <v>25610</v>
      </c>
      <c r="J1274">
        <v>52342</v>
      </c>
      <c r="K1274" t="s">
        <v>474</v>
      </c>
      <c r="L1274" t="str">
        <f>SUBSTITUTE(K1274,"'","")</f>
        <v>320252210868325328</v>
      </c>
      <c r="M1274">
        <v>64100</v>
      </c>
    </row>
    <row r="1275" spans="1:13" x14ac:dyDescent="0.4">
      <c r="A1275" s="1">
        <v>45878</v>
      </c>
      <c r="B1275" t="s">
        <v>4683</v>
      </c>
      <c r="C1275" t="s">
        <v>6283</v>
      </c>
      <c r="D1275">
        <v>64100</v>
      </c>
      <c r="E1275" t="s">
        <v>153</v>
      </c>
      <c r="F1275">
        <v>223.2</v>
      </c>
      <c r="G1275" t="s">
        <v>4686</v>
      </c>
      <c r="H1275" t="s">
        <v>4687</v>
      </c>
      <c r="I1275">
        <v>25611</v>
      </c>
      <c r="J1275">
        <v>52344</v>
      </c>
      <c r="K1275" t="s">
        <v>476</v>
      </c>
      <c r="L1275" t="str">
        <f>SUBSTITUTE(K1275,"'","")</f>
        <v>320252210868327698</v>
      </c>
      <c r="M1275">
        <v>64100</v>
      </c>
    </row>
    <row r="1276" spans="1:13" x14ac:dyDescent="0.4">
      <c r="A1276" s="1">
        <v>45878</v>
      </c>
      <c r="B1276" t="s">
        <v>4683</v>
      </c>
      <c r="C1276" t="s">
        <v>6029</v>
      </c>
      <c r="D1276">
        <v>61215</v>
      </c>
      <c r="E1276" t="s">
        <v>3063</v>
      </c>
      <c r="F1276">
        <v>428.5</v>
      </c>
      <c r="G1276" t="s">
        <v>4686</v>
      </c>
      <c r="H1276" t="s">
        <v>4687</v>
      </c>
      <c r="I1276">
        <v>26768</v>
      </c>
      <c r="J1276">
        <v>54658</v>
      </c>
      <c r="K1276" t="s">
        <v>3066</v>
      </c>
      <c r="L1276" t="str">
        <f>SUBSTITUTE(K1276,"'","")</f>
        <v>320252210874373615</v>
      </c>
      <c r="M1276">
        <v>61215</v>
      </c>
    </row>
    <row r="1277" spans="1:13" x14ac:dyDescent="0.4">
      <c r="A1277" s="1">
        <v>45878</v>
      </c>
      <c r="B1277" t="s">
        <v>4683</v>
      </c>
      <c r="C1277" t="s">
        <v>6030</v>
      </c>
      <c r="D1277">
        <v>61215</v>
      </c>
      <c r="E1277" t="s">
        <v>1702</v>
      </c>
      <c r="F1277">
        <v>460</v>
      </c>
      <c r="G1277" t="s">
        <v>4686</v>
      </c>
      <c r="H1277" t="s">
        <v>4687</v>
      </c>
      <c r="I1277">
        <v>26769</v>
      </c>
      <c r="J1277">
        <v>54660</v>
      </c>
      <c r="K1277" t="s">
        <v>3068</v>
      </c>
      <c r="L1277" t="str">
        <f>SUBSTITUTE(K1277,"'","")</f>
        <v>320252220899471867</v>
      </c>
      <c r="M1277">
        <v>61215</v>
      </c>
    </row>
    <row r="1278" spans="1:13" x14ac:dyDescent="0.4">
      <c r="A1278" s="1">
        <v>45878</v>
      </c>
      <c r="B1278" t="s">
        <v>4683</v>
      </c>
      <c r="C1278" t="s">
        <v>6284</v>
      </c>
      <c r="D1278">
        <v>64100</v>
      </c>
      <c r="E1278" t="s">
        <v>160</v>
      </c>
      <c r="F1278">
        <v>21.4</v>
      </c>
      <c r="G1278" t="s">
        <v>4686</v>
      </c>
      <c r="H1278" t="s">
        <v>4687</v>
      </c>
      <c r="I1278">
        <v>25906</v>
      </c>
      <c r="J1278">
        <v>52934</v>
      </c>
      <c r="K1278" t="s">
        <v>485</v>
      </c>
      <c r="L1278" t="str">
        <f>SUBSTITUTE(K1278,"'","")</f>
        <v>320252220905693186</v>
      </c>
      <c r="M1278">
        <v>64100</v>
      </c>
    </row>
    <row r="1279" spans="1:13" x14ac:dyDescent="0.4">
      <c r="A1279" s="1">
        <v>45879</v>
      </c>
      <c r="B1279" t="s">
        <v>4683</v>
      </c>
      <c r="C1279" t="s">
        <v>5803</v>
      </c>
      <c r="D1279">
        <v>61130</v>
      </c>
      <c r="E1279" t="s">
        <v>478</v>
      </c>
      <c r="F1279">
        <v>29.03</v>
      </c>
      <c r="G1279" t="s">
        <v>4686</v>
      </c>
      <c r="H1279" t="s">
        <v>4687</v>
      </c>
      <c r="I1279">
        <v>26847</v>
      </c>
      <c r="J1279">
        <v>54816</v>
      </c>
      <c r="K1279" t="s">
        <v>3058</v>
      </c>
      <c r="L1279" t="str">
        <f>SUBSTITUTE(K1279,"'","")</f>
        <v>320252220892770902</v>
      </c>
      <c r="M1279">
        <v>61130</v>
      </c>
    </row>
    <row r="1280" spans="1:13" x14ac:dyDescent="0.4">
      <c r="A1280" s="1">
        <v>45879</v>
      </c>
      <c r="B1280" t="s">
        <v>4683</v>
      </c>
      <c r="C1280" t="s">
        <v>5802</v>
      </c>
      <c r="D1280">
        <v>61130</v>
      </c>
      <c r="E1280" t="s">
        <v>478</v>
      </c>
      <c r="F1280">
        <v>23.29</v>
      </c>
      <c r="G1280" t="s">
        <v>4686</v>
      </c>
      <c r="H1280" t="s">
        <v>4687</v>
      </c>
      <c r="I1280">
        <v>26846</v>
      </c>
      <c r="J1280">
        <v>54814</v>
      </c>
      <c r="K1280" t="s">
        <v>3056</v>
      </c>
      <c r="L1280" t="str">
        <f>SUBSTITUTE(K1280,"'","")</f>
        <v>320252220892970459</v>
      </c>
      <c r="M1280">
        <v>61130</v>
      </c>
    </row>
    <row r="1281" spans="1:13" x14ac:dyDescent="0.4">
      <c r="A1281" s="1">
        <v>45879</v>
      </c>
      <c r="B1281" t="s">
        <v>4683</v>
      </c>
      <c r="C1281" t="s">
        <v>5804</v>
      </c>
      <c r="D1281">
        <v>61130</v>
      </c>
      <c r="E1281" t="s">
        <v>478</v>
      </c>
      <c r="F1281">
        <v>36.770000000000003</v>
      </c>
      <c r="G1281" t="s">
        <v>4686</v>
      </c>
      <c r="H1281" t="s">
        <v>4687</v>
      </c>
      <c r="I1281">
        <v>26848</v>
      </c>
      <c r="J1281">
        <v>54818</v>
      </c>
      <c r="K1281" t="s">
        <v>3060</v>
      </c>
      <c r="L1281" t="str">
        <f>SUBSTITUTE(K1281,"'","")</f>
        <v>320252220893306613</v>
      </c>
      <c r="M1281">
        <v>61130</v>
      </c>
    </row>
    <row r="1282" spans="1:13" x14ac:dyDescent="0.4">
      <c r="A1282" s="1">
        <v>45879</v>
      </c>
      <c r="B1282" t="s">
        <v>4683</v>
      </c>
      <c r="C1282" t="s">
        <v>5923</v>
      </c>
      <c r="D1282">
        <v>61131</v>
      </c>
      <c r="E1282" t="s">
        <v>297</v>
      </c>
      <c r="F1282">
        <v>2.25</v>
      </c>
      <c r="G1282" t="s">
        <v>4686</v>
      </c>
      <c r="H1282" t="s">
        <v>4687</v>
      </c>
      <c r="I1282">
        <v>25746</v>
      </c>
      <c r="J1282">
        <v>52614</v>
      </c>
      <c r="K1282" t="s">
        <v>472</v>
      </c>
      <c r="L1282" t="str">
        <f>SUBSTITUTE(K1282,"'","")</f>
        <v>320252230923724144</v>
      </c>
      <c r="M1282">
        <v>61131</v>
      </c>
    </row>
    <row r="1283" spans="1:13" x14ac:dyDescent="0.4">
      <c r="A1283" s="1">
        <v>45880</v>
      </c>
      <c r="B1283" t="s">
        <v>4683</v>
      </c>
      <c r="C1283" t="s">
        <v>5241</v>
      </c>
      <c r="D1283">
        <v>54820</v>
      </c>
      <c r="E1283" t="s">
        <v>2181</v>
      </c>
      <c r="F1283">
        <v>9.99</v>
      </c>
      <c r="G1283" t="s">
        <v>4686</v>
      </c>
      <c r="H1283" t="s">
        <v>4687</v>
      </c>
      <c r="I1283">
        <v>27031</v>
      </c>
      <c r="J1283">
        <v>55184</v>
      </c>
      <c r="K1283" t="s">
        <v>3048</v>
      </c>
      <c r="L1283" t="str">
        <f>SUBSTITUTE(K1283,"'","")</f>
        <v>320252230915028928</v>
      </c>
      <c r="M1283">
        <v>54820</v>
      </c>
    </row>
    <row r="1284" spans="1:13" x14ac:dyDescent="0.4">
      <c r="A1284" s="1">
        <v>45880</v>
      </c>
      <c r="B1284" t="s">
        <v>4683</v>
      </c>
      <c r="C1284" t="s">
        <v>6285</v>
      </c>
      <c r="D1284">
        <v>64100</v>
      </c>
      <c r="E1284" t="s">
        <v>461</v>
      </c>
      <c r="F1284">
        <v>499.75</v>
      </c>
      <c r="G1284" t="s">
        <v>4686</v>
      </c>
      <c r="H1284" t="s">
        <v>4687</v>
      </c>
      <c r="I1284">
        <v>26041</v>
      </c>
      <c r="J1284">
        <v>53204</v>
      </c>
      <c r="K1284" t="s">
        <v>466</v>
      </c>
      <c r="L1284" t="str">
        <f>SUBSTITUTE(K1284,"'","")</f>
        <v>320252230935849431</v>
      </c>
      <c r="M1284">
        <v>64100</v>
      </c>
    </row>
    <row r="1285" spans="1:13" x14ac:dyDescent="0.4">
      <c r="A1285" s="1">
        <v>45880</v>
      </c>
      <c r="B1285" t="s">
        <v>4683</v>
      </c>
      <c r="C1285" t="s">
        <v>6286</v>
      </c>
      <c r="D1285">
        <v>64100</v>
      </c>
      <c r="E1285" t="s">
        <v>2259</v>
      </c>
      <c r="F1285">
        <v>21.39</v>
      </c>
      <c r="G1285" t="s">
        <v>4686</v>
      </c>
      <c r="H1285" t="s">
        <v>4687</v>
      </c>
      <c r="I1285">
        <v>26338</v>
      </c>
      <c r="J1285">
        <v>53798</v>
      </c>
      <c r="K1285" t="s">
        <v>3046</v>
      </c>
      <c r="L1285" t="str">
        <f>SUBSTITUTE(K1285,"'","")</f>
        <v>320252240951471966</v>
      </c>
      <c r="M1285">
        <v>64100</v>
      </c>
    </row>
    <row r="1286" spans="1:13" x14ac:dyDescent="0.4">
      <c r="A1286" s="1">
        <v>45880</v>
      </c>
      <c r="B1286" t="s">
        <v>4683</v>
      </c>
      <c r="C1286" t="s">
        <v>6287</v>
      </c>
      <c r="D1286">
        <v>64100</v>
      </c>
      <c r="E1286" t="s">
        <v>2265</v>
      </c>
      <c r="F1286">
        <v>36.9</v>
      </c>
      <c r="G1286" t="s">
        <v>4686</v>
      </c>
      <c r="H1286" t="s">
        <v>4687</v>
      </c>
      <c r="I1286">
        <v>26339</v>
      </c>
      <c r="J1286">
        <v>53800</v>
      </c>
      <c r="K1286" t="s">
        <v>3054</v>
      </c>
      <c r="L1286" t="str">
        <f>SUBSTITUTE(K1286,"'","")</f>
        <v>320252240951471997</v>
      </c>
      <c r="M1286">
        <v>64100</v>
      </c>
    </row>
    <row r="1287" spans="1:13" x14ac:dyDescent="0.4">
      <c r="A1287" s="1">
        <v>45880</v>
      </c>
      <c r="B1287" t="s">
        <v>4683</v>
      </c>
      <c r="C1287" t="s">
        <v>5240</v>
      </c>
      <c r="D1287">
        <v>54820</v>
      </c>
      <c r="E1287" t="s">
        <v>2142</v>
      </c>
      <c r="F1287">
        <v>10.78</v>
      </c>
      <c r="G1287" t="s">
        <v>4686</v>
      </c>
      <c r="H1287" t="s">
        <v>4687</v>
      </c>
      <c r="I1287">
        <v>26600</v>
      </c>
      <c r="J1287">
        <v>54322</v>
      </c>
      <c r="K1287" t="s">
        <v>3052</v>
      </c>
      <c r="L1287" t="str">
        <f>SUBSTITUTE(K1287,"'","")</f>
        <v>320252240954105901</v>
      </c>
      <c r="M1287">
        <v>54820</v>
      </c>
    </row>
    <row r="1288" spans="1:13" x14ac:dyDescent="0.4">
      <c r="A1288" s="1">
        <v>45880</v>
      </c>
      <c r="B1288" t="s">
        <v>4683</v>
      </c>
      <c r="C1288" t="s">
        <v>6031</v>
      </c>
      <c r="D1288">
        <v>61215</v>
      </c>
      <c r="E1288" t="s">
        <v>467</v>
      </c>
      <c r="F1288">
        <v>200.81</v>
      </c>
      <c r="G1288" t="s">
        <v>4686</v>
      </c>
      <c r="H1288" t="s">
        <v>4687</v>
      </c>
      <c r="I1288">
        <v>25986</v>
      </c>
      <c r="J1288">
        <v>53094</v>
      </c>
      <c r="K1288" t="s">
        <v>470</v>
      </c>
      <c r="L1288" t="str">
        <f>SUBSTITUTE(K1288,"'","")</f>
        <v>320252240958208689</v>
      </c>
      <c r="M1288">
        <v>61215</v>
      </c>
    </row>
    <row r="1289" spans="1:13" x14ac:dyDescent="0.4">
      <c r="A1289" s="1">
        <v>45880</v>
      </c>
      <c r="B1289" t="s">
        <v>4683</v>
      </c>
      <c r="C1289" t="s">
        <v>5239</v>
      </c>
      <c r="D1289">
        <v>54820</v>
      </c>
      <c r="E1289" t="s">
        <v>977</v>
      </c>
      <c r="F1289">
        <v>10</v>
      </c>
      <c r="G1289" t="s">
        <v>4686</v>
      </c>
      <c r="H1289" t="s">
        <v>4687</v>
      </c>
      <c r="I1289">
        <v>26496</v>
      </c>
      <c r="J1289">
        <v>54114</v>
      </c>
      <c r="K1289" t="s">
        <v>3050</v>
      </c>
      <c r="L1289" t="str">
        <f>SUBSTITUTE(K1289,"'","")</f>
        <v>320252240963588473</v>
      </c>
      <c r="M1289">
        <v>54820</v>
      </c>
    </row>
    <row r="1290" spans="1:13" x14ac:dyDescent="0.4">
      <c r="A1290" s="1">
        <v>45881</v>
      </c>
      <c r="B1290" t="s">
        <v>4683</v>
      </c>
      <c r="C1290" t="s">
        <v>6499</v>
      </c>
      <c r="D1290">
        <v>67500</v>
      </c>
      <c r="E1290" t="s">
        <v>106</v>
      </c>
      <c r="F1290">
        <v>63.68</v>
      </c>
      <c r="G1290" t="s">
        <v>4686</v>
      </c>
      <c r="H1290" t="s">
        <v>4687</v>
      </c>
      <c r="I1290">
        <v>26375</v>
      </c>
      <c r="J1290">
        <v>53872</v>
      </c>
      <c r="K1290" t="s">
        <v>3044</v>
      </c>
      <c r="L1290" t="str">
        <f>SUBSTITUTE(K1290,"'","")</f>
        <v>320252240944190370</v>
      </c>
      <c r="M1290">
        <v>67500</v>
      </c>
    </row>
    <row r="1291" spans="1:13" x14ac:dyDescent="0.4">
      <c r="A1291" s="1">
        <v>45881</v>
      </c>
      <c r="B1291" t="s">
        <v>4683</v>
      </c>
      <c r="C1291" t="s">
        <v>6288</v>
      </c>
      <c r="D1291">
        <v>64100</v>
      </c>
      <c r="E1291" t="s">
        <v>458</v>
      </c>
      <c r="F1291">
        <v>16.04</v>
      </c>
      <c r="G1291" t="s">
        <v>4686</v>
      </c>
      <c r="H1291" t="s">
        <v>4687</v>
      </c>
      <c r="I1291">
        <v>25541</v>
      </c>
      <c r="J1291">
        <v>52204</v>
      </c>
      <c r="K1291" t="s">
        <v>460</v>
      </c>
      <c r="L1291" t="str">
        <f>SUBSTITUTE(K1291,"'","")</f>
        <v>320252240957186669</v>
      </c>
      <c r="M1291">
        <v>64100</v>
      </c>
    </row>
    <row r="1292" spans="1:13" x14ac:dyDescent="0.4">
      <c r="A1292" s="1">
        <v>45881</v>
      </c>
      <c r="B1292" t="s">
        <v>4683</v>
      </c>
      <c r="C1292" t="s">
        <v>5243</v>
      </c>
      <c r="D1292">
        <v>54820</v>
      </c>
      <c r="E1292" t="s">
        <v>977</v>
      </c>
      <c r="F1292">
        <v>10</v>
      </c>
      <c r="G1292" t="s">
        <v>4686</v>
      </c>
      <c r="H1292" t="s">
        <v>4687</v>
      </c>
      <c r="I1292">
        <v>26497</v>
      </c>
      <c r="J1292">
        <v>54116</v>
      </c>
      <c r="K1292" t="s">
        <v>3040</v>
      </c>
      <c r="L1292" t="str">
        <f>SUBSTITUTE(K1292,"'","")</f>
        <v>320252250987175351</v>
      </c>
      <c r="M1292">
        <v>54820</v>
      </c>
    </row>
    <row r="1293" spans="1:13" x14ac:dyDescent="0.4">
      <c r="A1293" s="1">
        <v>45881</v>
      </c>
      <c r="B1293" t="s">
        <v>4683</v>
      </c>
      <c r="C1293" t="s">
        <v>5242</v>
      </c>
      <c r="D1293">
        <v>54820</v>
      </c>
      <c r="E1293" t="s">
        <v>2246</v>
      </c>
      <c r="F1293">
        <v>11.99</v>
      </c>
      <c r="G1293" t="s">
        <v>4686</v>
      </c>
      <c r="H1293" t="s">
        <v>4687</v>
      </c>
      <c r="I1293">
        <v>26316</v>
      </c>
      <c r="J1293">
        <v>53754</v>
      </c>
      <c r="K1293" t="s">
        <v>3042</v>
      </c>
      <c r="L1293" t="str">
        <f>SUBSTITUTE(K1293,"'","")</f>
        <v>320252250990166303</v>
      </c>
      <c r="M1293">
        <v>54820</v>
      </c>
    </row>
    <row r="1294" spans="1:13" x14ac:dyDescent="0.4">
      <c r="A1294" s="1">
        <v>45882</v>
      </c>
      <c r="B1294" t="s">
        <v>4683</v>
      </c>
      <c r="C1294" t="s">
        <v>5246</v>
      </c>
      <c r="D1294">
        <v>54820</v>
      </c>
      <c r="E1294" t="s">
        <v>3026</v>
      </c>
      <c r="F1294">
        <v>43</v>
      </c>
      <c r="G1294" t="s">
        <v>4686</v>
      </c>
      <c r="H1294" t="s">
        <v>4687</v>
      </c>
      <c r="I1294">
        <v>26317</v>
      </c>
      <c r="J1294">
        <v>53756</v>
      </c>
      <c r="K1294" t="s">
        <v>3028</v>
      </c>
      <c r="L1294" t="str">
        <f>SUBSTITUTE(K1294,"'","")</f>
        <v>320252250972315723</v>
      </c>
      <c r="M1294">
        <v>54820</v>
      </c>
    </row>
    <row r="1295" spans="1:13" x14ac:dyDescent="0.4">
      <c r="A1295" s="1">
        <v>45882</v>
      </c>
      <c r="B1295" t="s">
        <v>4683</v>
      </c>
      <c r="C1295" t="s">
        <v>5527</v>
      </c>
      <c r="D1295">
        <v>61100</v>
      </c>
      <c r="E1295" t="s">
        <v>3034</v>
      </c>
      <c r="F1295">
        <v>106.99</v>
      </c>
      <c r="G1295" t="s">
        <v>4686</v>
      </c>
      <c r="H1295" t="s">
        <v>4687</v>
      </c>
      <c r="I1295">
        <v>26255</v>
      </c>
      <c r="J1295">
        <v>53632</v>
      </c>
      <c r="K1295" t="s">
        <v>3036</v>
      </c>
      <c r="L1295" t="str">
        <f>SUBSTITUTE(K1295,"'","")</f>
        <v>320252250972409063</v>
      </c>
      <c r="M1295">
        <v>61100</v>
      </c>
    </row>
    <row r="1296" spans="1:13" x14ac:dyDescent="0.4">
      <c r="A1296" s="1">
        <v>45882</v>
      </c>
      <c r="B1296" t="s">
        <v>4683</v>
      </c>
      <c r="C1296" t="s">
        <v>5247</v>
      </c>
      <c r="D1296">
        <v>54820</v>
      </c>
      <c r="E1296" t="s">
        <v>2934</v>
      </c>
      <c r="F1296">
        <v>12.79</v>
      </c>
      <c r="G1296" t="s">
        <v>4686</v>
      </c>
      <c r="H1296" t="s">
        <v>4687</v>
      </c>
      <c r="I1296">
        <v>26573</v>
      </c>
      <c r="J1296">
        <v>54268</v>
      </c>
      <c r="K1296" t="s">
        <v>3030</v>
      </c>
      <c r="L1296" t="str">
        <f>SUBSTITUTE(K1296,"'","")</f>
        <v>320252260005902760</v>
      </c>
      <c r="M1296">
        <v>54820</v>
      </c>
    </row>
    <row r="1297" spans="1:13" x14ac:dyDescent="0.4">
      <c r="A1297" s="1">
        <v>45882</v>
      </c>
      <c r="B1297" t="s">
        <v>4683</v>
      </c>
      <c r="C1297" t="s">
        <v>5244</v>
      </c>
      <c r="D1297">
        <v>54820</v>
      </c>
      <c r="E1297" t="s">
        <v>2240</v>
      </c>
      <c r="F1297">
        <v>24.41</v>
      </c>
      <c r="G1297" t="s">
        <v>4686</v>
      </c>
      <c r="H1297" t="s">
        <v>4687</v>
      </c>
      <c r="I1297">
        <v>26144</v>
      </c>
      <c r="J1297">
        <v>53410</v>
      </c>
      <c r="K1297" t="s">
        <v>3038</v>
      </c>
      <c r="L1297" t="str">
        <f>SUBSTITUTE(K1297,"'","")</f>
        <v>320252260007587474</v>
      </c>
      <c r="M1297">
        <v>54820</v>
      </c>
    </row>
    <row r="1298" spans="1:13" x14ac:dyDescent="0.4">
      <c r="A1298" s="1">
        <v>45882</v>
      </c>
      <c r="B1298" t="s">
        <v>4683</v>
      </c>
      <c r="C1298" t="s">
        <v>5245</v>
      </c>
      <c r="D1298">
        <v>54820</v>
      </c>
      <c r="E1298" t="s">
        <v>2158</v>
      </c>
      <c r="F1298">
        <v>200</v>
      </c>
      <c r="G1298" t="s">
        <v>4686</v>
      </c>
      <c r="H1298" t="s">
        <v>4687</v>
      </c>
      <c r="I1298">
        <v>26183</v>
      </c>
      <c r="J1298">
        <v>53488</v>
      </c>
      <c r="K1298" t="s">
        <v>3033</v>
      </c>
      <c r="L1298" t="str">
        <f>SUBSTITUTE(K1298,"'","")</f>
        <v>320252260016195992</v>
      </c>
      <c r="M1298">
        <v>54820</v>
      </c>
    </row>
    <row r="1299" spans="1:13" x14ac:dyDescent="0.4">
      <c r="A1299" s="1">
        <v>45883</v>
      </c>
      <c r="B1299" t="s">
        <v>4683</v>
      </c>
      <c r="C1299" t="s">
        <v>6366</v>
      </c>
      <c r="D1299">
        <v>64101</v>
      </c>
      <c r="E1299" t="s">
        <v>453</v>
      </c>
      <c r="F1299">
        <v>241.31</v>
      </c>
      <c r="G1299" t="s">
        <v>4686</v>
      </c>
      <c r="H1299" t="s">
        <v>4687</v>
      </c>
      <c r="I1299">
        <v>26101</v>
      </c>
      <c r="J1299">
        <v>53324</v>
      </c>
      <c r="K1299" t="s">
        <v>457</v>
      </c>
      <c r="L1299" t="str">
        <f>SUBSTITUTE(K1299,"'","")</f>
        <v>320252260002434955</v>
      </c>
      <c r="M1299">
        <v>64101</v>
      </c>
    </row>
    <row r="1300" spans="1:13" x14ac:dyDescent="0.4">
      <c r="A1300" s="1">
        <v>45883</v>
      </c>
      <c r="B1300" t="s">
        <v>4683</v>
      </c>
      <c r="C1300" t="s">
        <v>5248</v>
      </c>
      <c r="D1300">
        <v>54820</v>
      </c>
      <c r="E1300" t="s">
        <v>3020</v>
      </c>
      <c r="F1300">
        <v>50.67</v>
      </c>
      <c r="G1300" t="s">
        <v>4686</v>
      </c>
      <c r="H1300" t="s">
        <v>4687</v>
      </c>
      <c r="I1300">
        <v>26272</v>
      </c>
      <c r="J1300">
        <v>53666</v>
      </c>
      <c r="K1300" t="s">
        <v>3022</v>
      </c>
      <c r="L1300" t="str">
        <f>SUBSTITUTE(K1300,"'","")</f>
        <v>320252260006841143</v>
      </c>
      <c r="M1300">
        <v>54820</v>
      </c>
    </row>
    <row r="1301" spans="1:13" x14ac:dyDescent="0.4">
      <c r="A1301" s="1">
        <v>45883</v>
      </c>
      <c r="B1301" t="s">
        <v>4683</v>
      </c>
      <c r="C1301" t="s">
        <v>5249</v>
      </c>
      <c r="D1301">
        <v>54820</v>
      </c>
      <c r="E1301" t="s">
        <v>2222</v>
      </c>
      <c r="F1301">
        <v>20.18</v>
      </c>
      <c r="G1301" t="s">
        <v>4686</v>
      </c>
      <c r="H1301" t="s">
        <v>4687</v>
      </c>
      <c r="I1301">
        <v>26455</v>
      </c>
      <c r="J1301">
        <v>54032</v>
      </c>
      <c r="K1301" t="s">
        <v>3025</v>
      </c>
      <c r="L1301" t="str">
        <f>SUBSTITUTE(K1301,"'","")</f>
        <v>320252260998244587</v>
      </c>
      <c r="M1301">
        <v>54820</v>
      </c>
    </row>
    <row r="1302" spans="1:13" x14ac:dyDescent="0.4">
      <c r="A1302" s="1">
        <v>45883</v>
      </c>
      <c r="B1302" t="s">
        <v>4683</v>
      </c>
      <c r="C1302" t="s">
        <v>5250</v>
      </c>
      <c r="D1302">
        <v>54820</v>
      </c>
      <c r="E1302" t="s">
        <v>2934</v>
      </c>
      <c r="F1302">
        <v>12.79</v>
      </c>
      <c r="G1302" t="s">
        <v>4686</v>
      </c>
      <c r="H1302" t="s">
        <v>4687</v>
      </c>
      <c r="I1302">
        <v>26574</v>
      </c>
      <c r="J1302">
        <v>54270</v>
      </c>
      <c r="K1302" t="s">
        <v>3019</v>
      </c>
      <c r="L1302" t="str">
        <f>SUBSTITUTE(K1302,"'","")</f>
        <v>320252270033391116</v>
      </c>
      <c r="M1302">
        <v>54820</v>
      </c>
    </row>
    <row r="1303" spans="1:13" x14ac:dyDescent="0.4">
      <c r="A1303" s="1">
        <v>45883</v>
      </c>
      <c r="B1303" t="s">
        <v>4683</v>
      </c>
      <c r="C1303" t="s">
        <v>5924</v>
      </c>
      <c r="D1303">
        <v>61131</v>
      </c>
      <c r="E1303" t="s">
        <v>448</v>
      </c>
      <c r="F1303">
        <v>18.3</v>
      </c>
      <c r="G1303" t="s">
        <v>4686</v>
      </c>
      <c r="H1303" t="s">
        <v>4687</v>
      </c>
      <c r="I1303">
        <v>25747</v>
      </c>
      <c r="J1303">
        <v>52616</v>
      </c>
      <c r="K1303" t="s">
        <v>450</v>
      </c>
      <c r="L1303" t="str">
        <f>SUBSTITUTE(K1303,"'","")</f>
        <v>320252270036073724</v>
      </c>
      <c r="M1303">
        <v>61131</v>
      </c>
    </row>
    <row r="1304" spans="1:13" x14ac:dyDescent="0.4">
      <c r="A1304" s="1">
        <v>45883</v>
      </c>
      <c r="B1304" t="s">
        <v>4683</v>
      </c>
      <c r="C1304" t="s">
        <v>5251</v>
      </c>
      <c r="D1304">
        <v>54820</v>
      </c>
      <c r="E1304" t="s">
        <v>2142</v>
      </c>
      <c r="F1304">
        <v>35.19</v>
      </c>
      <c r="G1304" t="s">
        <v>4686</v>
      </c>
      <c r="H1304" t="s">
        <v>4687</v>
      </c>
      <c r="I1304">
        <v>26601</v>
      </c>
      <c r="J1304">
        <v>54324</v>
      </c>
      <c r="K1304" t="s">
        <v>3017</v>
      </c>
      <c r="L1304" t="str">
        <f>SUBSTITUTE(K1304,"'","")</f>
        <v>320252270037316397</v>
      </c>
      <c r="M1304">
        <v>54820</v>
      </c>
    </row>
    <row r="1305" spans="1:13" x14ac:dyDescent="0.4">
      <c r="A1305" s="1">
        <v>45883</v>
      </c>
      <c r="B1305" t="s">
        <v>4683</v>
      </c>
      <c r="C1305" t="s">
        <v>6437</v>
      </c>
      <c r="D1305">
        <v>65700</v>
      </c>
      <c r="E1305" t="s">
        <v>83</v>
      </c>
      <c r="F1305">
        <v>234.9</v>
      </c>
      <c r="G1305" t="s">
        <v>4686</v>
      </c>
      <c r="H1305" t="s">
        <v>4687</v>
      </c>
      <c r="I1305">
        <v>25551</v>
      </c>
      <c r="J1305">
        <v>52224</v>
      </c>
      <c r="K1305" t="s">
        <v>447</v>
      </c>
      <c r="L1305" t="str">
        <f>SUBSTITUTE(K1305,"'","")</f>
        <v>320252270039324275</v>
      </c>
      <c r="M1305">
        <v>65700</v>
      </c>
    </row>
    <row r="1306" spans="1:13" x14ac:dyDescent="0.4">
      <c r="A1306" s="1">
        <v>45883</v>
      </c>
      <c r="B1306" t="s">
        <v>4683</v>
      </c>
      <c r="C1306" t="s">
        <v>5252</v>
      </c>
      <c r="D1306">
        <v>54820</v>
      </c>
      <c r="E1306" t="s">
        <v>2764</v>
      </c>
      <c r="F1306">
        <v>13.48</v>
      </c>
      <c r="G1306" t="s">
        <v>4686</v>
      </c>
      <c r="H1306" t="s">
        <v>4687</v>
      </c>
      <c r="I1306">
        <v>26743</v>
      </c>
      <c r="J1306">
        <v>54608</v>
      </c>
      <c r="K1306" t="s">
        <v>3015</v>
      </c>
      <c r="L1306" t="str">
        <f>SUBSTITUTE(K1306,"'","")</f>
        <v>320252270039746636</v>
      </c>
      <c r="M1306">
        <v>54820</v>
      </c>
    </row>
    <row r="1307" spans="1:13" x14ac:dyDescent="0.4">
      <c r="A1307" s="1">
        <v>45884</v>
      </c>
      <c r="B1307" t="s">
        <v>4683</v>
      </c>
      <c r="C1307" t="s">
        <v>5254</v>
      </c>
      <c r="D1307">
        <v>54820</v>
      </c>
      <c r="E1307" t="s">
        <v>2425</v>
      </c>
      <c r="F1307">
        <v>310</v>
      </c>
      <c r="G1307" t="s">
        <v>4686</v>
      </c>
      <c r="H1307" t="s">
        <v>4687</v>
      </c>
      <c r="I1307">
        <v>27032</v>
      </c>
      <c r="J1307">
        <v>55186</v>
      </c>
      <c r="K1307" t="s">
        <v>2982</v>
      </c>
      <c r="L1307" t="str">
        <f>SUBSTITUTE(K1307,"'","")</f>
        <v>320252270025856010</v>
      </c>
      <c r="M1307">
        <v>54820</v>
      </c>
    </row>
    <row r="1308" spans="1:13" x14ac:dyDescent="0.4">
      <c r="A1308" s="1">
        <v>45884</v>
      </c>
      <c r="B1308" t="s">
        <v>4683</v>
      </c>
      <c r="C1308" t="s">
        <v>5257</v>
      </c>
      <c r="D1308">
        <v>54820</v>
      </c>
      <c r="E1308" t="s">
        <v>2677</v>
      </c>
      <c r="F1308">
        <v>9.17</v>
      </c>
      <c r="G1308" t="s">
        <v>4686</v>
      </c>
      <c r="H1308" t="s">
        <v>4687</v>
      </c>
      <c r="I1308">
        <v>27035</v>
      </c>
      <c r="J1308">
        <v>55192</v>
      </c>
      <c r="K1308" t="s">
        <v>2992</v>
      </c>
      <c r="L1308" t="str">
        <f>SUBSTITUTE(K1308,"'","")</f>
        <v>320252270028017428</v>
      </c>
      <c r="M1308">
        <v>54820</v>
      </c>
    </row>
    <row r="1309" spans="1:13" x14ac:dyDescent="0.4">
      <c r="A1309" s="1">
        <v>45884</v>
      </c>
      <c r="B1309" t="s">
        <v>4683</v>
      </c>
      <c r="C1309" t="s">
        <v>5255</v>
      </c>
      <c r="D1309">
        <v>54820</v>
      </c>
      <c r="E1309" t="s">
        <v>2181</v>
      </c>
      <c r="F1309">
        <v>7.48</v>
      </c>
      <c r="G1309" t="s">
        <v>4686</v>
      </c>
      <c r="H1309" t="s">
        <v>4687</v>
      </c>
      <c r="I1309">
        <v>27033</v>
      </c>
      <c r="J1309">
        <v>55188</v>
      </c>
      <c r="K1309" t="s">
        <v>2984</v>
      </c>
      <c r="L1309" t="str">
        <f>SUBSTITUTE(K1309,"'","")</f>
        <v>320252270028601699</v>
      </c>
      <c r="M1309">
        <v>54820</v>
      </c>
    </row>
    <row r="1310" spans="1:13" x14ac:dyDescent="0.4">
      <c r="A1310" s="1">
        <v>45884</v>
      </c>
      <c r="B1310" t="s">
        <v>4683</v>
      </c>
      <c r="C1310" t="s">
        <v>5807</v>
      </c>
      <c r="D1310">
        <v>61130</v>
      </c>
      <c r="E1310" t="s">
        <v>478</v>
      </c>
      <c r="F1310">
        <v>49.05</v>
      </c>
      <c r="G1310" t="s">
        <v>4686</v>
      </c>
      <c r="H1310" t="s">
        <v>4687</v>
      </c>
      <c r="I1310">
        <v>26851</v>
      </c>
      <c r="J1310">
        <v>54824</v>
      </c>
      <c r="K1310" t="s">
        <v>3007</v>
      </c>
      <c r="L1310" t="str">
        <f>SUBSTITUTE(K1310,"'","")</f>
        <v>320252270029116050</v>
      </c>
      <c r="M1310">
        <v>61130</v>
      </c>
    </row>
    <row r="1311" spans="1:13" x14ac:dyDescent="0.4">
      <c r="A1311" s="1">
        <v>45884</v>
      </c>
      <c r="B1311" t="s">
        <v>4683</v>
      </c>
      <c r="C1311" t="s">
        <v>6033</v>
      </c>
      <c r="D1311">
        <v>61215</v>
      </c>
      <c r="E1311" t="s">
        <v>2993</v>
      </c>
      <c r="F1311">
        <v>139.80000000000001</v>
      </c>
      <c r="G1311" t="s">
        <v>4686</v>
      </c>
      <c r="H1311" t="s">
        <v>4687</v>
      </c>
      <c r="I1311">
        <v>26770</v>
      </c>
      <c r="J1311">
        <v>54662</v>
      </c>
      <c r="K1311" t="s">
        <v>2996</v>
      </c>
      <c r="L1311" t="str">
        <f>SUBSTITUTE(K1311,"'","")</f>
        <v>320252270029310569</v>
      </c>
      <c r="M1311">
        <v>61215</v>
      </c>
    </row>
    <row r="1312" spans="1:13" x14ac:dyDescent="0.4">
      <c r="A1312" s="1">
        <v>45884</v>
      </c>
      <c r="B1312" t="s">
        <v>4683</v>
      </c>
      <c r="C1312" t="s">
        <v>5808</v>
      </c>
      <c r="D1312">
        <v>61130</v>
      </c>
      <c r="E1312" t="s">
        <v>478</v>
      </c>
      <c r="F1312">
        <v>49.7</v>
      </c>
      <c r="G1312" t="s">
        <v>4686</v>
      </c>
      <c r="H1312" t="s">
        <v>4687</v>
      </c>
      <c r="I1312">
        <v>26852</v>
      </c>
      <c r="J1312">
        <v>54826</v>
      </c>
      <c r="K1312" t="s">
        <v>3009</v>
      </c>
      <c r="L1312" t="str">
        <f>SUBSTITUTE(K1312,"'","")</f>
        <v>320252270029436995</v>
      </c>
      <c r="M1312">
        <v>61130</v>
      </c>
    </row>
    <row r="1313" spans="1:13" x14ac:dyDescent="0.4">
      <c r="A1313" s="1">
        <v>45884</v>
      </c>
      <c r="B1313" t="s">
        <v>4683</v>
      </c>
      <c r="C1313" t="s">
        <v>5806</v>
      </c>
      <c r="D1313">
        <v>61130</v>
      </c>
      <c r="E1313" t="s">
        <v>478</v>
      </c>
      <c r="F1313">
        <v>44.42</v>
      </c>
      <c r="G1313" t="s">
        <v>4686</v>
      </c>
      <c r="H1313" t="s">
        <v>4687</v>
      </c>
      <c r="I1313">
        <v>26850</v>
      </c>
      <c r="J1313">
        <v>54822</v>
      </c>
      <c r="K1313" t="s">
        <v>3005</v>
      </c>
      <c r="L1313" t="str">
        <f>SUBSTITUTE(K1313,"'","")</f>
        <v>320252270029553085</v>
      </c>
      <c r="M1313">
        <v>61130</v>
      </c>
    </row>
    <row r="1314" spans="1:13" x14ac:dyDescent="0.4">
      <c r="A1314" s="1">
        <v>45884</v>
      </c>
      <c r="B1314" t="s">
        <v>4683</v>
      </c>
      <c r="C1314" t="s">
        <v>5810</v>
      </c>
      <c r="D1314">
        <v>61130</v>
      </c>
      <c r="E1314" t="s">
        <v>478</v>
      </c>
      <c r="F1314">
        <v>115.41</v>
      </c>
      <c r="G1314" t="s">
        <v>4686</v>
      </c>
      <c r="H1314" t="s">
        <v>4687</v>
      </c>
      <c r="I1314">
        <v>26854</v>
      </c>
      <c r="J1314">
        <v>54830</v>
      </c>
      <c r="K1314" t="s">
        <v>3013</v>
      </c>
      <c r="L1314" t="str">
        <f>SUBSTITUTE(K1314,"'","")</f>
        <v>320252270029584991</v>
      </c>
      <c r="M1314">
        <v>61130</v>
      </c>
    </row>
    <row r="1315" spans="1:13" x14ac:dyDescent="0.4">
      <c r="A1315" s="1">
        <v>45884</v>
      </c>
      <c r="B1315" t="s">
        <v>4683</v>
      </c>
      <c r="C1315" t="s">
        <v>5805</v>
      </c>
      <c r="D1315">
        <v>61130</v>
      </c>
      <c r="E1315" t="s">
        <v>478</v>
      </c>
      <c r="F1315">
        <v>30.52</v>
      </c>
      <c r="G1315" t="s">
        <v>4686</v>
      </c>
      <c r="H1315" t="s">
        <v>4687</v>
      </c>
      <c r="I1315">
        <v>26849</v>
      </c>
      <c r="J1315">
        <v>54820</v>
      </c>
      <c r="K1315" t="s">
        <v>3003</v>
      </c>
      <c r="L1315" t="str">
        <f>SUBSTITUTE(K1315,"'","")</f>
        <v>320252270030233980</v>
      </c>
      <c r="M1315">
        <v>61130</v>
      </c>
    </row>
    <row r="1316" spans="1:13" x14ac:dyDescent="0.4">
      <c r="A1316" s="1">
        <v>45884</v>
      </c>
      <c r="B1316" t="s">
        <v>4683</v>
      </c>
      <c r="C1316" t="s">
        <v>5809</v>
      </c>
      <c r="D1316">
        <v>61130</v>
      </c>
      <c r="E1316" t="s">
        <v>478</v>
      </c>
      <c r="F1316">
        <v>71.2</v>
      </c>
      <c r="G1316" t="s">
        <v>4686</v>
      </c>
      <c r="H1316" t="s">
        <v>4687</v>
      </c>
      <c r="I1316">
        <v>26853</v>
      </c>
      <c r="J1316">
        <v>54828</v>
      </c>
      <c r="K1316" t="s">
        <v>3011</v>
      </c>
      <c r="L1316" t="str">
        <f>SUBSTITUTE(K1316,"'","")</f>
        <v>320252270030338266</v>
      </c>
      <c r="M1316">
        <v>61130</v>
      </c>
    </row>
    <row r="1317" spans="1:13" x14ac:dyDescent="0.4">
      <c r="A1317" s="1">
        <v>45884</v>
      </c>
      <c r="B1317" t="s">
        <v>4683</v>
      </c>
      <c r="C1317" t="s">
        <v>5258</v>
      </c>
      <c r="D1317">
        <v>54820</v>
      </c>
      <c r="E1317" t="s">
        <v>2997</v>
      </c>
      <c r="F1317">
        <v>119.35</v>
      </c>
      <c r="G1317" t="s">
        <v>4686</v>
      </c>
      <c r="H1317" t="s">
        <v>4687</v>
      </c>
      <c r="I1317">
        <v>27036</v>
      </c>
      <c r="J1317">
        <v>55194</v>
      </c>
      <c r="K1317" t="s">
        <v>3001</v>
      </c>
      <c r="L1317" t="str">
        <f>SUBSTITUTE(K1317,"'","")</f>
        <v>320252270050867814</v>
      </c>
      <c r="M1317">
        <v>54820</v>
      </c>
    </row>
    <row r="1318" spans="1:13" x14ac:dyDescent="0.4">
      <c r="A1318" s="1">
        <v>45884</v>
      </c>
      <c r="B1318" t="s">
        <v>4683</v>
      </c>
      <c r="C1318" t="s">
        <v>6032</v>
      </c>
      <c r="D1318">
        <v>61215</v>
      </c>
      <c r="E1318" t="s">
        <v>440</v>
      </c>
      <c r="F1318" s="5">
        <v>1268.77</v>
      </c>
      <c r="G1318" t="s">
        <v>4686</v>
      </c>
      <c r="H1318" t="s">
        <v>4687</v>
      </c>
      <c r="I1318">
        <v>25987</v>
      </c>
      <c r="J1318">
        <v>53096</v>
      </c>
      <c r="K1318" t="s">
        <v>445</v>
      </c>
      <c r="L1318" t="str">
        <f>SUBSTITUTE(K1318,"'","")</f>
        <v>320252280066619514</v>
      </c>
      <c r="M1318">
        <v>61215</v>
      </c>
    </row>
    <row r="1319" spans="1:13" x14ac:dyDescent="0.4">
      <c r="A1319" s="1">
        <v>45884</v>
      </c>
      <c r="B1319" t="s">
        <v>4683</v>
      </c>
      <c r="C1319" t="s">
        <v>5256</v>
      </c>
      <c r="D1319">
        <v>54820</v>
      </c>
      <c r="E1319" t="s">
        <v>2985</v>
      </c>
      <c r="F1319">
        <v>95.42</v>
      </c>
      <c r="G1319" t="s">
        <v>4686</v>
      </c>
      <c r="H1319" t="s">
        <v>4687</v>
      </c>
      <c r="I1319">
        <v>27034</v>
      </c>
      <c r="J1319">
        <v>55190</v>
      </c>
      <c r="K1319" t="s">
        <v>2988</v>
      </c>
      <c r="L1319" t="str">
        <f>SUBSTITUTE(K1319,"'","")</f>
        <v>320252280071081600</v>
      </c>
      <c r="M1319">
        <v>54820</v>
      </c>
    </row>
    <row r="1320" spans="1:13" x14ac:dyDescent="0.4">
      <c r="A1320" s="1">
        <v>45884</v>
      </c>
      <c r="B1320" t="s">
        <v>4683</v>
      </c>
      <c r="C1320" t="s">
        <v>6289</v>
      </c>
      <c r="D1320">
        <v>64100</v>
      </c>
      <c r="E1320" t="s">
        <v>437</v>
      </c>
      <c r="F1320">
        <v>10</v>
      </c>
      <c r="G1320" t="s">
        <v>4686</v>
      </c>
      <c r="H1320" t="s">
        <v>4687</v>
      </c>
      <c r="I1320">
        <v>25576</v>
      </c>
      <c r="J1320">
        <v>52274</v>
      </c>
      <c r="K1320" t="s">
        <v>439</v>
      </c>
      <c r="L1320" t="str">
        <f>SUBSTITUTE(K1320,"'","")</f>
        <v>320252280073613161</v>
      </c>
      <c r="M1320">
        <v>64100</v>
      </c>
    </row>
    <row r="1321" spans="1:13" x14ac:dyDescent="0.4">
      <c r="A1321" s="1">
        <v>45884</v>
      </c>
      <c r="B1321" t="s">
        <v>4683</v>
      </c>
      <c r="C1321" t="s">
        <v>5253</v>
      </c>
      <c r="D1321">
        <v>54820</v>
      </c>
      <c r="E1321" t="s">
        <v>977</v>
      </c>
      <c r="F1321">
        <v>20</v>
      </c>
      <c r="G1321" t="s">
        <v>4686</v>
      </c>
      <c r="H1321" t="s">
        <v>4687</v>
      </c>
      <c r="I1321">
        <v>26498</v>
      </c>
      <c r="J1321">
        <v>54118</v>
      </c>
      <c r="K1321" t="s">
        <v>2990</v>
      </c>
      <c r="L1321" t="str">
        <f>SUBSTITUTE(K1321,"'","")</f>
        <v>320252280078091043</v>
      </c>
      <c r="M1321">
        <v>54820</v>
      </c>
    </row>
    <row r="1322" spans="1:13" x14ac:dyDescent="0.4">
      <c r="A1322" s="1">
        <v>45885</v>
      </c>
      <c r="B1322" t="s">
        <v>4683</v>
      </c>
      <c r="C1322" t="s">
        <v>5815</v>
      </c>
      <c r="D1322">
        <v>61130</v>
      </c>
      <c r="E1322" t="s">
        <v>478</v>
      </c>
      <c r="F1322">
        <v>62.37</v>
      </c>
      <c r="G1322" t="s">
        <v>4686</v>
      </c>
      <c r="H1322" t="s">
        <v>4687</v>
      </c>
      <c r="I1322">
        <v>26859</v>
      </c>
      <c r="J1322">
        <v>54840</v>
      </c>
      <c r="K1322" t="s">
        <v>2978</v>
      </c>
      <c r="L1322" t="str">
        <f>SUBSTITUTE(K1322,"'","")</f>
        <v>320252280057869284</v>
      </c>
      <c r="M1322">
        <v>61130</v>
      </c>
    </row>
    <row r="1323" spans="1:13" x14ac:dyDescent="0.4">
      <c r="A1323" s="1">
        <v>45885</v>
      </c>
      <c r="B1323" t="s">
        <v>4683</v>
      </c>
      <c r="C1323" t="s">
        <v>5811</v>
      </c>
      <c r="D1323">
        <v>61130</v>
      </c>
      <c r="E1323" t="s">
        <v>478</v>
      </c>
      <c r="F1323">
        <v>28.22</v>
      </c>
      <c r="G1323" t="s">
        <v>4686</v>
      </c>
      <c r="H1323" t="s">
        <v>4687</v>
      </c>
      <c r="I1323">
        <v>26855</v>
      </c>
      <c r="J1323">
        <v>54832</v>
      </c>
      <c r="K1323" t="s">
        <v>2970</v>
      </c>
      <c r="L1323" t="str">
        <f>SUBSTITUTE(K1323,"'","")</f>
        <v>320252280058029843</v>
      </c>
      <c r="M1323">
        <v>61130</v>
      </c>
    </row>
    <row r="1324" spans="1:13" x14ac:dyDescent="0.4">
      <c r="A1324" s="1">
        <v>45885</v>
      </c>
      <c r="B1324" t="s">
        <v>4683</v>
      </c>
      <c r="C1324" t="s">
        <v>5813</v>
      </c>
      <c r="D1324">
        <v>61130</v>
      </c>
      <c r="E1324" t="s">
        <v>478</v>
      </c>
      <c r="F1324">
        <v>42.04</v>
      </c>
      <c r="G1324" t="s">
        <v>4686</v>
      </c>
      <c r="H1324" t="s">
        <v>4687</v>
      </c>
      <c r="I1324">
        <v>26857</v>
      </c>
      <c r="J1324">
        <v>54836</v>
      </c>
      <c r="K1324" t="s">
        <v>2974</v>
      </c>
      <c r="L1324" t="str">
        <f>SUBSTITUTE(K1324,"'","")</f>
        <v>320252280058668178</v>
      </c>
      <c r="M1324">
        <v>61130</v>
      </c>
    </row>
    <row r="1325" spans="1:13" x14ac:dyDescent="0.4">
      <c r="A1325" s="1">
        <v>45885</v>
      </c>
      <c r="B1325" t="s">
        <v>4683</v>
      </c>
      <c r="C1325" t="s">
        <v>5260</v>
      </c>
      <c r="D1325">
        <v>54820</v>
      </c>
      <c r="E1325" t="s">
        <v>2954</v>
      </c>
      <c r="F1325">
        <v>73.53</v>
      </c>
      <c r="G1325" t="s">
        <v>4686</v>
      </c>
      <c r="H1325" t="s">
        <v>4687</v>
      </c>
      <c r="I1325">
        <v>27037</v>
      </c>
      <c r="J1325">
        <v>55196</v>
      </c>
      <c r="K1325" t="s">
        <v>2959</v>
      </c>
      <c r="L1325" t="str">
        <f>SUBSTITUTE(K1325,"'","")</f>
        <v>320252280060639774</v>
      </c>
      <c r="M1325">
        <v>54820</v>
      </c>
    </row>
    <row r="1326" spans="1:13" x14ac:dyDescent="0.4">
      <c r="A1326" s="1">
        <v>45885</v>
      </c>
      <c r="B1326" t="s">
        <v>4683</v>
      </c>
      <c r="C1326" t="s">
        <v>5259</v>
      </c>
      <c r="D1326">
        <v>54820</v>
      </c>
      <c r="E1326" t="s">
        <v>2125</v>
      </c>
      <c r="F1326">
        <v>27.99</v>
      </c>
      <c r="G1326" t="s">
        <v>4686</v>
      </c>
      <c r="H1326" t="s">
        <v>4687</v>
      </c>
      <c r="I1326">
        <v>26534</v>
      </c>
      <c r="J1326">
        <v>54190</v>
      </c>
      <c r="K1326" t="s">
        <v>2968</v>
      </c>
      <c r="L1326" t="str">
        <f>SUBSTITUTE(K1326,"'","")</f>
        <v>320252280062111243</v>
      </c>
      <c r="M1326">
        <v>54820</v>
      </c>
    </row>
    <row r="1327" spans="1:13" x14ac:dyDescent="0.4">
      <c r="A1327" s="1">
        <v>45885</v>
      </c>
      <c r="B1327" t="s">
        <v>4683</v>
      </c>
      <c r="C1327" t="s">
        <v>5816</v>
      </c>
      <c r="D1327">
        <v>61130</v>
      </c>
      <c r="E1327" t="s">
        <v>478</v>
      </c>
      <c r="F1327">
        <v>83.2</v>
      </c>
      <c r="G1327" t="s">
        <v>4686</v>
      </c>
      <c r="H1327" t="s">
        <v>4687</v>
      </c>
      <c r="I1327">
        <v>26860</v>
      </c>
      <c r="J1327">
        <v>54842</v>
      </c>
      <c r="K1327" t="s">
        <v>2980</v>
      </c>
      <c r="L1327" t="str">
        <f>SUBSTITUTE(K1327,"'","")</f>
        <v>320252280062567077</v>
      </c>
      <c r="M1327">
        <v>61130</v>
      </c>
    </row>
    <row r="1328" spans="1:13" x14ac:dyDescent="0.4">
      <c r="A1328" s="1">
        <v>45885</v>
      </c>
      <c r="B1328" t="s">
        <v>4683</v>
      </c>
      <c r="C1328" t="s">
        <v>5812</v>
      </c>
      <c r="D1328">
        <v>61130</v>
      </c>
      <c r="E1328" t="s">
        <v>478</v>
      </c>
      <c r="F1328">
        <v>41.24</v>
      </c>
      <c r="G1328" t="s">
        <v>4686</v>
      </c>
      <c r="H1328" t="s">
        <v>4687</v>
      </c>
      <c r="I1328">
        <v>26856</v>
      </c>
      <c r="J1328">
        <v>54834</v>
      </c>
      <c r="K1328" t="s">
        <v>2972</v>
      </c>
      <c r="L1328" t="str">
        <f>SUBSTITUTE(K1328,"'","")</f>
        <v>320252280062792779</v>
      </c>
      <c r="M1328">
        <v>61130</v>
      </c>
    </row>
    <row r="1329" spans="1:13" x14ac:dyDescent="0.4">
      <c r="A1329" s="1">
        <v>45885</v>
      </c>
      <c r="B1329" t="s">
        <v>4683</v>
      </c>
      <c r="C1329" t="s">
        <v>5261</v>
      </c>
      <c r="D1329">
        <v>54820</v>
      </c>
      <c r="E1329" t="s">
        <v>2960</v>
      </c>
      <c r="F1329">
        <v>81.19</v>
      </c>
      <c r="G1329" t="s">
        <v>4686</v>
      </c>
      <c r="H1329" t="s">
        <v>4687</v>
      </c>
      <c r="I1329">
        <v>27038</v>
      </c>
      <c r="J1329">
        <v>55198</v>
      </c>
      <c r="K1329" t="s">
        <v>2965</v>
      </c>
      <c r="L1329" t="str">
        <f>SUBSTITUTE(K1329,"'","")</f>
        <v>320252280063165238</v>
      </c>
      <c r="M1329">
        <v>54820</v>
      </c>
    </row>
    <row r="1330" spans="1:13" x14ac:dyDescent="0.4">
      <c r="A1330" s="1">
        <v>45885</v>
      </c>
      <c r="B1330" t="s">
        <v>4683</v>
      </c>
      <c r="C1330" t="s">
        <v>5814</v>
      </c>
      <c r="D1330">
        <v>61130</v>
      </c>
      <c r="E1330" t="s">
        <v>478</v>
      </c>
      <c r="F1330">
        <v>54.98</v>
      </c>
      <c r="G1330" t="s">
        <v>4686</v>
      </c>
      <c r="H1330" t="s">
        <v>4687</v>
      </c>
      <c r="I1330">
        <v>26858</v>
      </c>
      <c r="J1330">
        <v>54838</v>
      </c>
      <c r="K1330" t="s">
        <v>2976</v>
      </c>
      <c r="L1330" t="str">
        <f>SUBSTITUTE(K1330,"'","")</f>
        <v>320252280063355944</v>
      </c>
      <c r="M1330">
        <v>61130</v>
      </c>
    </row>
    <row r="1331" spans="1:13" x14ac:dyDescent="0.4">
      <c r="A1331" s="1">
        <v>45886</v>
      </c>
      <c r="B1331" t="s">
        <v>4683</v>
      </c>
      <c r="C1331" t="s">
        <v>5817</v>
      </c>
      <c r="D1331">
        <v>61130</v>
      </c>
      <c r="E1331" t="s">
        <v>478</v>
      </c>
      <c r="F1331">
        <v>26.89</v>
      </c>
      <c r="G1331" t="s">
        <v>4686</v>
      </c>
      <c r="H1331" t="s">
        <v>4687</v>
      </c>
      <c r="I1331">
        <v>26861</v>
      </c>
      <c r="J1331">
        <v>54844</v>
      </c>
      <c r="K1331" t="s">
        <v>2951</v>
      </c>
      <c r="L1331" t="str">
        <f>SUBSTITUTE(K1331,"'","")</f>
        <v>320252290085309466</v>
      </c>
      <c r="M1331">
        <v>61130</v>
      </c>
    </row>
    <row r="1332" spans="1:13" x14ac:dyDescent="0.4">
      <c r="A1332" s="1">
        <v>45886</v>
      </c>
      <c r="B1332" t="s">
        <v>4683</v>
      </c>
      <c r="C1332" t="s">
        <v>5264</v>
      </c>
      <c r="D1332">
        <v>54820</v>
      </c>
      <c r="E1332" t="s">
        <v>2592</v>
      </c>
      <c r="F1332">
        <v>17.25</v>
      </c>
      <c r="G1332" t="s">
        <v>4686</v>
      </c>
      <c r="H1332" t="s">
        <v>4687</v>
      </c>
      <c r="I1332">
        <v>27039</v>
      </c>
      <c r="J1332">
        <v>55200</v>
      </c>
      <c r="K1332" t="s">
        <v>2949</v>
      </c>
      <c r="L1332" t="str">
        <f>SUBSTITUTE(K1332,"'","")</f>
        <v>320252290090168626</v>
      </c>
      <c r="M1332">
        <v>54820</v>
      </c>
    </row>
    <row r="1333" spans="1:13" x14ac:dyDescent="0.4">
      <c r="A1333" s="1">
        <v>45886</v>
      </c>
      <c r="B1333" t="s">
        <v>4683</v>
      </c>
      <c r="C1333" t="s">
        <v>5263</v>
      </c>
      <c r="D1333">
        <v>54820</v>
      </c>
      <c r="E1333" t="s">
        <v>2934</v>
      </c>
      <c r="F1333">
        <v>12.79</v>
      </c>
      <c r="G1333" t="s">
        <v>4686</v>
      </c>
      <c r="H1333" t="s">
        <v>4687</v>
      </c>
      <c r="I1333">
        <v>26575</v>
      </c>
      <c r="J1333">
        <v>54272</v>
      </c>
      <c r="K1333" t="s">
        <v>2947</v>
      </c>
      <c r="L1333" t="str">
        <f>SUBSTITUTE(K1333,"'","")</f>
        <v>320252300119296527</v>
      </c>
      <c r="M1333">
        <v>54820</v>
      </c>
    </row>
    <row r="1334" spans="1:13" x14ac:dyDescent="0.4">
      <c r="A1334" s="1">
        <v>45886</v>
      </c>
      <c r="B1334" t="s">
        <v>4683</v>
      </c>
      <c r="C1334" t="s">
        <v>5262</v>
      </c>
      <c r="D1334">
        <v>54820</v>
      </c>
      <c r="E1334" t="s">
        <v>2240</v>
      </c>
      <c r="F1334">
        <v>36.29</v>
      </c>
      <c r="G1334" t="s">
        <v>4686</v>
      </c>
      <c r="H1334" t="s">
        <v>4687</v>
      </c>
      <c r="I1334">
        <v>26145</v>
      </c>
      <c r="J1334">
        <v>53412</v>
      </c>
      <c r="K1334" t="s">
        <v>2953</v>
      </c>
      <c r="L1334" t="str">
        <f>SUBSTITUTE(K1334,"'","")</f>
        <v>320252300124835234</v>
      </c>
      <c r="M1334">
        <v>54820</v>
      </c>
    </row>
    <row r="1335" spans="1:13" x14ac:dyDescent="0.4">
      <c r="A1335" s="1">
        <v>45886</v>
      </c>
      <c r="B1335" t="s">
        <v>4683</v>
      </c>
      <c r="C1335" t="s">
        <v>6397</v>
      </c>
      <c r="D1335">
        <v>65505</v>
      </c>
      <c r="E1335" t="s">
        <v>427</v>
      </c>
      <c r="F1335" s="5">
        <v>1000</v>
      </c>
      <c r="G1335" t="s">
        <v>4686</v>
      </c>
      <c r="H1335" t="s">
        <v>4687</v>
      </c>
      <c r="I1335">
        <v>26036</v>
      </c>
      <c r="J1335">
        <v>53194</v>
      </c>
      <c r="K1335" t="s">
        <v>435</v>
      </c>
      <c r="L1335" t="str">
        <f>SUBSTITUTE(K1335,"'","")</f>
        <v>320252300126386159</v>
      </c>
      <c r="M1335">
        <v>65505</v>
      </c>
    </row>
    <row r="1336" spans="1:13" x14ac:dyDescent="0.4">
      <c r="A1336" s="1">
        <v>45886</v>
      </c>
      <c r="B1336" t="s">
        <v>4683</v>
      </c>
      <c r="C1336" t="s">
        <v>6396</v>
      </c>
      <c r="D1336">
        <v>65505</v>
      </c>
      <c r="E1336" t="s">
        <v>427</v>
      </c>
      <c r="F1336">
        <v>100</v>
      </c>
      <c r="G1336" t="s">
        <v>4686</v>
      </c>
      <c r="H1336" t="s">
        <v>4687</v>
      </c>
      <c r="I1336">
        <v>26035</v>
      </c>
      <c r="J1336">
        <v>53192</v>
      </c>
      <c r="K1336" t="s">
        <v>432</v>
      </c>
      <c r="L1336" t="str">
        <f>SUBSTITUTE(K1336,"'","")</f>
        <v>320252300126388144</v>
      </c>
      <c r="M1336">
        <v>65505</v>
      </c>
    </row>
    <row r="1337" spans="1:13" x14ac:dyDescent="0.4">
      <c r="A1337" s="1">
        <v>45887</v>
      </c>
      <c r="B1337" t="s">
        <v>4683</v>
      </c>
      <c r="C1337" t="s">
        <v>5267</v>
      </c>
      <c r="D1337">
        <v>54820</v>
      </c>
      <c r="E1337" t="s">
        <v>2291</v>
      </c>
      <c r="F1337">
        <v>219.06</v>
      </c>
      <c r="G1337" t="s">
        <v>4686</v>
      </c>
      <c r="H1337" t="s">
        <v>4687</v>
      </c>
      <c r="I1337">
        <v>26771</v>
      </c>
      <c r="J1337">
        <v>54664</v>
      </c>
      <c r="K1337" t="s">
        <v>2943</v>
      </c>
      <c r="L1337" t="str">
        <f>SUBSTITUTE(K1337,"'","")</f>
        <v>320252300110456457</v>
      </c>
      <c r="M1337">
        <v>54820</v>
      </c>
    </row>
    <row r="1338" spans="1:13" x14ac:dyDescent="0.4">
      <c r="A1338" s="1">
        <v>45887</v>
      </c>
      <c r="B1338" t="s">
        <v>4683</v>
      </c>
      <c r="C1338" t="s">
        <v>6500</v>
      </c>
      <c r="D1338">
        <v>67500</v>
      </c>
      <c r="E1338" t="s">
        <v>106</v>
      </c>
      <c r="F1338">
        <v>36.770000000000003</v>
      </c>
      <c r="G1338" t="s">
        <v>4686</v>
      </c>
      <c r="H1338" t="s">
        <v>4687</v>
      </c>
      <c r="I1338">
        <v>26376</v>
      </c>
      <c r="J1338">
        <v>53874</v>
      </c>
      <c r="K1338" t="s">
        <v>2945</v>
      </c>
      <c r="L1338" t="str">
        <f>SUBSTITUTE(K1338,"'","")</f>
        <v>320252300111365355</v>
      </c>
      <c r="M1338">
        <v>67500</v>
      </c>
    </row>
    <row r="1339" spans="1:13" x14ac:dyDescent="0.4">
      <c r="A1339" s="1">
        <v>45887</v>
      </c>
      <c r="B1339" t="s">
        <v>4683</v>
      </c>
      <c r="C1339" t="s">
        <v>5265</v>
      </c>
      <c r="D1339">
        <v>54820</v>
      </c>
      <c r="E1339" t="s">
        <v>422</v>
      </c>
      <c r="F1339" s="5">
        <v>2826.66</v>
      </c>
      <c r="G1339" t="s">
        <v>4686</v>
      </c>
      <c r="H1339" t="s">
        <v>4687</v>
      </c>
      <c r="I1339">
        <v>26023</v>
      </c>
      <c r="J1339">
        <v>53168</v>
      </c>
      <c r="K1339" t="s">
        <v>426</v>
      </c>
      <c r="L1339" t="str">
        <f>SUBSTITUTE(K1339,"'","")</f>
        <v>320252300118040968</v>
      </c>
      <c r="M1339">
        <v>54820</v>
      </c>
    </row>
    <row r="1340" spans="1:13" x14ac:dyDescent="0.4">
      <c r="A1340" s="1">
        <v>45887</v>
      </c>
      <c r="B1340" t="s">
        <v>4683</v>
      </c>
      <c r="C1340" t="s">
        <v>5266</v>
      </c>
      <c r="D1340">
        <v>54820</v>
      </c>
      <c r="E1340" t="s">
        <v>977</v>
      </c>
      <c r="F1340">
        <v>10</v>
      </c>
      <c r="G1340" t="s">
        <v>4686</v>
      </c>
      <c r="H1340" t="s">
        <v>4687</v>
      </c>
      <c r="I1340">
        <v>26499</v>
      </c>
      <c r="J1340">
        <v>54120</v>
      </c>
      <c r="K1340" t="s">
        <v>2941</v>
      </c>
      <c r="L1340" t="str">
        <f>SUBSTITUTE(K1340,"'","")</f>
        <v>320252300132113727</v>
      </c>
      <c r="M1340">
        <v>54820</v>
      </c>
    </row>
    <row r="1341" spans="1:13" x14ac:dyDescent="0.4">
      <c r="A1341" s="1">
        <v>45887</v>
      </c>
      <c r="B1341" t="s">
        <v>4683</v>
      </c>
      <c r="C1341" t="s">
        <v>5925</v>
      </c>
      <c r="D1341">
        <v>61131</v>
      </c>
      <c r="E1341" t="s">
        <v>38</v>
      </c>
      <c r="F1341">
        <v>885.96</v>
      </c>
      <c r="G1341" t="s">
        <v>4686</v>
      </c>
      <c r="H1341" t="s">
        <v>4687</v>
      </c>
      <c r="I1341">
        <v>25634</v>
      </c>
      <c r="J1341">
        <v>52390</v>
      </c>
      <c r="K1341" t="s">
        <v>421</v>
      </c>
      <c r="L1341" t="str">
        <f>SUBSTITUTE(K1341,"'","")</f>
        <v>320252310155006735</v>
      </c>
      <c r="M1341">
        <v>61131</v>
      </c>
    </row>
    <row r="1342" spans="1:13" x14ac:dyDescent="0.4">
      <c r="A1342" s="1">
        <v>45888</v>
      </c>
      <c r="B1342" t="s">
        <v>4683</v>
      </c>
      <c r="C1342" t="s">
        <v>5273</v>
      </c>
      <c r="D1342">
        <v>54820</v>
      </c>
      <c r="E1342" t="s">
        <v>2928</v>
      </c>
      <c r="F1342">
        <v>105.93</v>
      </c>
      <c r="G1342" t="s">
        <v>4686</v>
      </c>
      <c r="H1342" t="s">
        <v>4687</v>
      </c>
      <c r="I1342">
        <v>26841</v>
      </c>
      <c r="J1342">
        <v>54804</v>
      </c>
      <c r="K1342" t="s">
        <v>2930</v>
      </c>
      <c r="L1342" t="str">
        <f>SUBSTITUTE(K1342,"'","")</f>
        <v>320252310138125319</v>
      </c>
      <c r="M1342">
        <v>54820</v>
      </c>
    </row>
    <row r="1343" spans="1:13" x14ac:dyDescent="0.4">
      <c r="A1343" s="1">
        <v>45888</v>
      </c>
      <c r="B1343" t="s">
        <v>4683</v>
      </c>
      <c r="C1343" t="s">
        <v>5268</v>
      </c>
      <c r="D1343">
        <v>54820</v>
      </c>
      <c r="E1343" t="s">
        <v>2934</v>
      </c>
      <c r="F1343">
        <v>12.79</v>
      </c>
      <c r="G1343" t="s">
        <v>4686</v>
      </c>
      <c r="H1343" t="s">
        <v>4687</v>
      </c>
      <c r="I1343">
        <v>26576</v>
      </c>
      <c r="J1343">
        <v>54274</v>
      </c>
      <c r="K1343" t="s">
        <v>2937</v>
      </c>
      <c r="L1343" t="str">
        <f>SUBSTITUTE(K1343,"'","")</f>
        <v>320252320175378331</v>
      </c>
      <c r="M1343">
        <v>54820</v>
      </c>
    </row>
    <row r="1344" spans="1:13" x14ac:dyDescent="0.4">
      <c r="A1344" s="1">
        <v>45888</v>
      </c>
      <c r="B1344" t="s">
        <v>4683</v>
      </c>
      <c r="C1344" t="s">
        <v>5271</v>
      </c>
      <c r="D1344">
        <v>54820</v>
      </c>
      <c r="E1344" t="s">
        <v>2285</v>
      </c>
      <c r="F1344">
        <v>1.06</v>
      </c>
      <c r="G1344" t="s">
        <v>4686</v>
      </c>
      <c r="H1344" t="s">
        <v>4687</v>
      </c>
      <c r="I1344">
        <v>26839</v>
      </c>
      <c r="J1344">
        <v>54800</v>
      </c>
      <c r="K1344" t="s">
        <v>2924</v>
      </c>
      <c r="L1344" t="str">
        <f>SUBSTITUTE(K1344,"'","")</f>
        <v>320252320179925217</v>
      </c>
      <c r="M1344">
        <v>54820</v>
      </c>
    </row>
    <row r="1345" spans="1:13" x14ac:dyDescent="0.4">
      <c r="A1345" s="1">
        <v>45888</v>
      </c>
      <c r="B1345" t="s">
        <v>4683</v>
      </c>
      <c r="C1345" t="s">
        <v>5270</v>
      </c>
      <c r="D1345">
        <v>54820</v>
      </c>
      <c r="E1345" t="s">
        <v>2931</v>
      </c>
      <c r="F1345">
        <v>206.75</v>
      </c>
      <c r="G1345" t="s">
        <v>4686</v>
      </c>
      <c r="H1345" t="s">
        <v>4687</v>
      </c>
      <c r="I1345">
        <v>26772</v>
      </c>
      <c r="J1345">
        <v>54666</v>
      </c>
      <c r="K1345" t="s">
        <v>2933</v>
      </c>
      <c r="L1345" t="str">
        <f>SUBSTITUTE(K1345,"'","")</f>
        <v>320252320180453826</v>
      </c>
      <c r="M1345">
        <v>54820</v>
      </c>
    </row>
    <row r="1346" spans="1:13" x14ac:dyDescent="0.4">
      <c r="A1346" s="1">
        <v>45888</v>
      </c>
      <c r="B1346" t="s">
        <v>4683</v>
      </c>
      <c r="C1346" t="s">
        <v>5269</v>
      </c>
      <c r="D1346">
        <v>54820</v>
      </c>
      <c r="E1346" t="s">
        <v>2085</v>
      </c>
      <c r="F1346">
        <v>111.02</v>
      </c>
      <c r="G1346" t="s">
        <v>4686</v>
      </c>
      <c r="H1346" t="s">
        <v>4687</v>
      </c>
      <c r="I1346">
        <v>26706</v>
      </c>
      <c r="J1346">
        <v>54534</v>
      </c>
      <c r="K1346" t="s">
        <v>2939</v>
      </c>
      <c r="L1346" t="str">
        <f>SUBSTITUTE(K1346,"'","")</f>
        <v>320252320181771423</v>
      </c>
      <c r="M1346">
        <v>54820</v>
      </c>
    </row>
    <row r="1347" spans="1:13" x14ac:dyDescent="0.4">
      <c r="A1347" s="1">
        <v>45888</v>
      </c>
      <c r="B1347" t="s">
        <v>4683</v>
      </c>
      <c r="C1347" t="s">
        <v>5272</v>
      </c>
      <c r="D1347">
        <v>54820</v>
      </c>
      <c r="E1347" t="s">
        <v>2925</v>
      </c>
      <c r="F1347">
        <v>11.22</v>
      </c>
      <c r="G1347" t="s">
        <v>4686</v>
      </c>
      <c r="H1347" t="s">
        <v>4687</v>
      </c>
      <c r="I1347">
        <v>26840</v>
      </c>
      <c r="J1347">
        <v>54802</v>
      </c>
      <c r="K1347" t="s">
        <v>2927</v>
      </c>
      <c r="L1347" t="str">
        <f>SUBSTITUTE(K1347,"'","")</f>
        <v>320252320182739987</v>
      </c>
      <c r="M1347">
        <v>54820</v>
      </c>
    </row>
    <row r="1348" spans="1:13" x14ac:dyDescent="0.4">
      <c r="A1348" s="1">
        <v>45889</v>
      </c>
      <c r="B1348" t="s">
        <v>4683</v>
      </c>
      <c r="C1348" t="s">
        <v>5277</v>
      </c>
      <c r="D1348">
        <v>54820</v>
      </c>
      <c r="E1348" t="s">
        <v>2448</v>
      </c>
      <c r="F1348">
        <v>32.25</v>
      </c>
      <c r="G1348" t="s">
        <v>4686</v>
      </c>
      <c r="H1348" t="s">
        <v>4687</v>
      </c>
      <c r="I1348">
        <v>27040</v>
      </c>
      <c r="J1348">
        <v>55202</v>
      </c>
      <c r="K1348" t="s">
        <v>2918</v>
      </c>
      <c r="L1348" t="str">
        <f>SUBSTITUTE(K1348,"'","")</f>
        <v>320252320167425298</v>
      </c>
      <c r="M1348">
        <v>54820</v>
      </c>
    </row>
    <row r="1349" spans="1:13" x14ac:dyDescent="0.4">
      <c r="A1349" s="1">
        <v>45889</v>
      </c>
      <c r="B1349" t="s">
        <v>4683</v>
      </c>
      <c r="C1349" t="s">
        <v>5274</v>
      </c>
      <c r="D1349">
        <v>54820</v>
      </c>
      <c r="E1349" t="s">
        <v>2914</v>
      </c>
      <c r="F1349">
        <v>48</v>
      </c>
      <c r="G1349" t="s">
        <v>4686</v>
      </c>
      <c r="H1349" t="s">
        <v>4687</v>
      </c>
      <c r="I1349">
        <v>26318</v>
      </c>
      <c r="J1349">
        <v>53758</v>
      </c>
      <c r="K1349" t="s">
        <v>2916</v>
      </c>
      <c r="L1349" t="str">
        <f>SUBSTITUTE(K1349,"'","")</f>
        <v>320252320168425226</v>
      </c>
      <c r="M1349">
        <v>54820</v>
      </c>
    </row>
    <row r="1350" spans="1:13" x14ac:dyDescent="0.4">
      <c r="A1350" s="1">
        <v>45889</v>
      </c>
      <c r="B1350" t="s">
        <v>4683</v>
      </c>
      <c r="C1350" t="s">
        <v>5275</v>
      </c>
      <c r="D1350">
        <v>54820</v>
      </c>
      <c r="E1350" t="s">
        <v>2125</v>
      </c>
      <c r="F1350">
        <v>13.9</v>
      </c>
      <c r="G1350" t="s">
        <v>4686</v>
      </c>
      <c r="H1350" t="s">
        <v>4687</v>
      </c>
      <c r="I1350">
        <v>26535</v>
      </c>
      <c r="J1350">
        <v>54192</v>
      </c>
      <c r="K1350" t="s">
        <v>2920</v>
      </c>
      <c r="L1350" t="str">
        <f>SUBSTITUTE(K1350,"'","")</f>
        <v>320252320169432534</v>
      </c>
      <c r="M1350">
        <v>54820</v>
      </c>
    </row>
    <row r="1351" spans="1:13" x14ac:dyDescent="0.4">
      <c r="A1351" s="1">
        <v>45889</v>
      </c>
      <c r="B1351" t="s">
        <v>4683</v>
      </c>
      <c r="C1351" t="s">
        <v>6501</v>
      </c>
      <c r="D1351">
        <v>67500</v>
      </c>
      <c r="E1351" t="s">
        <v>106</v>
      </c>
      <c r="F1351">
        <v>95.13</v>
      </c>
      <c r="G1351" t="s">
        <v>4686</v>
      </c>
      <c r="H1351" t="s">
        <v>4687</v>
      </c>
      <c r="I1351">
        <v>26377</v>
      </c>
      <c r="J1351">
        <v>53876</v>
      </c>
      <c r="K1351" t="s">
        <v>2922</v>
      </c>
      <c r="L1351" t="str">
        <f>SUBSTITUTE(K1351,"'","")</f>
        <v>320252320169527429</v>
      </c>
      <c r="M1351">
        <v>67500</v>
      </c>
    </row>
    <row r="1352" spans="1:13" x14ac:dyDescent="0.4">
      <c r="A1352" s="1">
        <v>45889</v>
      </c>
      <c r="B1352" t="s">
        <v>4683</v>
      </c>
      <c r="C1352" t="s">
        <v>5926</v>
      </c>
      <c r="D1352">
        <v>61131</v>
      </c>
      <c r="E1352" t="s">
        <v>317</v>
      </c>
      <c r="F1352">
        <v>24.95</v>
      </c>
      <c r="G1352" t="s">
        <v>4686</v>
      </c>
      <c r="H1352" t="s">
        <v>4687</v>
      </c>
      <c r="I1352">
        <v>25651</v>
      </c>
      <c r="J1352">
        <v>52424</v>
      </c>
      <c r="K1352" t="s">
        <v>419</v>
      </c>
      <c r="L1352" t="str">
        <f>SUBSTITUTE(K1352,"'","")</f>
        <v>320252320187312321</v>
      </c>
      <c r="M1352">
        <v>61131</v>
      </c>
    </row>
    <row r="1353" spans="1:13" x14ac:dyDescent="0.4">
      <c r="A1353" s="1">
        <v>45889</v>
      </c>
      <c r="B1353" t="s">
        <v>4683</v>
      </c>
      <c r="C1353" t="s">
        <v>5276</v>
      </c>
      <c r="D1353">
        <v>54820</v>
      </c>
      <c r="E1353" t="s">
        <v>2142</v>
      </c>
      <c r="F1353">
        <v>6.29</v>
      </c>
      <c r="G1353" t="s">
        <v>4686</v>
      </c>
      <c r="H1353" t="s">
        <v>4687</v>
      </c>
      <c r="I1353">
        <v>26602</v>
      </c>
      <c r="J1353">
        <v>54326</v>
      </c>
      <c r="K1353" t="s">
        <v>2913</v>
      </c>
      <c r="L1353" t="str">
        <f>SUBSTITUTE(K1353,"'","")</f>
        <v>320252330203814060</v>
      </c>
      <c r="M1353">
        <v>54820</v>
      </c>
    </row>
    <row r="1354" spans="1:13" x14ac:dyDescent="0.4">
      <c r="A1354" s="1">
        <v>45890</v>
      </c>
      <c r="B1354" t="s">
        <v>4683</v>
      </c>
      <c r="C1354" t="s">
        <v>5282</v>
      </c>
      <c r="D1354">
        <v>54820</v>
      </c>
      <c r="E1354" t="s">
        <v>583</v>
      </c>
      <c r="F1354">
        <v>167.56</v>
      </c>
      <c r="G1354" t="s">
        <v>4686</v>
      </c>
      <c r="H1354" t="s">
        <v>4687</v>
      </c>
      <c r="I1354">
        <v>26773</v>
      </c>
      <c r="J1354">
        <v>54668</v>
      </c>
      <c r="K1354" t="s">
        <v>2911</v>
      </c>
      <c r="L1354" t="str">
        <f>SUBSTITUTE(K1354,"'","")</f>
        <v>320252330199572640</v>
      </c>
      <c r="M1354">
        <v>54820</v>
      </c>
    </row>
    <row r="1355" spans="1:13" x14ac:dyDescent="0.4">
      <c r="A1355" s="1">
        <v>45890</v>
      </c>
      <c r="B1355" t="s">
        <v>4683</v>
      </c>
      <c r="C1355" t="s">
        <v>6290</v>
      </c>
      <c r="D1355">
        <v>64100</v>
      </c>
      <c r="E1355" t="s">
        <v>2901</v>
      </c>
      <c r="F1355">
        <v>15</v>
      </c>
      <c r="G1355" t="s">
        <v>4686</v>
      </c>
      <c r="H1355" t="s">
        <v>4687</v>
      </c>
      <c r="I1355">
        <v>26665</v>
      </c>
      <c r="J1355">
        <v>54452</v>
      </c>
      <c r="K1355" t="s">
        <v>2903</v>
      </c>
      <c r="L1355" t="str">
        <f>SUBSTITUTE(K1355,"'","")</f>
        <v>320252330216489733</v>
      </c>
      <c r="M1355">
        <v>64100</v>
      </c>
    </row>
    <row r="1356" spans="1:13" x14ac:dyDescent="0.4">
      <c r="A1356" s="1">
        <v>45890</v>
      </c>
      <c r="B1356" t="s">
        <v>4683</v>
      </c>
      <c r="C1356" t="s">
        <v>5278</v>
      </c>
      <c r="D1356">
        <v>54820</v>
      </c>
      <c r="E1356" t="s">
        <v>2741</v>
      </c>
      <c r="F1356">
        <v>58.59</v>
      </c>
      <c r="G1356" t="s">
        <v>4686</v>
      </c>
      <c r="H1356" t="s">
        <v>4687</v>
      </c>
      <c r="I1356">
        <v>26197</v>
      </c>
      <c r="J1356">
        <v>53516</v>
      </c>
      <c r="K1356" t="s">
        <v>2909</v>
      </c>
      <c r="L1356" t="str">
        <f>SUBSTITUTE(K1356,"'","")</f>
        <v>320252340232750976</v>
      </c>
      <c r="M1356">
        <v>54820</v>
      </c>
    </row>
    <row r="1357" spans="1:13" x14ac:dyDescent="0.4">
      <c r="A1357" s="1">
        <v>45890</v>
      </c>
      <c r="B1357" t="s">
        <v>4683</v>
      </c>
      <c r="C1357" t="s">
        <v>5281</v>
      </c>
      <c r="D1357">
        <v>54820</v>
      </c>
      <c r="E1357" t="s">
        <v>2764</v>
      </c>
      <c r="F1357">
        <v>10.34</v>
      </c>
      <c r="G1357" t="s">
        <v>4686</v>
      </c>
      <c r="H1357" t="s">
        <v>4687</v>
      </c>
      <c r="I1357">
        <v>26744</v>
      </c>
      <c r="J1357">
        <v>54610</v>
      </c>
      <c r="K1357" t="s">
        <v>2900</v>
      </c>
      <c r="L1357" t="str">
        <f>SUBSTITUTE(K1357,"'","")</f>
        <v>320252340236210252</v>
      </c>
      <c r="M1357">
        <v>54820</v>
      </c>
    </row>
    <row r="1358" spans="1:13" x14ac:dyDescent="0.4">
      <c r="A1358" s="1">
        <v>45890</v>
      </c>
      <c r="B1358" t="s">
        <v>4683</v>
      </c>
      <c r="C1358" t="s">
        <v>5279</v>
      </c>
      <c r="D1358">
        <v>54820</v>
      </c>
      <c r="E1358" t="s">
        <v>977</v>
      </c>
      <c r="F1358">
        <v>20</v>
      </c>
      <c r="G1358" t="s">
        <v>4686</v>
      </c>
      <c r="H1358" t="s">
        <v>4687</v>
      </c>
      <c r="I1358">
        <v>26500</v>
      </c>
      <c r="J1358">
        <v>54122</v>
      </c>
      <c r="K1358" t="s">
        <v>2905</v>
      </c>
      <c r="L1358" t="str">
        <f>SUBSTITUTE(K1358,"'","")</f>
        <v>320252340241197273</v>
      </c>
      <c r="M1358">
        <v>54820</v>
      </c>
    </row>
    <row r="1359" spans="1:13" x14ac:dyDescent="0.4">
      <c r="A1359" s="1">
        <v>45890</v>
      </c>
      <c r="B1359" t="s">
        <v>4683</v>
      </c>
      <c r="C1359" t="s">
        <v>5280</v>
      </c>
      <c r="D1359">
        <v>54820</v>
      </c>
      <c r="E1359" t="s">
        <v>977</v>
      </c>
      <c r="F1359">
        <v>20</v>
      </c>
      <c r="G1359" t="s">
        <v>4686</v>
      </c>
      <c r="H1359" t="s">
        <v>4687</v>
      </c>
      <c r="I1359">
        <v>26501</v>
      </c>
      <c r="J1359">
        <v>54124</v>
      </c>
      <c r="K1359" t="s">
        <v>2907</v>
      </c>
      <c r="L1359" t="str">
        <f>SUBSTITUTE(K1359,"'","")</f>
        <v>320252340242667809</v>
      </c>
      <c r="M1359">
        <v>54820</v>
      </c>
    </row>
    <row r="1360" spans="1:13" x14ac:dyDescent="0.4">
      <c r="A1360" s="1">
        <v>45891</v>
      </c>
      <c r="B1360" t="s">
        <v>4683</v>
      </c>
      <c r="C1360" t="s">
        <v>6292</v>
      </c>
      <c r="D1360">
        <v>64100</v>
      </c>
      <c r="E1360" t="s">
        <v>2365</v>
      </c>
      <c r="F1360">
        <v>135.47999999999999</v>
      </c>
      <c r="G1360" t="s">
        <v>4686</v>
      </c>
      <c r="H1360" t="s">
        <v>4687</v>
      </c>
      <c r="I1360">
        <v>26912</v>
      </c>
      <c r="J1360">
        <v>54946</v>
      </c>
      <c r="K1360" t="s">
        <v>2896</v>
      </c>
      <c r="L1360" t="str">
        <f>SUBSTITUTE(K1360,"'","")</f>
        <v>320252340222060254</v>
      </c>
      <c r="M1360">
        <v>64100</v>
      </c>
    </row>
    <row r="1361" spans="1:13" x14ac:dyDescent="0.4">
      <c r="A1361" s="1">
        <v>45891</v>
      </c>
      <c r="B1361" t="s">
        <v>4683</v>
      </c>
      <c r="C1361" t="s">
        <v>6291</v>
      </c>
      <c r="D1361">
        <v>64100</v>
      </c>
      <c r="E1361" t="s">
        <v>32</v>
      </c>
      <c r="F1361">
        <v>21.4</v>
      </c>
      <c r="G1361" t="s">
        <v>4686</v>
      </c>
      <c r="H1361" t="s">
        <v>4687</v>
      </c>
      <c r="I1361">
        <v>25566</v>
      </c>
      <c r="J1361">
        <v>52254</v>
      </c>
      <c r="K1361" t="s">
        <v>417</v>
      </c>
      <c r="L1361" t="str">
        <f>SUBSTITUTE(K1361,"'","")</f>
        <v>320252340226207750</v>
      </c>
      <c r="M1361">
        <v>64100</v>
      </c>
    </row>
    <row r="1362" spans="1:13" x14ac:dyDescent="0.4">
      <c r="A1362" s="1">
        <v>45891</v>
      </c>
      <c r="B1362" t="s">
        <v>4683</v>
      </c>
      <c r="C1362" t="s">
        <v>5284</v>
      </c>
      <c r="D1362">
        <v>54820</v>
      </c>
      <c r="E1362" t="s">
        <v>583</v>
      </c>
      <c r="F1362">
        <v>206.26</v>
      </c>
      <c r="G1362" t="s">
        <v>4686</v>
      </c>
      <c r="H1362" t="s">
        <v>4687</v>
      </c>
      <c r="I1362">
        <v>26774</v>
      </c>
      <c r="J1362">
        <v>54670</v>
      </c>
      <c r="K1362" t="s">
        <v>2898</v>
      </c>
      <c r="L1362" t="str">
        <f>SUBSTITUTE(K1362,"'","")</f>
        <v>320252340228463939</v>
      </c>
      <c r="M1362">
        <v>54820</v>
      </c>
    </row>
    <row r="1363" spans="1:13" x14ac:dyDescent="0.4">
      <c r="A1363" s="1">
        <v>45891</v>
      </c>
      <c r="B1363" t="s">
        <v>4683</v>
      </c>
      <c r="C1363" t="s">
        <v>5528</v>
      </c>
      <c r="D1363">
        <v>61100</v>
      </c>
      <c r="E1363" t="s">
        <v>2887</v>
      </c>
      <c r="F1363" s="5">
        <v>3750</v>
      </c>
      <c r="G1363" t="s">
        <v>4686</v>
      </c>
      <c r="H1363" t="s">
        <v>4687</v>
      </c>
      <c r="I1363">
        <v>26911</v>
      </c>
      <c r="J1363">
        <v>54944</v>
      </c>
      <c r="K1363" t="s">
        <v>2890</v>
      </c>
      <c r="L1363" t="str">
        <f>SUBSTITUTE(K1363,"'","")</f>
        <v>320252340245266658</v>
      </c>
      <c r="M1363">
        <v>61100</v>
      </c>
    </row>
    <row r="1364" spans="1:13" x14ac:dyDescent="0.4">
      <c r="A1364" s="1">
        <v>45891</v>
      </c>
      <c r="B1364" t="s">
        <v>4683</v>
      </c>
      <c r="C1364" t="s">
        <v>5283</v>
      </c>
      <c r="D1364">
        <v>54820</v>
      </c>
      <c r="E1364" t="s">
        <v>2142</v>
      </c>
      <c r="F1364">
        <v>64.5</v>
      </c>
      <c r="G1364" t="s">
        <v>4686</v>
      </c>
      <c r="H1364" t="s">
        <v>4687</v>
      </c>
      <c r="I1364">
        <v>26603</v>
      </c>
      <c r="J1364">
        <v>54328</v>
      </c>
      <c r="K1364" t="s">
        <v>2892</v>
      </c>
      <c r="L1364" t="str">
        <f>SUBSTITUTE(K1364,"'","")</f>
        <v>320252350264634872</v>
      </c>
      <c r="M1364">
        <v>54820</v>
      </c>
    </row>
    <row r="1365" spans="1:13" x14ac:dyDescent="0.4">
      <c r="A1365" s="1">
        <v>45891</v>
      </c>
      <c r="B1365" t="s">
        <v>4683</v>
      </c>
      <c r="C1365" t="s">
        <v>6502</v>
      </c>
      <c r="D1365">
        <v>67500</v>
      </c>
      <c r="E1365" t="s">
        <v>2146</v>
      </c>
      <c r="F1365">
        <v>41.72</v>
      </c>
      <c r="G1365" t="s">
        <v>4686</v>
      </c>
      <c r="H1365" t="s">
        <v>4687</v>
      </c>
      <c r="I1365">
        <v>26436</v>
      </c>
      <c r="J1365">
        <v>53994</v>
      </c>
      <c r="K1365" t="s">
        <v>2894</v>
      </c>
      <c r="L1365" t="str">
        <f>SUBSTITUTE(K1365,"'","")</f>
        <v>320252350268074774</v>
      </c>
      <c r="M1365">
        <v>67500</v>
      </c>
    </row>
    <row r="1366" spans="1:13" x14ac:dyDescent="0.4">
      <c r="A1366" s="1">
        <v>45892</v>
      </c>
      <c r="B1366" t="s">
        <v>4683</v>
      </c>
      <c r="C1366" t="s">
        <v>5286</v>
      </c>
      <c r="D1366">
        <v>54820</v>
      </c>
      <c r="E1366" t="s">
        <v>583</v>
      </c>
      <c r="F1366">
        <v>52.68</v>
      </c>
      <c r="G1366" t="s">
        <v>4686</v>
      </c>
      <c r="H1366" t="s">
        <v>4687</v>
      </c>
      <c r="I1366">
        <v>26775</v>
      </c>
      <c r="J1366">
        <v>54672</v>
      </c>
      <c r="K1366" t="s">
        <v>2884</v>
      </c>
      <c r="L1366" t="str">
        <f>SUBSTITUTE(K1366,"'","")</f>
        <v>320252350259432898</v>
      </c>
      <c r="M1366">
        <v>54820</v>
      </c>
    </row>
    <row r="1367" spans="1:13" x14ac:dyDescent="0.4">
      <c r="A1367" s="1">
        <v>45892</v>
      </c>
      <c r="B1367" t="s">
        <v>4683</v>
      </c>
      <c r="C1367" t="s">
        <v>5287</v>
      </c>
      <c r="D1367">
        <v>54820</v>
      </c>
      <c r="E1367" t="s">
        <v>583</v>
      </c>
      <c r="F1367">
        <v>157.1</v>
      </c>
      <c r="G1367" t="s">
        <v>4686</v>
      </c>
      <c r="H1367" t="s">
        <v>4687</v>
      </c>
      <c r="I1367">
        <v>26776</v>
      </c>
      <c r="J1367">
        <v>54674</v>
      </c>
      <c r="K1367" t="s">
        <v>2886</v>
      </c>
      <c r="L1367" t="str">
        <f>SUBSTITUTE(K1367,"'","")</f>
        <v>320252350259447656</v>
      </c>
      <c r="M1367">
        <v>54820</v>
      </c>
    </row>
    <row r="1368" spans="1:13" x14ac:dyDescent="0.4">
      <c r="A1368" s="1">
        <v>45892</v>
      </c>
      <c r="B1368" t="s">
        <v>4683</v>
      </c>
      <c r="C1368" t="s">
        <v>5285</v>
      </c>
      <c r="D1368">
        <v>54820</v>
      </c>
      <c r="E1368" t="s">
        <v>179</v>
      </c>
      <c r="F1368">
        <v>28.58</v>
      </c>
      <c r="G1368" t="s">
        <v>4686</v>
      </c>
      <c r="H1368" t="s">
        <v>4687</v>
      </c>
      <c r="I1368">
        <v>26391</v>
      </c>
      <c r="J1368">
        <v>53904</v>
      </c>
      <c r="K1368" t="s">
        <v>2882</v>
      </c>
      <c r="L1368" t="str">
        <f>SUBSTITUTE(K1368,"'","")</f>
        <v>320252360293771222</v>
      </c>
      <c r="M1368">
        <v>54820</v>
      </c>
    </row>
    <row r="1369" spans="1:13" x14ac:dyDescent="0.4">
      <c r="A1369" s="1">
        <v>45893</v>
      </c>
      <c r="B1369" t="s">
        <v>4683</v>
      </c>
      <c r="C1369" t="s">
        <v>5289</v>
      </c>
      <c r="D1369">
        <v>54820</v>
      </c>
      <c r="E1369" t="s">
        <v>2871</v>
      </c>
      <c r="F1369">
        <v>45.55</v>
      </c>
      <c r="G1369" t="s">
        <v>4686</v>
      </c>
      <c r="H1369" t="s">
        <v>4687</v>
      </c>
      <c r="I1369">
        <v>27042</v>
      </c>
      <c r="J1369">
        <v>55206</v>
      </c>
      <c r="K1369" t="s">
        <v>2876</v>
      </c>
      <c r="L1369" t="str">
        <f>SUBSTITUTE(K1369,"'","")</f>
        <v>320252370311493992</v>
      </c>
      <c r="M1369">
        <v>54820</v>
      </c>
    </row>
    <row r="1370" spans="1:13" x14ac:dyDescent="0.4">
      <c r="A1370" s="1">
        <v>45893</v>
      </c>
      <c r="B1370" t="s">
        <v>4683</v>
      </c>
      <c r="C1370" t="s">
        <v>5288</v>
      </c>
      <c r="D1370">
        <v>54820</v>
      </c>
      <c r="E1370" t="s">
        <v>2871</v>
      </c>
      <c r="F1370">
        <v>0.6</v>
      </c>
      <c r="G1370" t="s">
        <v>4686</v>
      </c>
      <c r="H1370" t="s">
        <v>4687</v>
      </c>
      <c r="I1370">
        <v>27041</v>
      </c>
      <c r="J1370">
        <v>55204</v>
      </c>
      <c r="K1370" t="s">
        <v>2874</v>
      </c>
      <c r="L1370" t="str">
        <f>SUBSTITUTE(K1370,"'","")</f>
        <v>320252370311594430</v>
      </c>
      <c r="M1370">
        <v>54820</v>
      </c>
    </row>
    <row r="1371" spans="1:13" x14ac:dyDescent="0.4">
      <c r="A1371" s="1">
        <v>45893</v>
      </c>
      <c r="B1371" t="s">
        <v>4683</v>
      </c>
      <c r="C1371" t="s">
        <v>5290</v>
      </c>
      <c r="D1371">
        <v>54820</v>
      </c>
      <c r="E1371" t="s">
        <v>546</v>
      </c>
      <c r="F1371">
        <v>21.67</v>
      </c>
      <c r="G1371" t="s">
        <v>4686</v>
      </c>
      <c r="H1371" t="s">
        <v>4687</v>
      </c>
      <c r="I1371">
        <v>27043</v>
      </c>
      <c r="J1371">
        <v>55208</v>
      </c>
      <c r="K1371" t="s">
        <v>2880</v>
      </c>
      <c r="L1371" t="str">
        <f>SUBSTITUTE(K1371,"'","")</f>
        <v>320252370313169569</v>
      </c>
      <c r="M1371">
        <v>54820</v>
      </c>
    </row>
    <row r="1372" spans="1:13" x14ac:dyDescent="0.4">
      <c r="A1372" s="1">
        <v>45893</v>
      </c>
      <c r="B1372" t="s">
        <v>4683</v>
      </c>
      <c r="C1372" t="s">
        <v>5956</v>
      </c>
      <c r="D1372">
        <v>61133</v>
      </c>
      <c r="E1372" t="s">
        <v>2458</v>
      </c>
      <c r="F1372">
        <v>2.9</v>
      </c>
      <c r="G1372" t="s">
        <v>4686</v>
      </c>
      <c r="H1372" t="s">
        <v>4687</v>
      </c>
      <c r="I1372">
        <v>26690</v>
      </c>
      <c r="J1372">
        <v>54502</v>
      </c>
      <c r="K1372" t="s">
        <v>2878</v>
      </c>
      <c r="L1372" t="str">
        <f>SUBSTITUTE(K1372,"'","")</f>
        <v>320252370315239672</v>
      </c>
      <c r="M1372">
        <v>61133</v>
      </c>
    </row>
    <row r="1373" spans="1:13" x14ac:dyDescent="0.4">
      <c r="A1373" s="1">
        <v>45893</v>
      </c>
      <c r="B1373" t="s">
        <v>4683</v>
      </c>
      <c r="C1373" t="s">
        <v>5552</v>
      </c>
      <c r="D1373">
        <v>61110</v>
      </c>
      <c r="E1373" t="s">
        <v>2866</v>
      </c>
      <c r="F1373" s="5">
        <v>1461.46</v>
      </c>
      <c r="G1373" t="s">
        <v>4686</v>
      </c>
      <c r="H1373" t="s">
        <v>4687</v>
      </c>
      <c r="I1373">
        <v>26913</v>
      </c>
      <c r="J1373">
        <v>54948</v>
      </c>
      <c r="K1373" t="s">
        <v>2870</v>
      </c>
      <c r="L1373" t="str">
        <f>SUBSTITUTE(K1373,"'","")</f>
        <v>320252370316827194</v>
      </c>
      <c r="M1373">
        <v>61110</v>
      </c>
    </row>
    <row r="1374" spans="1:13" x14ac:dyDescent="0.4">
      <c r="A1374" s="1">
        <v>45893</v>
      </c>
      <c r="B1374" t="s">
        <v>4683</v>
      </c>
      <c r="C1374" t="s">
        <v>6062</v>
      </c>
      <c r="D1374">
        <v>63100</v>
      </c>
      <c r="E1374" t="s">
        <v>412</v>
      </c>
      <c r="F1374">
        <v>43.29</v>
      </c>
      <c r="G1374" t="s">
        <v>4686</v>
      </c>
      <c r="H1374" t="s">
        <v>4687</v>
      </c>
      <c r="I1374">
        <v>25557</v>
      </c>
      <c r="J1374">
        <v>52236</v>
      </c>
      <c r="K1374" t="s">
        <v>415</v>
      </c>
      <c r="L1374" t="str">
        <f>SUBSTITUTE(K1374,"'","")</f>
        <v>320252380345700556</v>
      </c>
      <c r="M1374">
        <v>63100</v>
      </c>
    </row>
    <row r="1375" spans="1:13" x14ac:dyDescent="0.4">
      <c r="A1375" s="1">
        <v>45894</v>
      </c>
      <c r="B1375" t="s">
        <v>4683</v>
      </c>
      <c r="C1375" t="s">
        <v>6531</v>
      </c>
      <c r="D1375">
        <v>80100</v>
      </c>
      <c r="E1375" t="s">
        <v>19</v>
      </c>
      <c r="F1375">
        <v>230.75</v>
      </c>
      <c r="G1375" t="s">
        <v>4686</v>
      </c>
      <c r="H1375" t="s">
        <v>4687</v>
      </c>
      <c r="I1375">
        <v>25910</v>
      </c>
      <c r="J1375">
        <v>52942</v>
      </c>
      <c r="K1375" t="s">
        <v>411</v>
      </c>
      <c r="L1375" t="str">
        <f>SUBSTITUTE(K1375,"'","")</f>
        <v>150826070000036642</v>
      </c>
      <c r="M1375">
        <v>80100</v>
      </c>
    </row>
    <row r="1376" spans="1:13" x14ac:dyDescent="0.4">
      <c r="A1376" s="1">
        <v>45894</v>
      </c>
      <c r="B1376" t="s">
        <v>4683</v>
      </c>
      <c r="C1376" t="s">
        <v>5291</v>
      </c>
      <c r="D1376">
        <v>54820</v>
      </c>
      <c r="E1376" t="s">
        <v>2142</v>
      </c>
      <c r="F1376">
        <v>4.99</v>
      </c>
      <c r="G1376" t="s">
        <v>4686</v>
      </c>
      <c r="H1376" t="s">
        <v>4687</v>
      </c>
      <c r="I1376">
        <v>26604</v>
      </c>
      <c r="J1376">
        <v>54330</v>
      </c>
      <c r="K1376" t="s">
        <v>2862</v>
      </c>
      <c r="L1376" t="str">
        <f>SUBSTITUTE(K1376,"'","")</f>
        <v>320252380344202124</v>
      </c>
      <c r="M1376">
        <v>54820</v>
      </c>
    </row>
    <row r="1377" spans="1:13" x14ac:dyDescent="0.4">
      <c r="A1377" s="1">
        <v>45894</v>
      </c>
      <c r="B1377" t="s">
        <v>4683</v>
      </c>
      <c r="C1377" t="s">
        <v>5292</v>
      </c>
      <c r="D1377">
        <v>54820</v>
      </c>
      <c r="E1377" t="s">
        <v>2863</v>
      </c>
      <c r="F1377">
        <v>47.99</v>
      </c>
      <c r="G1377" t="s">
        <v>4686</v>
      </c>
      <c r="H1377" t="s">
        <v>4687</v>
      </c>
      <c r="I1377">
        <v>27044</v>
      </c>
      <c r="J1377">
        <v>55210</v>
      </c>
      <c r="K1377" t="s">
        <v>2865</v>
      </c>
      <c r="L1377" t="str">
        <f>SUBSTITUTE(K1377,"'","")</f>
        <v>320252390375638947</v>
      </c>
      <c r="M1377">
        <v>54820</v>
      </c>
    </row>
    <row r="1378" spans="1:13" x14ac:dyDescent="0.4">
      <c r="A1378" s="1">
        <v>45895</v>
      </c>
      <c r="B1378" t="s">
        <v>4683</v>
      </c>
      <c r="C1378" t="s">
        <v>5293</v>
      </c>
      <c r="D1378">
        <v>54820</v>
      </c>
      <c r="E1378" t="s">
        <v>406</v>
      </c>
      <c r="F1378">
        <v>10.99</v>
      </c>
      <c r="G1378" t="s">
        <v>4686</v>
      </c>
      <c r="H1378" t="s">
        <v>4687</v>
      </c>
      <c r="I1378">
        <v>25708</v>
      </c>
      <c r="J1378">
        <v>52538</v>
      </c>
      <c r="K1378" t="s">
        <v>408</v>
      </c>
      <c r="L1378" t="str">
        <f>SUBSTITUTE(K1378,"'","")</f>
        <v>320252380335571578</v>
      </c>
      <c r="M1378">
        <v>54820</v>
      </c>
    </row>
    <row r="1379" spans="1:13" x14ac:dyDescent="0.4">
      <c r="A1379" s="1">
        <v>45895</v>
      </c>
      <c r="B1379" t="s">
        <v>4683</v>
      </c>
      <c r="C1379" t="s">
        <v>6034</v>
      </c>
      <c r="D1379">
        <v>61215</v>
      </c>
      <c r="E1379" t="s">
        <v>2855</v>
      </c>
      <c r="F1379">
        <v>755.72</v>
      </c>
      <c r="G1379" t="s">
        <v>4686</v>
      </c>
      <c r="H1379" t="s">
        <v>4687</v>
      </c>
      <c r="I1379">
        <v>26777</v>
      </c>
      <c r="J1379">
        <v>54676</v>
      </c>
      <c r="K1379" t="s">
        <v>2858</v>
      </c>
      <c r="L1379" t="str">
        <f>SUBSTITUTE(K1379,"'","")</f>
        <v>320252390370687017</v>
      </c>
      <c r="M1379">
        <v>61215</v>
      </c>
    </row>
    <row r="1380" spans="1:13" x14ac:dyDescent="0.4">
      <c r="A1380" s="1">
        <v>45895</v>
      </c>
      <c r="B1380" t="s">
        <v>4683</v>
      </c>
      <c r="C1380" t="s">
        <v>5295</v>
      </c>
      <c r="D1380">
        <v>54820</v>
      </c>
      <c r="E1380" t="s">
        <v>2142</v>
      </c>
      <c r="F1380">
        <v>5</v>
      </c>
      <c r="G1380" t="s">
        <v>4686</v>
      </c>
      <c r="H1380" t="s">
        <v>4687</v>
      </c>
      <c r="I1380">
        <v>26605</v>
      </c>
      <c r="J1380">
        <v>54332</v>
      </c>
      <c r="K1380" t="s">
        <v>2850</v>
      </c>
      <c r="L1380" t="str">
        <f>SUBSTITUTE(K1380,"'","")</f>
        <v>320252390371836492</v>
      </c>
      <c r="M1380">
        <v>54820</v>
      </c>
    </row>
    <row r="1381" spans="1:13" x14ac:dyDescent="0.4">
      <c r="A1381" s="1">
        <v>45895</v>
      </c>
      <c r="B1381" t="s">
        <v>4683</v>
      </c>
      <c r="C1381" t="s">
        <v>5297</v>
      </c>
      <c r="D1381">
        <v>54820</v>
      </c>
      <c r="E1381" t="s">
        <v>2764</v>
      </c>
      <c r="F1381">
        <v>9.8000000000000007</v>
      </c>
      <c r="G1381" t="s">
        <v>4686</v>
      </c>
      <c r="H1381" t="s">
        <v>4687</v>
      </c>
      <c r="I1381">
        <v>26745</v>
      </c>
      <c r="J1381">
        <v>54612</v>
      </c>
      <c r="K1381" t="s">
        <v>2844</v>
      </c>
      <c r="L1381" t="str">
        <f>SUBSTITUTE(K1381,"'","")</f>
        <v>320252390371870134</v>
      </c>
      <c r="M1381">
        <v>54820</v>
      </c>
    </row>
    <row r="1382" spans="1:13" x14ac:dyDescent="0.4">
      <c r="A1382" s="1">
        <v>45895</v>
      </c>
      <c r="B1382" t="s">
        <v>4683</v>
      </c>
      <c r="C1382" t="s">
        <v>5296</v>
      </c>
      <c r="D1382">
        <v>54820</v>
      </c>
      <c r="E1382" t="s">
        <v>2085</v>
      </c>
      <c r="F1382">
        <v>43.14</v>
      </c>
      <c r="G1382" t="s">
        <v>4686</v>
      </c>
      <c r="H1382" t="s">
        <v>4687</v>
      </c>
      <c r="I1382">
        <v>26707</v>
      </c>
      <c r="J1382">
        <v>54536</v>
      </c>
      <c r="K1382" t="s">
        <v>2860</v>
      </c>
      <c r="L1382" t="str">
        <f>SUBSTITUTE(K1382,"'","")</f>
        <v>320252390373906225</v>
      </c>
      <c r="M1382">
        <v>54820</v>
      </c>
    </row>
    <row r="1383" spans="1:13" x14ac:dyDescent="0.4">
      <c r="A1383" s="1">
        <v>45895</v>
      </c>
      <c r="B1383" t="s">
        <v>4683</v>
      </c>
      <c r="C1383" t="s">
        <v>5927</v>
      </c>
      <c r="D1383">
        <v>61131</v>
      </c>
      <c r="E1383" t="s">
        <v>38</v>
      </c>
      <c r="F1383">
        <v>847.2</v>
      </c>
      <c r="G1383" t="s">
        <v>4686</v>
      </c>
      <c r="H1383" t="s">
        <v>4687</v>
      </c>
      <c r="I1383">
        <v>25635</v>
      </c>
      <c r="J1383">
        <v>52392</v>
      </c>
      <c r="K1383" t="s">
        <v>410</v>
      </c>
      <c r="L1383" t="str">
        <f>SUBSTITUTE(K1383,"'","")</f>
        <v>320252390375423022</v>
      </c>
      <c r="M1383">
        <v>61131</v>
      </c>
    </row>
    <row r="1384" spans="1:13" x14ac:dyDescent="0.4">
      <c r="A1384" s="1">
        <v>45895</v>
      </c>
      <c r="B1384" t="s">
        <v>4683</v>
      </c>
      <c r="C1384" t="s">
        <v>5294</v>
      </c>
      <c r="D1384">
        <v>54820</v>
      </c>
      <c r="E1384" t="s">
        <v>977</v>
      </c>
      <c r="F1384">
        <v>10</v>
      </c>
      <c r="G1384" t="s">
        <v>4686</v>
      </c>
      <c r="H1384" t="s">
        <v>4687</v>
      </c>
      <c r="I1384">
        <v>26502</v>
      </c>
      <c r="J1384">
        <v>54126</v>
      </c>
      <c r="K1384" t="s">
        <v>2848</v>
      </c>
      <c r="L1384" t="str">
        <f>SUBSTITUTE(K1384,"'","")</f>
        <v>320252390377110044</v>
      </c>
      <c r="M1384">
        <v>54820</v>
      </c>
    </row>
    <row r="1385" spans="1:13" x14ac:dyDescent="0.4">
      <c r="A1385" s="1">
        <v>45895</v>
      </c>
      <c r="B1385" t="s">
        <v>4683</v>
      </c>
      <c r="C1385" t="s">
        <v>6293</v>
      </c>
      <c r="D1385">
        <v>64100</v>
      </c>
      <c r="E1385" t="s">
        <v>1792</v>
      </c>
      <c r="F1385">
        <v>16.05</v>
      </c>
      <c r="G1385" t="s">
        <v>4686</v>
      </c>
      <c r="H1385" t="s">
        <v>4687</v>
      </c>
      <c r="I1385">
        <v>26413</v>
      </c>
      <c r="J1385">
        <v>53948</v>
      </c>
      <c r="K1385" t="s">
        <v>2846</v>
      </c>
      <c r="L1385" t="str">
        <f>SUBSTITUTE(K1385,"'","")</f>
        <v>320252390380449811</v>
      </c>
      <c r="M1385">
        <v>64100</v>
      </c>
    </row>
    <row r="1386" spans="1:13" x14ac:dyDescent="0.4">
      <c r="A1386" s="1">
        <v>45895</v>
      </c>
      <c r="B1386" t="s">
        <v>4683</v>
      </c>
      <c r="C1386" t="s">
        <v>5298</v>
      </c>
      <c r="D1386">
        <v>54820</v>
      </c>
      <c r="E1386" t="s">
        <v>2851</v>
      </c>
      <c r="F1386">
        <v>71.34</v>
      </c>
      <c r="G1386" t="s">
        <v>4686</v>
      </c>
      <c r="H1386" t="s">
        <v>4687</v>
      </c>
      <c r="I1386">
        <v>27045</v>
      </c>
      <c r="J1386">
        <v>55212</v>
      </c>
      <c r="K1386" t="s">
        <v>2854</v>
      </c>
      <c r="L1386" t="str">
        <f>SUBSTITUTE(K1386,"'","")</f>
        <v>320252400410087895</v>
      </c>
      <c r="M1386">
        <v>54820</v>
      </c>
    </row>
    <row r="1387" spans="1:13" x14ac:dyDescent="0.4">
      <c r="A1387" s="1">
        <v>45896</v>
      </c>
      <c r="B1387" t="s">
        <v>4683</v>
      </c>
      <c r="C1387" t="s">
        <v>5299</v>
      </c>
      <c r="D1387">
        <v>54820</v>
      </c>
      <c r="E1387" t="s">
        <v>2181</v>
      </c>
      <c r="F1387">
        <v>49.67</v>
      </c>
      <c r="G1387" t="s">
        <v>4686</v>
      </c>
      <c r="H1387" t="s">
        <v>4687</v>
      </c>
      <c r="I1387">
        <v>27046</v>
      </c>
      <c r="J1387">
        <v>55214</v>
      </c>
      <c r="K1387" t="s">
        <v>2842</v>
      </c>
      <c r="L1387" t="str">
        <f>SUBSTITUTE(K1387,"'","")</f>
        <v>320252400391793494</v>
      </c>
      <c r="M1387">
        <v>54820</v>
      </c>
    </row>
    <row r="1388" spans="1:13" x14ac:dyDescent="0.4">
      <c r="A1388" s="1">
        <v>45896</v>
      </c>
      <c r="B1388" t="s">
        <v>4683</v>
      </c>
      <c r="C1388" t="s">
        <v>5928</v>
      </c>
      <c r="D1388">
        <v>61131</v>
      </c>
      <c r="E1388" t="s">
        <v>403</v>
      </c>
      <c r="F1388">
        <v>13.95</v>
      </c>
      <c r="G1388" t="s">
        <v>4686</v>
      </c>
      <c r="H1388" t="s">
        <v>4687</v>
      </c>
      <c r="I1388">
        <v>25748</v>
      </c>
      <c r="J1388">
        <v>52618</v>
      </c>
      <c r="K1388" t="s">
        <v>405</v>
      </c>
      <c r="L1388" t="str">
        <f>SUBSTITUTE(K1388,"'","")</f>
        <v>320252400398245212</v>
      </c>
      <c r="M1388">
        <v>61131</v>
      </c>
    </row>
    <row r="1389" spans="1:13" x14ac:dyDescent="0.4">
      <c r="A1389" s="1">
        <v>45897</v>
      </c>
      <c r="B1389" t="s">
        <v>4683</v>
      </c>
      <c r="C1389" t="s">
        <v>5300</v>
      </c>
      <c r="D1389">
        <v>54820</v>
      </c>
      <c r="E1389" t="s">
        <v>977</v>
      </c>
      <c r="F1389">
        <v>10</v>
      </c>
      <c r="G1389" t="s">
        <v>4686</v>
      </c>
      <c r="H1389" t="s">
        <v>4687</v>
      </c>
      <c r="I1389">
        <v>26503</v>
      </c>
      <c r="J1389">
        <v>54128</v>
      </c>
      <c r="K1389" t="s">
        <v>2824</v>
      </c>
      <c r="L1389" t="str">
        <f>SUBSTITUTE(K1389,"'","")</f>
        <v>320252400387884569</v>
      </c>
      <c r="M1389">
        <v>54820</v>
      </c>
    </row>
    <row r="1390" spans="1:13" x14ac:dyDescent="0.4">
      <c r="A1390" s="1">
        <v>45897</v>
      </c>
      <c r="B1390" t="s">
        <v>4683</v>
      </c>
      <c r="C1390" t="s">
        <v>5301</v>
      </c>
      <c r="D1390">
        <v>54820</v>
      </c>
      <c r="E1390" t="s">
        <v>977</v>
      </c>
      <c r="F1390">
        <v>10</v>
      </c>
      <c r="G1390" t="s">
        <v>4686</v>
      </c>
      <c r="H1390" t="s">
        <v>4687</v>
      </c>
      <c r="I1390">
        <v>26504</v>
      </c>
      <c r="J1390">
        <v>54130</v>
      </c>
      <c r="K1390" t="s">
        <v>2826</v>
      </c>
      <c r="L1390" t="str">
        <f>SUBSTITUTE(K1390,"'","")</f>
        <v>320252400387889978</v>
      </c>
      <c r="M1390">
        <v>54820</v>
      </c>
    </row>
    <row r="1391" spans="1:13" x14ac:dyDescent="0.4">
      <c r="A1391" s="1">
        <v>45897</v>
      </c>
      <c r="B1391" t="s">
        <v>4683</v>
      </c>
      <c r="C1391" t="s">
        <v>5304</v>
      </c>
      <c r="D1391">
        <v>54820</v>
      </c>
      <c r="E1391" t="s">
        <v>2829</v>
      </c>
      <c r="F1391">
        <v>13.46</v>
      </c>
      <c r="G1391" t="s">
        <v>4686</v>
      </c>
      <c r="H1391" t="s">
        <v>4687</v>
      </c>
      <c r="I1391">
        <v>27048</v>
      </c>
      <c r="J1391">
        <v>55218</v>
      </c>
      <c r="K1391" t="s">
        <v>2832</v>
      </c>
      <c r="L1391" t="str">
        <f>SUBSTITUTE(K1391,"'","")</f>
        <v>320252400394414732</v>
      </c>
      <c r="M1391">
        <v>54820</v>
      </c>
    </row>
    <row r="1392" spans="1:13" x14ac:dyDescent="0.4">
      <c r="A1392" s="1">
        <v>45897</v>
      </c>
      <c r="B1392" t="s">
        <v>4683</v>
      </c>
      <c r="C1392" t="s">
        <v>6503</v>
      </c>
      <c r="D1392">
        <v>67500</v>
      </c>
      <c r="E1392" t="s">
        <v>106</v>
      </c>
      <c r="F1392">
        <v>29.07</v>
      </c>
      <c r="G1392" t="s">
        <v>4686</v>
      </c>
      <c r="H1392" t="s">
        <v>4687</v>
      </c>
      <c r="I1392">
        <v>26378</v>
      </c>
      <c r="J1392">
        <v>53878</v>
      </c>
      <c r="K1392" t="s">
        <v>2834</v>
      </c>
      <c r="L1392" t="str">
        <f>SUBSTITUTE(K1392,"'","")</f>
        <v>320252400395876915</v>
      </c>
      <c r="M1392">
        <v>67500</v>
      </c>
    </row>
    <row r="1393" spans="1:13" x14ac:dyDescent="0.4">
      <c r="A1393" s="1">
        <v>45897</v>
      </c>
      <c r="B1393" t="s">
        <v>4683</v>
      </c>
      <c r="C1393" t="s">
        <v>5929</v>
      </c>
      <c r="D1393">
        <v>61131</v>
      </c>
      <c r="E1393" t="s">
        <v>317</v>
      </c>
      <c r="F1393">
        <v>24.95</v>
      </c>
      <c r="G1393" t="s">
        <v>4686</v>
      </c>
      <c r="H1393" t="s">
        <v>4687</v>
      </c>
      <c r="I1393">
        <v>25652</v>
      </c>
      <c r="J1393">
        <v>52426</v>
      </c>
      <c r="K1393" t="s">
        <v>398</v>
      </c>
      <c r="L1393" t="str">
        <f>SUBSTITUTE(K1393,"'","")</f>
        <v>320252400412420173</v>
      </c>
      <c r="M1393">
        <v>61131</v>
      </c>
    </row>
    <row r="1394" spans="1:13" x14ac:dyDescent="0.4">
      <c r="A1394" s="1">
        <v>45897</v>
      </c>
      <c r="B1394" t="s">
        <v>4683</v>
      </c>
      <c r="C1394" t="s">
        <v>6035</v>
      </c>
      <c r="D1394">
        <v>61215</v>
      </c>
      <c r="E1394" t="s">
        <v>399</v>
      </c>
      <c r="F1394">
        <v>139.22</v>
      </c>
      <c r="G1394" t="s">
        <v>4686</v>
      </c>
      <c r="H1394" t="s">
        <v>4687</v>
      </c>
      <c r="I1394">
        <v>25988</v>
      </c>
      <c r="J1394">
        <v>53098</v>
      </c>
      <c r="K1394" t="s">
        <v>402</v>
      </c>
      <c r="L1394" t="str">
        <f>SUBSTITUTE(K1394,"'","")</f>
        <v>320252410426468454</v>
      </c>
      <c r="M1394">
        <v>61215</v>
      </c>
    </row>
    <row r="1395" spans="1:13" x14ac:dyDescent="0.4">
      <c r="A1395" s="1">
        <v>45897</v>
      </c>
      <c r="B1395" t="s">
        <v>4683</v>
      </c>
      <c r="C1395" t="s">
        <v>6036</v>
      </c>
      <c r="D1395">
        <v>61215</v>
      </c>
      <c r="E1395" t="s">
        <v>2835</v>
      </c>
      <c r="F1395">
        <v>870.19</v>
      </c>
      <c r="G1395" t="s">
        <v>4686</v>
      </c>
      <c r="H1395" t="s">
        <v>4687</v>
      </c>
      <c r="I1395">
        <v>26778</v>
      </c>
      <c r="J1395">
        <v>54678</v>
      </c>
      <c r="K1395" t="s">
        <v>2838</v>
      </c>
      <c r="L1395" t="str">
        <f>SUBSTITUTE(K1395,"'","")</f>
        <v>320252410426650666</v>
      </c>
      <c r="M1395">
        <v>61215</v>
      </c>
    </row>
    <row r="1396" spans="1:13" x14ac:dyDescent="0.4">
      <c r="A1396" s="1">
        <v>45897</v>
      </c>
      <c r="B1396" t="s">
        <v>4683</v>
      </c>
      <c r="C1396" t="s">
        <v>5303</v>
      </c>
      <c r="D1396">
        <v>54820</v>
      </c>
      <c r="E1396" t="s">
        <v>2533</v>
      </c>
      <c r="F1396">
        <v>7.35</v>
      </c>
      <c r="G1396" t="s">
        <v>4686</v>
      </c>
      <c r="H1396" t="s">
        <v>4687</v>
      </c>
      <c r="I1396">
        <v>27047</v>
      </c>
      <c r="J1396">
        <v>55216</v>
      </c>
      <c r="K1396" t="s">
        <v>2828</v>
      </c>
      <c r="L1396" t="str">
        <f>SUBSTITUTE(K1396,"'","")</f>
        <v>320252410430729571</v>
      </c>
      <c r="M1396">
        <v>54820</v>
      </c>
    </row>
    <row r="1397" spans="1:13" x14ac:dyDescent="0.4">
      <c r="A1397" s="1">
        <v>45897</v>
      </c>
      <c r="B1397" t="s">
        <v>4683</v>
      </c>
      <c r="C1397" t="s">
        <v>5302</v>
      </c>
      <c r="D1397">
        <v>54820</v>
      </c>
      <c r="E1397" t="s">
        <v>2085</v>
      </c>
      <c r="F1397">
        <v>35.24</v>
      </c>
      <c r="G1397" t="s">
        <v>4686</v>
      </c>
      <c r="H1397" t="s">
        <v>4687</v>
      </c>
      <c r="I1397">
        <v>26708</v>
      </c>
      <c r="J1397">
        <v>54538</v>
      </c>
      <c r="K1397" t="s">
        <v>2840</v>
      </c>
      <c r="L1397" t="str">
        <f>SUBSTITUTE(K1397,"'","")</f>
        <v>320252410431150696</v>
      </c>
      <c r="M1397">
        <v>54820</v>
      </c>
    </row>
    <row r="1398" spans="1:13" x14ac:dyDescent="0.4">
      <c r="A1398" s="1">
        <v>45898</v>
      </c>
      <c r="B1398" t="s">
        <v>4683</v>
      </c>
      <c r="C1398" t="s">
        <v>5820</v>
      </c>
      <c r="D1398">
        <v>61130</v>
      </c>
      <c r="E1398" t="s">
        <v>478</v>
      </c>
      <c r="F1398">
        <v>56.16</v>
      </c>
      <c r="G1398" t="s">
        <v>4686</v>
      </c>
      <c r="H1398" t="s">
        <v>4687</v>
      </c>
      <c r="I1398">
        <v>26864</v>
      </c>
      <c r="J1398">
        <v>54850</v>
      </c>
      <c r="K1398" t="s">
        <v>2817</v>
      </c>
      <c r="L1398" t="str">
        <f>SUBSTITUTE(K1398,"'","")</f>
        <v>320252410418382071</v>
      </c>
      <c r="M1398">
        <v>61130</v>
      </c>
    </row>
    <row r="1399" spans="1:13" x14ac:dyDescent="0.4">
      <c r="A1399" s="1">
        <v>45898</v>
      </c>
      <c r="B1399" t="s">
        <v>4683</v>
      </c>
      <c r="C1399" t="s">
        <v>5818</v>
      </c>
      <c r="D1399">
        <v>61130</v>
      </c>
      <c r="E1399" t="s">
        <v>478</v>
      </c>
      <c r="F1399">
        <v>11.97</v>
      </c>
      <c r="G1399" t="s">
        <v>4686</v>
      </c>
      <c r="H1399" t="s">
        <v>4687</v>
      </c>
      <c r="I1399">
        <v>26862</v>
      </c>
      <c r="J1399">
        <v>54846</v>
      </c>
      <c r="K1399" t="s">
        <v>2813</v>
      </c>
      <c r="L1399" t="str">
        <f>SUBSTITUTE(K1399,"'","")</f>
        <v>320252410419679589</v>
      </c>
      <c r="M1399">
        <v>61130</v>
      </c>
    </row>
    <row r="1400" spans="1:13" x14ac:dyDescent="0.4">
      <c r="A1400" s="1">
        <v>45898</v>
      </c>
      <c r="B1400" t="s">
        <v>4683</v>
      </c>
      <c r="C1400" t="s">
        <v>5819</v>
      </c>
      <c r="D1400">
        <v>61130</v>
      </c>
      <c r="E1400" t="s">
        <v>478</v>
      </c>
      <c r="F1400">
        <v>33.619999999999997</v>
      </c>
      <c r="G1400" t="s">
        <v>4686</v>
      </c>
      <c r="H1400" t="s">
        <v>4687</v>
      </c>
      <c r="I1400">
        <v>26863</v>
      </c>
      <c r="J1400">
        <v>54848</v>
      </c>
      <c r="K1400" t="s">
        <v>2815</v>
      </c>
      <c r="L1400" t="str">
        <f>SUBSTITUTE(K1400,"'","")</f>
        <v>320252410423382834</v>
      </c>
      <c r="M1400">
        <v>61130</v>
      </c>
    </row>
    <row r="1401" spans="1:13" x14ac:dyDescent="0.4">
      <c r="A1401" s="1">
        <v>45898</v>
      </c>
      <c r="B1401" t="s">
        <v>4683</v>
      </c>
      <c r="C1401" t="s">
        <v>5305</v>
      </c>
      <c r="D1401">
        <v>54820</v>
      </c>
      <c r="E1401" t="s">
        <v>2818</v>
      </c>
      <c r="F1401">
        <v>22</v>
      </c>
      <c r="G1401" t="s">
        <v>4686</v>
      </c>
      <c r="H1401" t="s">
        <v>4687</v>
      </c>
      <c r="I1401">
        <v>27049</v>
      </c>
      <c r="J1401">
        <v>55220</v>
      </c>
      <c r="K1401" t="s">
        <v>2822</v>
      </c>
      <c r="L1401" t="str">
        <f>SUBSTITUTE(K1401,"'","")</f>
        <v>320252410426961526</v>
      </c>
      <c r="M1401">
        <v>54820</v>
      </c>
    </row>
    <row r="1402" spans="1:13" x14ac:dyDescent="0.4">
      <c r="A1402" s="1">
        <v>45898</v>
      </c>
      <c r="B1402" t="s">
        <v>4683</v>
      </c>
      <c r="C1402" t="s">
        <v>6037</v>
      </c>
      <c r="D1402">
        <v>61215</v>
      </c>
      <c r="E1402" t="s">
        <v>392</v>
      </c>
      <c r="F1402">
        <v>51.05</v>
      </c>
      <c r="G1402" t="s">
        <v>4686</v>
      </c>
      <c r="H1402" t="s">
        <v>4687</v>
      </c>
      <c r="I1402">
        <v>25989</v>
      </c>
      <c r="J1402">
        <v>53100</v>
      </c>
      <c r="K1402" t="s">
        <v>396</v>
      </c>
      <c r="L1402" t="str">
        <f>SUBSTITUTE(K1402,"'","")</f>
        <v>320252410428185452</v>
      </c>
      <c r="M1402">
        <v>61215</v>
      </c>
    </row>
    <row r="1403" spans="1:13" x14ac:dyDescent="0.4">
      <c r="A1403" s="1">
        <v>45898</v>
      </c>
      <c r="B1403" t="s">
        <v>4683</v>
      </c>
      <c r="C1403" t="s">
        <v>5957</v>
      </c>
      <c r="D1403">
        <v>61133</v>
      </c>
      <c r="E1403" t="s">
        <v>2458</v>
      </c>
      <c r="F1403">
        <v>2.9</v>
      </c>
      <c r="G1403" t="s">
        <v>4686</v>
      </c>
      <c r="H1403" t="s">
        <v>4687</v>
      </c>
      <c r="I1403">
        <v>26691</v>
      </c>
      <c r="J1403">
        <v>54504</v>
      </c>
      <c r="K1403" t="s">
        <v>2811</v>
      </c>
      <c r="L1403" t="str">
        <f>SUBSTITUTE(K1403,"'","")</f>
        <v>320252420459044277</v>
      </c>
      <c r="M1403">
        <v>61133</v>
      </c>
    </row>
    <row r="1404" spans="1:13" x14ac:dyDescent="0.4">
      <c r="A1404" s="1">
        <v>45899</v>
      </c>
      <c r="B1404" t="s">
        <v>4683</v>
      </c>
      <c r="C1404" t="s">
        <v>5822</v>
      </c>
      <c r="D1404">
        <v>61130</v>
      </c>
      <c r="E1404" t="s">
        <v>478</v>
      </c>
      <c r="F1404">
        <v>74.010000000000005</v>
      </c>
      <c r="G1404" t="s">
        <v>4686</v>
      </c>
      <c r="H1404" t="s">
        <v>4687</v>
      </c>
      <c r="I1404">
        <v>26866</v>
      </c>
      <c r="J1404">
        <v>54854</v>
      </c>
      <c r="K1404" t="s">
        <v>2807</v>
      </c>
      <c r="L1404" t="str">
        <f>SUBSTITUTE(K1404,"'","")</f>
        <v>320252420451846433</v>
      </c>
      <c r="M1404">
        <v>61130</v>
      </c>
    </row>
    <row r="1405" spans="1:13" x14ac:dyDescent="0.4">
      <c r="A1405" s="1">
        <v>45899</v>
      </c>
      <c r="B1405" t="s">
        <v>4683</v>
      </c>
      <c r="C1405" t="s">
        <v>5823</v>
      </c>
      <c r="D1405">
        <v>61130</v>
      </c>
      <c r="E1405" t="s">
        <v>478</v>
      </c>
      <c r="F1405">
        <v>95.53</v>
      </c>
      <c r="G1405" t="s">
        <v>4686</v>
      </c>
      <c r="H1405" t="s">
        <v>4687</v>
      </c>
      <c r="I1405">
        <v>26867</v>
      </c>
      <c r="J1405">
        <v>54856</v>
      </c>
      <c r="K1405" t="s">
        <v>2809</v>
      </c>
      <c r="L1405" t="str">
        <f>SUBSTITUTE(K1405,"'","")</f>
        <v>320252420451948075</v>
      </c>
      <c r="M1405">
        <v>61130</v>
      </c>
    </row>
    <row r="1406" spans="1:13" x14ac:dyDescent="0.4">
      <c r="A1406" s="1">
        <v>45899</v>
      </c>
      <c r="B1406" t="s">
        <v>4683</v>
      </c>
      <c r="C1406" t="s">
        <v>5821</v>
      </c>
      <c r="D1406">
        <v>61130</v>
      </c>
      <c r="E1406" t="s">
        <v>478</v>
      </c>
      <c r="F1406">
        <v>51.22</v>
      </c>
      <c r="G1406" t="s">
        <v>4686</v>
      </c>
      <c r="H1406" t="s">
        <v>4687</v>
      </c>
      <c r="I1406">
        <v>26865</v>
      </c>
      <c r="J1406">
        <v>54852</v>
      </c>
      <c r="K1406" t="s">
        <v>2805</v>
      </c>
      <c r="L1406" t="str">
        <f>SUBSTITUTE(K1406,"'","")</f>
        <v>320252420452376997</v>
      </c>
      <c r="M1406">
        <v>61130</v>
      </c>
    </row>
    <row r="1407" spans="1:13" x14ac:dyDescent="0.4">
      <c r="A1407" s="1">
        <v>45899</v>
      </c>
      <c r="B1407" t="s">
        <v>4683</v>
      </c>
      <c r="C1407" t="s">
        <v>6038</v>
      </c>
      <c r="D1407">
        <v>61215</v>
      </c>
      <c r="E1407" t="s">
        <v>2799</v>
      </c>
      <c r="F1407" s="5">
        <v>1520</v>
      </c>
      <c r="G1407" t="s">
        <v>4686</v>
      </c>
      <c r="H1407" t="s">
        <v>4687</v>
      </c>
      <c r="I1407">
        <v>26779</v>
      </c>
      <c r="J1407">
        <v>54680</v>
      </c>
      <c r="K1407" t="s">
        <v>2803</v>
      </c>
      <c r="L1407" t="str">
        <f>SUBSTITUTE(K1407,"'","")</f>
        <v>320252420457903351</v>
      </c>
      <c r="M1407">
        <v>61215</v>
      </c>
    </row>
    <row r="1408" spans="1:13" x14ac:dyDescent="0.4">
      <c r="A1408" s="1">
        <v>45899</v>
      </c>
      <c r="B1408" t="s">
        <v>4683</v>
      </c>
      <c r="C1408" t="s">
        <v>5306</v>
      </c>
      <c r="D1408">
        <v>54820</v>
      </c>
      <c r="E1408" t="s">
        <v>140</v>
      </c>
      <c r="F1408">
        <v>35.9</v>
      </c>
      <c r="G1408" t="s">
        <v>4686</v>
      </c>
      <c r="H1408" t="s">
        <v>4687</v>
      </c>
      <c r="I1408">
        <v>26392</v>
      </c>
      <c r="J1408">
        <v>53906</v>
      </c>
      <c r="K1408" t="s">
        <v>2796</v>
      </c>
      <c r="L1408" t="str">
        <f>SUBSTITUTE(K1408,"'","")</f>
        <v>320252430491736811</v>
      </c>
      <c r="M1408">
        <v>54820</v>
      </c>
    </row>
    <row r="1409" spans="1:13" x14ac:dyDescent="0.4">
      <c r="A1409" s="1">
        <v>45899</v>
      </c>
      <c r="B1409" t="s">
        <v>4683</v>
      </c>
      <c r="C1409" t="s">
        <v>5307</v>
      </c>
      <c r="D1409">
        <v>54820</v>
      </c>
      <c r="E1409" t="s">
        <v>977</v>
      </c>
      <c r="F1409">
        <v>10</v>
      </c>
      <c r="G1409" t="s">
        <v>4686</v>
      </c>
      <c r="H1409" t="s">
        <v>4687</v>
      </c>
      <c r="I1409">
        <v>26505</v>
      </c>
      <c r="J1409">
        <v>54132</v>
      </c>
      <c r="K1409" t="s">
        <v>2798</v>
      </c>
      <c r="L1409" t="str">
        <f>SUBSTITUTE(K1409,"'","")</f>
        <v>320252430493571902</v>
      </c>
      <c r="M1409">
        <v>54820</v>
      </c>
    </row>
    <row r="1410" spans="1:13" x14ac:dyDescent="0.4">
      <c r="A1410" s="1">
        <v>45900</v>
      </c>
      <c r="B1410" t="s">
        <v>4683</v>
      </c>
      <c r="C1410" t="s">
        <v>5310</v>
      </c>
      <c r="D1410">
        <v>54820</v>
      </c>
      <c r="E1410" t="s">
        <v>583</v>
      </c>
      <c r="F1410">
        <v>117.77</v>
      </c>
      <c r="G1410" t="s">
        <v>4686</v>
      </c>
      <c r="H1410" t="s">
        <v>4687</v>
      </c>
      <c r="I1410">
        <v>26780</v>
      </c>
      <c r="J1410">
        <v>54682</v>
      </c>
      <c r="K1410" t="s">
        <v>2794</v>
      </c>
      <c r="L1410" t="str">
        <f>SUBSTITUTE(K1410,"'","")</f>
        <v>320252430479580084</v>
      </c>
      <c r="M1410">
        <v>54820</v>
      </c>
    </row>
    <row r="1411" spans="1:13" x14ac:dyDescent="0.4">
      <c r="A1411" s="1">
        <v>45900</v>
      </c>
      <c r="B1411" t="s">
        <v>4683</v>
      </c>
      <c r="C1411" t="s">
        <v>5308</v>
      </c>
      <c r="D1411">
        <v>54820</v>
      </c>
      <c r="E1411" t="s">
        <v>2788</v>
      </c>
      <c r="F1411">
        <v>53</v>
      </c>
      <c r="G1411" t="s">
        <v>4686</v>
      </c>
      <c r="H1411" t="s">
        <v>4687</v>
      </c>
      <c r="I1411">
        <v>26319</v>
      </c>
      <c r="J1411">
        <v>53760</v>
      </c>
      <c r="K1411" t="s">
        <v>2790</v>
      </c>
      <c r="L1411" t="str">
        <f>SUBSTITUTE(K1411,"'","")</f>
        <v>320252430490436753</v>
      </c>
      <c r="M1411">
        <v>54820</v>
      </c>
    </row>
    <row r="1412" spans="1:13" x14ac:dyDescent="0.4">
      <c r="A1412" s="1">
        <v>45900</v>
      </c>
      <c r="B1412" t="s">
        <v>4683</v>
      </c>
      <c r="C1412" t="s">
        <v>5311</v>
      </c>
      <c r="D1412">
        <v>54820</v>
      </c>
      <c r="E1412" t="s">
        <v>2706</v>
      </c>
      <c r="F1412">
        <v>80</v>
      </c>
      <c r="G1412" t="s">
        <v>4686</v>
      </c>
      <c r="H1412" t="s">
        <v>4687</v>
      </c>
      <c r="I1412">
        <v>26835</v>
      </c>
      <c r="J1412">
        <v>54792</v>
      </c>
      <c r="K1412" t="s">
        <v>2792</v>
      </c>
      <c r="L1412" t="str">
        <f>SUBSTITUTE(K1412,"'","")</f>
        <v>320252440512736476</v>
      </c>
      <c r="M1412">
        <v>54820</v>
      </c>
    </row>
    <row r="1413" spans="1:13" x14ac:dyDescent="0.4">
      <c r="A1413" s="1">
        <v>45900</v>
      </c>
      <c r="B1413" t="s">
        <v>4683</v>
      </c>
      <c r="C1413" t="s">
        <v>5309</v>
      </c>
      <c r="D1413">
        <v>54820</v>
      </c>
      <c r="E1413" t="s">
        <v>2783</v>
      </c>
      <c r="F1413">
        <v>40</v>
      </c>
      <c r="G1413" t="s">
        <v>4686</v>
      </c>
      <c r="H1413" t="s">
        <v>4687</v>
      </c>
      <c r="I1413">
        <v>26606</v>
      </c>
      <c r="J1413">
        <v>54334</v>
      </c>
      <c r="K1413" t="s">
        <v>2787</v>
      </c>
      <c r="L1413" t="str">
        <f>SUBSTITUTE(K1413,"'","")</f>
        <v>320252440515543473</v>
      </c>
      <c r="M1413">
        <v>54820</v>
      </c>
    </row>
    <row r="1414" spans="1:13" x14ac:dyDescent="0.4">
      <c r="A1414" s="1">
        <v>45901</v>
      </c>
      <c r="B1414" t="s">
        <v>4683</v>
      </c>
      <c r="C1414" t="s">
        <v>6367</v>
      </c>
      <c r="D1414">
        <v>64101</v>
      </c>
      <c r="E1414" t="s">
        <v>2429</v>
      </c>
      <c r="F1414">
        <v>576.09</v>
      </c>
      <c r="G1414" t="s">
        <v>4686</v>
      </c>
      <c r="H1414" t="s">
        <v>4687</v>
      </c>
      <c r="I1414">
        <v>26394</v>
      </c>
      <c r="J1414">
        <v>53910</v>
      </c>
      <c r="K1414" t="s">
        <v>2780</v>
      </c>
      <c r="L1414" t="str">
        <f>SUBSTITUTE(K1414,"'","")</f>
        <v>320252440502116363</v>
      </c>
      <c r="M1414">
        <v>64101</v>
      </c>
    </row>
    <row r="1415" spans="1:13" x14ac:dyDescent="0.4">
      <c r="A1415" s="1">
        <v>45901</v>
      </c>
      <c r="B1415" t="s">
        <v>4683</v>
      </c>
      <c r="C1415" t="s">
        <v>5313</v>
      </c>
      <c r="D1415">
        <v>54820</v>
      </c>
      <c r="E1415" t="s">
        <v>583</v>
      </c>
      <c r="F1415">
        <v>192.3</v>
      </c>
      <c r="G1415" t="s">
        <v>4686</v>
      </c>
      <c r="H1415" t="s">
        <v>4687</v>
      </c>
      <c r="I1415">
        <v>26781</v>
      </c>
      <c r="J1415">
        <v>54684</v>
      </c>
      <c r="K1415" t="s">
        <v>2782</v>
      </c>
      <c r="L1415" t="str">
        <f>SUBSTITUTE(K1415,"'","")</f>
        <v>320252440507032963</v>
      </c>
      <c r="M1415">
        <v>54820</v>
      </c>
    </row>
    <row r="1416" spans="1:13" x14ac:dyDescent="0.4">
      <c r="A1416" s="1">
        <v>45901</v>
      </c>
      <c r="B1416" t="s">
        <v>4683</v>
      </c>
      <c r="C1416" t="s">
        <v>6438</v>
      </c>
      <c r="D1416">
        <v>65700</v>
      </c>
      <c r="E1416" t="s">
        <v>234</v>
      </c>
      <c r="F1416">
        <v>334.49</v>
      </c>
      <c r="G1416" t="s">
        <v>4686</v>
      </c>
      <c r="H1416" t="s">
        <v>4687</v>
      </c>
      <c r="I1416">
        <v>25818</v>
      </c>
      <c r="J1416">
        <v>52758</v>
      </c>
      <c r="K1416" t="s">
        <v>391</v>
      </c>
      <c r="L1416" t="str">
        <f>SUBSTITUTE(K1416,"'","")</f>
        <v>320252440512499957</v>
      </c>
      <c r="M1416">
        <v>65700</v>
      </c>
    </row>
    <row r="1417" spans="1:13" x14ac:dyDescent="0.4">
      <c r="A1417" s="1">
        <v>45901</v>
      </c>
      <c r="B1417" t="s">
        <v>4683</v>
      </c>
      <c r="C1417" t="s">
        <v>5312</v>
      </c>
      <c r="D1417">
        <v>54820</v>
      </c>
      <c r="E1417" t="s">
        <v>140</v>
      </c>
      <c r="F1417">
        <v>42.44</v>
      </c>
      <c r="G1417" t="s">
        <v>4686</v>
      </c>
      <c r="H1417" t="s">
        <v>4687</v>
      </c>
      <c r="I1417">
        <v>26393</v>
      </c>
      <c r="J1417">
        <v>53908</v>
      </c>
      <c r="K1417" t="s">
        <v>2778</v>
      </c>
      <c r="L1417" t="str">
        <f>SUBSTITUTE(K1417,"'","")</f>
        <v>320252450532120830</v>
      </c>
      <c r="M1417">
        <v>54820</v>
      </c>
    </row>
    <row r="1418" spans="1:13" x14ac:dyDescent="0.4">
      <c r="A1418" s="1">
        <v>45902</v>
      </c>
      <c r="B1418" t="s">
        <v>4683</v>
      </c>
      <c r="C1418" t="s">
        <v>5824</v>
      </c>
      <c r="D1418">
        <v>61130</v>
      </c>
      <c r="E1418" t="s">
        <v>478</v>
      </c>
      <c r="F1418">
        <v>7.68</v>
      </c>
      <c r="G1418" t="s">
        <v>4686</v>
      </c>
      <c r="H1418" t="s">
        <v>4687</v>
      </c>
      <c r="I1418">
        <v>26868</v>
      </c>
      <c r="J1418">
        <v>54858</v>
      </c>
      <c r="K1418" t="s">
        <v>2776</v>
      </c>
      <c r="L1418" t="str">
        <f>SUBSTITUTE(K1418,"'","")</f>
        <v>320252450525622965</v>
      </c>
      <c r="M1418">
        <v>61130</v>
      </c>
    </row>
    <row r="1419" spans="1:13" x14ac:dyDescent="0.4">
      <c r="A1419" s="1">
        <v>45902</v>
      </c>
      <c r="B1419" t="s">
        <v>4683</v>
      </c>
      <c r="C1419" t="s">
        <v>5315</v>
      </c>
      <c r="D1419">
        <v>54820</v>
      </c>
      <c r="E1419" t="s">
        <v>2181</v>
      </c>
      <c r="F1419">
        <v>42.68</v>
      </c>
      <c r="G1419" t="s">
        <v>4686</v>
      </c>
      <c r="H1419" t="s">
        <v>4687</v>
      </c>
      <c r="I1419">
        <v>27050</v>
      </c>
      <c r="J1419">
        <v>55222</v>
      </c>
      <c r="K1419" t="s">
        <v>2763</v>
      </c>
      <c r="L1419" t="str">
        <f>SUBSTITUTE(K1419,"'","")</f>
        <v>320252450527170407</v>
      </c>
      <c r="M1419">
        <v>54820</v>
      </c>
    </row>
    <row r="1420" spans="1:13" x14ac:dyDescent="0.4">
      <c r="A1420" s="1">
        <v>45902</v>
      </c>
      <c r="B1420" t="s">
        <v>4683</v>
      </c>
      <c r="C1420" t="s">
        <v>6504</v>
      </c>
      <c r="D1420">
        <v>67500</v>
      </c>
      <c r="E1420" t="s">
        <v>106</v>
      </c>
      <c r="F1420">
        <v>136.26</v>
      </c>
      <c r="G1420" t="s">
        <v>4686</v>
      </c>
      <c r="H1420" t="s">
        <v>4687</v>
      </c>
      <c r="I1420">
        <v>25875</v>
      </c>
      <c r="J1420">
        <v>52872</v>
      </c>
      <c r="K1420" t="s">
        <v>387</v>
      </c>
      <c r="L1420" t="str">
        <f>SUBSTITUTE(K1420,"'","")</f>
        <v>320252450530424079</v>
      </c>
      <c r="M1420">
        <v>67500</v>
      </c>
    </row>
    <row r="1421" spans="1:13" x14ac:dyDescent="0.4">
      <c r="A1421" s="1">
        <v>45902</v>
      </c>
      <c r="B1421" t="s">
        <v>4683</v>
      </c>
      <c r="C1421" t="s">
        <v>5317</v>
      </c>
      <c r="D1421">
        <v>54820</v>
      </c>
      <c r="E1421" t="s">
        <v>2190</v>
      </c>
      <c r="F1421">
        <v>9.7100000000000009</v>
      </c>
      <c r="G1421" t="s">
        <v>4686</v>
      </c>
      <c r="H1421" t="s">
        <v>4687</v>
      </c>
      <c r="I1421">
        <v>27052</v>
      </c>
      <c r="J1421">
        <v>55226</v>
      </c>
      <c r="K1421" t="s">
        <v>2774</v>
      </c>
      <c r="L1421" t="str">
        <f>SUBSTITUTE(K1421,"'","")</f>
        <v>320252450530447885</v>
      </c>
      <c r="M1421">
        <v>54820</v>
      </c>
    </row>
    <row r="1422" spans="1:13" x14ac:dyDescent="0.4">
      <c r="A1422" s="1">
        <v>45902</v>
      </c>
      <c r="B1422" t="s">
        <v>4683</v>
      </c>
      <c r="C1422" t="s">
        <v>6294</v>
      </c>
      <c r="D1422">
        <v>64100</v>
      </c>
      <c r="E1422" t="s">
        <v>213</v>
      </c>
      <c r="F1422">
        <v>21.4</v>
      </c>
      <c r="G1422" t="s">
        <v>4686</v>
      </c>
      <c r="H1422" t="s">
        <v>4687</v>
      </c>
      <c r="I1422">
        <v>25928</v>
      </c>
      <c r="J1422">
        <v>52978</v>
      </c>
      <c r="K1422" t="s">
        <v>385</v>
      </c>
      <c r="L1422" t="str">
        <f>SUBSTITUTE(K1422,"'","")</f>
        <v>320252450547262794</v>
      </c>
      <c r="M1422">
        <v>64100</v>
      </c>
    </row>
    <row r="1423" spans="1:13" x14ac:dyDescent="0.4">
      <c r="A1423" s="1">
        <v>45902</v>
      </c>
      <c r="B1423" t="s">
        <v>4683</v>
      </c>
      <c r="C1423" t="s">
        <v>5316</v>
      </c>
      <c r="D1423">
        <v>54820</v>
      </c>
      <c r="E1423" t="s">
        <v>2768</v>
      </c>
      <c r="F1423">
        <v>117.95</v>
      </c>
      <c r="G1423" t="s">
        <v>4686</v>
      </c>
      <c r="H1423" t="s">
        <v>4687</v>
      </c>
      <c r="I1423">
        <v>27051</v>
      </c>
      <c r="J1423">
        <v>55224</v>
      </c>
      <c r="K1423" t="s">
        <v>2772</v>
      </c>
      <c r="L1423" t="str">
        <f>SUBSTITUTE(K1423,"'","")</f>
        <v>320252460572106198</v>
      </c>
      <c r="M1423">
        <v>54820</v>
      </c>
    </row>
    <row r="1424" spans="1:13" x14ac:dyDescent="0.4">
      <c r="A1424" s="1">
        <v>45902</v>
      </c>
      <c r="B1424" t="s">
        <v>4683</v>
      </c>
      <c r="C1424" t="s">
        <v>5314</v>
      </c>
      <c r="D1424">
        <v>54820</v>
      </c>
      <c r="E1424" t="s">
        <v>2764</v>
      </c>
      <c r="F1424">
        <v>13.77</v>
      </c>
      <c r="G1424" t="s">
        <v>4686</v>
      </c>
      <c r="H1424" t="s">
        <v>4687</v>
      </c>
      <c r="I1424">
        <v>26746</v>
      </c>
      <c r="J1424">
        <v>54614</v>
      </c>
      <c r="K1424" t="s">
        <v>2767</v>
      </c>
      <c r="L1424" t="str">
        <f>SUBSTITUTE(K1424,"'","")</f>
        <v>320252460572462483</v>
      </c>
      <c r="M1424">
        <v>54820</v>
      </c>
    </row>
    <row r="1425" spans="1:13" x14ac:dyDescent="0.4">
      <c r="A1425" s="1">
        <v>45902</v>
      </c>
      <c r="B1425" t="s">
        <v>4683</v>
      </c>
      <c r="C1425" t="s">
        <v>6381</v>
      </c>
      <c r="D1425">
        <v>64200</v>
      </c>
      <c r="E1425" t="s">
        <v>222</v>
      </c>
      <c r="F1425">
        <v>79</v>
      </c>
      <c r="G1425" t="s">
        <v>4686</v>
      </c>
      <c r="H1425" t="s">
        <v>4687</v>
      </c>
      <c r="I1425">
        <v>25867</v>
      </c>
      <c r="J1425">
        <v>52856</v>
      </c>
      <c r="K1425" t="s">
        <v>389</v>
      </c>
      <c r="L1425" t="str">
        <f>SUBSTITUTE(K1425,"'","")</f>
        <v>320252460575834478</v>
      </c>
      <c r="M1425">
        <v>64200</v>
      </c>
    </row>
    <row r="1426" spans="1:13" x14ac:dyDescent="0.4">
      <c r="A1426" s="1">
        <v>45903</v>
      </c>
      <c r="B1426" t="s">
        <v>4683</v>
      </c>
      <c r="C1426" t="s">
        <v>5825</v>
      </c>
      <c r="D1426">
        <v>61130</v>
      </c>
      <c r="E1426" t="s">
        <v>478</v>
      </c>
      <c r="F1426">
        <v>68.709999999999994</v>
      </c>
      <c r="G1426" t="s">
        <v>4686</v>
      </c>
      <c r="H1426" t="s">
        <v>4687</v>
      </c>
      <c r="I1426">
        <v>26869</v>
      </c>
      <c r="J1426">
        <v>54860</v>
      </c>
      <c r="K1426" t="s">
        <v>2759</v>
      </c>
      <c r="L1426" t="str">
        <f>SUBSTITUTE(K1426,"'","")</f>
        <v>320252460563634409</v>
      </c>
      <c r="M1426">
        <v>61130</v>
      </c>
    </row>
    <row r="1427" spans="1:13" x14ac:dyDescent="0.4">
      <c r="A1427" s="1">
        <v>45903</v>
      </c>
      <c r="B1427" t="s">
        <v>4683</v>
      </c>
      <c r="C1427" t="s">
        <v>6295</v>
      </c>
      <c r="D1427">
        <v>64100</v>
      </c>
      <c r="E1427" t="s">
        <v>153</v>
      </c>
      <c r="F1427">
        <v>25.84</v>
      </c>
      <c r="G1427" t="s">
        <v>4686</v>
      </c>
      <c r="H1427" t="s">
        <v>4687</v>
      </c>
      <c r="I1427">
        <v>25612</v>
      </c>
      <c r="J1427">
        <v>52346</v>
      </c>
      <c r="K1427" t="s">
        <v>383</v>
      </c>
      <c r="L1427" t="str">
        <f>SUBSTITUTE(K1427,"'","")</f>
        <v>320252460575589019</v>
      </c>
      <c r="M1427">
        <v>64100</v>
      </c>
    </row>
    <row r="1428" spans="1:13" x14ac:dyDescent="0.4">
      <c r="A1428" s="1">
        <v>45903</v>
      </c>
      <c r="B1428" t="s">
        <v>4683</v>
      </c>
      <c r="C1428" t="s">
        <v>6505</v>
      </c>
      <c r="D1428">
        <v>67500</v>
      </c>
      <c r="E1428" t="s">
        <v>2400</v>
      </c>
      <c r="F1428">
        <v>21.39</v>
      </c>
      <c r="G1428" t="s">
        <v>4686</v>
      </c>
      <c r="H1428" t="s">
        <v>4687</v>
      </c>
      <c r="I1428">
        <v>26284</v>
      </c>
      <c r="J1428">
        <v>53690</v>
      </c>
      <c r="K1428" t="s">
        <v>2751</v>
      </c>
      <c r="L1428" t="str">
        <f>SUBSTITUTE(K1428,"'","")</f>
        <v>320252470595462171</v>
      </c>
      <c r="M1428">
        <v>67500</v>
      </c>
    </row>
    <row r="1429" spans="1:13" x14ac:dyDescent="0.4">
      <c r="A1429" s="1">
        <v>45903</v>
      </c>
      <c r="B1429" t="s">
        <v>4683</v>
      </c>
      <c r="C1429" t="s">
        <v>5930</v>
      </c>
      <c r="D1429">
        <v>61131</v>
      </c>
      <c r="E1429" t="s">
        <v>379</v>
      </c>
      <c r="F1429">
        <v>9.15</v>
      </c>
      <c r="G1429" t="s">
        <v>4686</v>
      </c>
      <c r="H1429" t="s">
        <v>4687</v>
      </c>
      <c r="I1429">
        <v>25749</v>
      </c>
      <c r="J1429">
        <v>52620</v>
      </c>
      <c r="K1429" t="s">
        <v>381</v>
      </c>
      <c r="L1429" t="str">
        <f>SUBSTITUTE(K1429,"'","")</f>
        <v>320252470598411069</v>
      </c>
      <c r="M1429">
        <v>61131</v>
      </c>
    </row>
    <row r="1430" spans="1:13" x14ac:dyDescent="0.4">
      <c r="A1430" s="1">
        <v>45903</v>
      </c>
      <c r="B1430" t="s">
        <v>4683</v>
      </c>
      <c r="C1430" t="s">
        <v>5318</v>
      </c>
      <c r="D1430">
        <v>54820</v>
      </c>
      <c r="E1430" t="s">
        <v>2240</v>
      </c>
      <c r="F1430">
        <v>78.430000000000007</v>
      </c>
      <c r="G1430" t="s">
        <v>4686</v>
      </c>
      <c r="H1430" t="s">
        <v>4687</v>
      </c>
      <c r="I1430">
        <v>26146</v>
      </c>
      <c r="J1430">
        <v>53414</v>
      </c>
      <c r="K1430" t="s">
        <v>2761</v>
      </c>
      <c r="L1430" t="str">
        <f>SUBSTITUTE(K1430,"'","")</f>
        <v>320252470598428466</v>
      </c>
      <c r="M1430">
        <v>54820</v>
      </c>
    </row>
    <row r="1431" spans="1:13" x14ac:dyDescent="0.4">
      <c r="A1431" s="1">
        <v>45903</v>
      </c>
      <c r="B1431" t="s">
        <v>4683</v>
      </c>
      <c r="C1431" t="s">
        <v>6296</v>
      </c>
      <c r="D1431">
        <v>64100</v>
      </c>
      <c r="E1431" t="s">
        <v>2752</v>
      </c>
      <c r="F1431">
        <v>32.07</v>
      </c>
      <c r="G1431" t="s">
        <v>4686</v>
      </c>
      <c r="H1431" t="s">
        <v>4687</v>
      </c>
      <c r="I1431">
        <v>26238</v>
      </c>
      <c r="J1431">
        <v>53598</v>
      </c>
      <c r="K1431" t="s">
        <v>2754</v>
      </c>
      <c r="L1431" t="str">
        <f>SUBSTITUTE(K1431,"'","")</f>
        <v>320252470607790661</v>
      </c>
      <c r="M1431">
        <v>64100</v>
      </c>
    </row>
    <row r="1432" spans="1:13" x14ac:dyDescent="0.4">
      <c r="A1432" s="1">
        <v>45903</v>
      </c>
      <c r="B1432" t="s">
        <v>4683</v>
      </c>
      <c r="C1432" t="s">
        <v>6297</v>
      </c>
      <c r="D1432">
        <v>64100</v>
      </c>
      <c r="E1432" t="s">
        <v>2755</v>
      </c>
      <c r="F1432">
        <v>68.48</v>
      </c>
      <c r="G1432" t="s">
        <v>4686</v>
      </c>
      <c r="H1432" t="s">
        <v>4687</v>
      </c>
      <c r="I1432">
        <v>26239</v>
      </c>
      <c r="J1432">
        <v>53600</v>
      </c>
      <c r="K1432" t="s">
        <v>2757</v>
      </c>
      <c r="L1432" t="str">
        <f>SUBSTITUTE(K1432,"'","")</f>
        <v>320252470607834583</v>
      </c>
      <c r="M1432">
        <v>64100</v>
      </c>
    </row>
    <row r="1433" spans="1:13" x14ac:dyDescent="0.4">
      <c r="A1433" s="1">
        <v>45904</v>
      </c>
      <c r="B1433" t="s">
        <v>4683</v>
      </c>
      <c r="C1433" t="s">
        <v>5319</v>
      </c>
      <c r="D1433">
        <v>54820</v>
      </c>
      <c r="E1433" t="s">
        <v>196</v>
      </c>
      <c r="F1433">
        <v>10.99</v>
      </c>
      <c r="G1433" t="s">
        <v>4686</v>
      </c>
      <c r="H1433" t="s">
        <v>4687</v>
      </c>
      <c r="I1433">
        <v>25885</v>
      </c>
      <c r="J1433">
        <v>52892</v>
      </c>
      <c r="K1433" t="s">
        <v>378</v>
      </c>
      <c r="L1433" t="str">
        <f>SUBSTITUTE(K1433,"'","")</f>
        <v>320252470590115215</v>
      </c>
      <c r="M1433">
        <v>54820</v>
      </c>
    </row>
    <row r="1434" spans="1:13" x14ac:dyDescent="0.4">
      <c r="A1434" s="1">
        <v>45904</v>
      </c>
      <c r="B1434" t="s">
        <v>4683</v>
      </c>
      <c r="C1434" t="s">
        <v>5326</v>
      </c>
      <c r="D1434">
        <v>54820</v>
      </c>
      <c r="E1434" t="s">
        <v>2190</v>
      </c>
      <c r="F1434">
        <v>8.44</v>
      </c>
      <c r="G1434" t="s">
        <v>4686</v>
      </c>
      <c r="H1434" t="s">
        <v>4687</v>
      </c>
      <c r="I1434">
        <v>27054</v>
      </c>
      <c r="J1434">
        <v>55230</v>
      </c>
      <c r="K1434" t="s">
        <v>2740</v>
      </c>
      <c r="L1434" t="str">
        <f>SUBSTITUTE(K1434,"'","")</f>
        <v>320252470591589467</v>
      </c>
      <c r="M1434">
        <v>54820</v>
      </c>
    </row>
    <row r="1435" spans="1:13" x14ac:dyDescent="0.4">
      <c r="A1435" s="1">
        <v>45904</v>
      </c>
      <c r="B1435" t="s">
        <v>4683</v>
      </c>
      <c r="C1435" t="s">
        <v>5324</v>
      </c>
      <c r="D1435">
        <v>54820</v>
      </c>
      <c r="E1435" t="s">
        <v>583</v>
      </c>
      <c r="F1435">
        <v>106.85</v>
      </c>
      <c r="G1435" t="s">
        <v>4686</v>
      </c>
      <c r="H1435" t="s">
        <v>4687</v>
      </c>
      <c r="I1435">
        <v>26783</v>
      </c>
      <c r="J1435">
        <v>54688</v>
      </c>
      <c r="K1435" t="s">
        <v>2748</v>
      </c>
      <c r="L1435" t="str">
        <f>SUBSTITUTE(K1435,"'","")</f>
        <v>320252470591957429</v>
      </c>
      <c r="M1435">
        <v>54820</v>
      </c>
    </row>
    <row r="1436" spans="1:13" x14ac:dyDescent="0.4">
      <c r="A1436" s="1">
        <v>45904</v>
      </c>
      <c r="B1436" t="s">
        <v>4683</v>
      </c>
      <c r="C1436" t="s">
        <v>5325</v>
      </c>
      <c r="D1436">
        <v>54820</v>
      </c>
      <c r="E1436" t="s">
        <v>2393</v>
      </c>
      <c r="F1436">
        <v>9.9499999999999993</v>
      </c>
      <c r="G1436" t="s">
        <v>4686</v>
      </c>
      <c r="H1436" t="s">
        <v>4687</v>
      </c>
      <c r="I1436">
        <v>27053</v>
      </c>
      <c r="J1436">
        <v>55228</v>
      </c>
      <c r="K1436" t="s">
        <v>2732</v>
      </c>
      <c r="L1436" t="str">
        <f>SUBSTITUTE(K1436,"'","")</f>
        <v>320252470592111097</v>
      </c>
      <c r="M1436">
        <v>54820</v>
      </c>
    </row>
    <row r="1437" spans="1:13" x14ac:dyDescent="0.4">
      <c r="A1437" s="1">
        <v>45904</v>
      </c>
      <c r="B1437" t="s">
        <v>4683</v>
      </c>
      <c r="C1437" t="s">
        <v>6298</v>
      </c>
      <c r="D1437">
        <v>64100</v>
      </c>
      <c r="E1437" t="s">
        <v>153</v>
      </c>
      <c r="F1437">
        <v>25.84</v>
      </c>
      <c r="G1437" t="s">
        <v>4686</v>
      </c>
      <c r="H1437" t="s">
        <v>4687</v>
      </c>
      <c r="I1437">
        <v>25613</v>
      </c>
      <c r="J1437">
        <v>52348</v>
      </c>
      <c r="K1437" t="s">
        <v>377</v>
      </c>
      <c r="L1437" t="str">
        <f>SUBSTITUTE(K1437,"'","")</f>
        <v>320252470603035465</v>
      </c>
      <c r="M1437">
        <v>64100</v>
      </c>
    </row>
    <row r="1438" spans="1:13" x14ac:dyDescent="0.4">
      <c r="A1438" s="1">
        <v>45904</v>
      </c>
      <c r="B1438" t="s">
        <v>4683</v>
      </c>
      <c r="C1438" t="s">
        <v>6300</v>
      </c>
      <c r="D1438">
        <v>64100</v>
      </c>
      <c r="E1438" t="s">
        <v>165</v>
      </c>
      <c r="F1438">
        <v>42.8</v>
      </c>
      <c r="G1438" t="s">
        <v>4686</v>
      </c>
      <c r="H1438" t="s">
        <v>4687</v>
      </c>
      <c r="I1438">
        <v>26241</v>
      </c>
      <c r="J1438">
        <v>53604</v>
      </c>
      <c r="K1438" t="s">
        <v>2724</v>
      </c>
      <c r="L1438" t="str">
        <f>SUBSTITUTE(K1438,"'","")</f>
        <v>320252470607779405</v>
      </c>
      <c r="M1438">
        <v>64100</v>
      </c>
    </row>
    <row r="1439" spans="1:13" x14ac:dyDescent="0.4">
      <c r="A1439" s="1">
        <v>45904</v>
      </c>
      <c r="B1439" t="s">
        <v>4683</v>
      </c>
      <c r="C1439" t="s">
        <v>6299</v>
      </c>
      <c r="D1439">
        <v>64100</v>
      </c>
      <c r="E1439" t="s">
        <v>165</v>
      </c>
      <c r="F1439">
        <v>25.68</v>
      </c>
      <c r="G1439" t="s">
        <v>4686</v>
      </c>
      <c r="H1439" t="s">
        <v>4687</v>
      </c>
      <c r="I1439">
        <v>26240</v>
      </c>
      <c r="J1439">
        <v>53602</v>
      </c>
      <c r="K1439" t="s">
        <v>2722</v>
      </c>
      <c r="L1439" t="str">
        <f>SUBSTITUTE(K1439,"'","")</f>
        <v>320252470607793086</v>
      </c>
      <c r="M1439">
        <v>64100</v>
      </c>
    </row>
    <row r="1440" spans="1:13" x14ac:dyDescent="0.4">
      <c r="A1440" s="1">
        <v>45904</v>
      </c>
      <c r="B1440" t="s">
        <v>4683</v>
      </c>
      <c r="C1440" t="s">
        <v>6302</v>
      </c>
      <c r="D1440">
        <v>64100</v>
      </c>
      <c r="E1440" t="s">
        <v>2390</v>
      </c>
      <c r="F1440">
        <v>21.4</v>
      </c>
      <c r="G1440" t="s">
        <v>4686</v>
      </c>
      <c r="H1440" t="s">
        <v>4687</v>
      </c>
      <c r="I1440">
        <v>26709</v>
      </c>
      <c r="J1440">
        <v>54540</v>
      </c>
      <c r="K1440" t="s">
        <v>2728</v>
      </c>
      <c r="L1440" t="str">
        <f>SUBSTITUTE(K1440,"'","")</f>
        <v>320252470607839964</v>
      </c>
      <c r="M1440">
        <v>64100</v>
      </c>
    </row>
    <row r="1441" spans="1:13" x14ac:dyDescent="0.4">
      <c r="A1441" s="1">
        <v>45904</v>
      </c>
      <c r="B1441" t="s">
        <v>4683</v>
      </c>
      <c r="C1441" t="s">
        <v>6301</v>
      </c>
      <c r="D1441">
        <v>64100</v>
      </c>
      <c r="E1441" t="s">
        <v>165</v>
      </c>
      <c r="F1441">
        <v>289.06</v>
      </c>
      <c r="G1441" t="s">
        <v>4686</v>
      </c>
      <c r="H1441" t="s">
        <v>4687</v>
      </c>
      <c r="I1441">
        <v>26242</v>
      </c>
      <c r="J1441">
        <v>53606</v>
      </c>
      <c r="K1441" t="s">
        <v>2726</v>
      </c>
      <c r="L1441" t="str">
        <f>SUBSTITUTE(K1441,"'","")</f>
        <v>320252470607847929</v>
      </c>
      <c r="M1441">
        <v>64100</v>
      </c>
    </row>
    <row r="1442" spans="1:13" x14ac:dyDescent="0.4">
      <c r="A1442" s="1">
        <v>45904</v>
      </c>
      <c r="B1442" t="s">
        <v>4683</v>
      </c>
      <c r="C1442" t="s">
        <v>5529</v>
      </c>
      <c r="D1442">
        <v>61100</v>
      </c>
      <c r="E1442" t="s">
        <v>202</v>
      </c>
      <c r="F1442">
        <v>175</v>
      </c>
      <c r="G1442" t="s">
        <v>4686</v>
      </c>
      <c r="H1442" t="s">
        <v>4687</v>
      </c>
      <c r="I1442">
        <v>26914</v>
      </c>
      <c r="J1442">
        <v>54950</v>
      </c>
      <c r="K1442" t="s">
        <v>2736</v>
      </c>
      <c r="L1442" t="str">
        <f>SUBSTITUTE(K1442,"'","")</f>
        <v>320252480614753742</v>
      </c>
      <c r="M1442">
        <v>61100</v>
      </c>
    </row>
    <row r="1443" spans="1:13" x14ac:dyDescent="0.4">
      <c r="A1443" s="1">
        <v>45904</v>
      </c>
      <c r="B1443" t="s">
        <v>4683</v>
      </c>
      <c r="C1443" t="s">
        <v>5323</v>
      </c>
      <c r="D1443">
        <v>54820</v>
      </c>
      <c r="E1443" t="s">
        <v>583</v>
      </c>
      <c r="F1443">
        <v>20.46</v>
      </c>
      <c r="G1443" t="s">
        <v>4686</v>
      </c>
      <c r="H1443" t="s">
        <v>4687</v>
      </c>
      <c r="I1443">
        <v>26782</v>
      </c>
      <c r="J1443">
        <v>54686</v>
      </c>
      <c r="K1443" t="s">
        <v>2746</v>
      </c>
      <c r="L1443" t="str">
        <f>SUBSTITUTE(K1443,"'","")</f>
        <v>320252480619433889</v>
      </c>
      <c r="M1443">
        <v>54820</v>
      </c>
    </row>
    <row r="1444" spans="1:13" x14ac:dyDescent="0.4">
      <c r="A1444" s="1">
        <v>45904</v>
      </c>
      <c r="B1444" t="s">
        <v>4683</v>
      </c>
      <c r="C1444" t="s">
        <v>5321</v>
      </c>
      <c r="D1444">
        <v>54820</v>
      </c>
      <c r="E1444" t="s">
        <v>140</v>
      </c>
      <c r="F1444">
        <v>10.33</v>
      </c>
      <c r="G1444" t="s">
        <v>4686</v>
      </c>
      <c r="H1444" t="s">
        <v>4687</v>
      </c>
      <c r="I1444">
        <v>26395</v>
      </c>
      <c r="J1444">
        <v>53912</v>
      </c>
      <c r="K1444" t="s">
        <v>2730</v>
      </c>
      <c r="L1444" t="str">
        <f>SUBSTITUTE(K1444,"'","")</f>
        <v>320252480624130705</v>
      </c>
      <c r="M1444">
        <v>54820</v>
      </c>
    </row>
    <row r="1445" spans="1:13" x14ac:dyDescent="0.4">
      <c r="A1445" s="1">
        <v>45904</v>
      </c>
      <c r="B1445" t="s">
        <v>4683</v>
      </c>
      <c r="C1445" t="s">
        <v>5320</v>
      </c>
      <c r="D1445">
        <v>54820</v>
      </c>
      <c r="E1445" t="s">
        <v>2741</v>
      </c>
      <c r="F1445">
        <v>90.8</v>
      </c>
      <c r="G1445" t="s">
        <v>4686</v>
      </c>
      <c r="H1445" t="s">
        <v>4687</v>
      </c>
      <c r="I1445">
        <v>26198</v>
      </c>
      <c r="J1445">
        <v>53518</v>
      </c>
      <c r="K1445" t="s">
        <v>2744</v>
      </c>
      <c r="L1445" t="str">
        <f>SUBSTITUTE(K1445,"'","")</f>
        <v>320252480626561058</v>
      </c>
      <c r="M1445">
        <v>54820</v>
      </c>
    </row>
    <row r="1446" spans="1:13" x14ac:dyDescent="0.4">
      <c r="A1446" s="1">
        <v>45904</v>
      </c>
      <c r="B1446" t="s">
        <v>4683</v>
      </c>
      <c r="C1446" t="s">
        <v>5931</v>
      </c>
      <c r="D1446">
        <v>61131</v>
      </c>
      <c r="E1446" t="s">
        <v>327</v>
      </c>
      <c r="F1446">
        <v>9.15</v>
      </c>
      <c r="G1446" t="s">
        <v>4686</v>
      </c>
      <c r="H1446" t="s">
        <v>4687</v>
      </c>
      <c r="I1446">
        <v>25750</v>
      </c>
      <c r="J1446">
        <v>52622</v>
      </c>
      <c r="K1446" t="s">
        <v>375</v>
      </c>
      <c r="L1446" t="str">
        <f>SUBSTITUTE(K1446,"'","")</f>
        <v>320252480628526888</v>
      </c>
      <c r="M1446">
        <v>61131</v>
      </c>
    </row>
    <row r="1447" spans="1:13" x14ac:dyDescent="0.4">
      <c r="A1447" s="1">
        <v>45904</v>
      </c>
      <c r="B1447" t="s">
        <v>4683</v>
      </c>
      <c r="C1447" t="s">
        <v>5322</v>
      </c>
      <c r="D1447">
        <v>54820</v>
      </c>
      <c r="E1447" t="s">
        <v>2085</v>
      </c>
      <c r="F1447">
        <v>34.18</v>
      </c>
      <c r="G1447" t="s">
        <v>4686</v>
      </c>
      <c r="H1447" t="s">
        <v>4687</v>
      </c>
      <c r="I1447">
        <v>26710</v>
      </c>
      <c r="J1447">
        <v>54542</v>
      </c>
      <c r="K1447" t="s">
        <v>2750</v>
      </c>
      <c r="L1447" t="str">
        <f>SUBSTITUTE(K1447,"'","")</f>
        <v>320252480629164481</v>
      </c>
      <c r="M1447">
        <v>54820</v>
      </c>
    </row>
    <row r="1448" spans="1:13" x14ac:dyDescent="0.4">
      <c r="A1448" s="1">
        <v>45904</v>
      </c>
      <c r="B1448" t="s">
        <v>4683</v>
      </c>
      <c r="C1448" t="s">
        <v>6439</v>
      </c>
      <c r="D1448">
        <v>65700</v>
      </c>
      <c r="E1448" t="s">
        <v>2340</v>
      </c>
      <c r="F1448">
        <v>19.059999999999999</v>
      </c>
      <c r="G1448" t="s">
        <v>4686</v>
      </c>
      <c r="H1448" t="s">
        <v>4687</v>
      </c>
      <c r="I1448">
        <v>26423</v>
      </c>
      <c r="J1448">
        <v>53968</v>
      </c>
      <c r="K1448" t="s">
        <v>2738</v>
      </c>
      <c r="L1448" t="str">
        <f>SUBSTITUTE(K1448,"'","")</f>
        <v>320252480631433082</v>
      </c>
      <c r="M1448">
        <v>65700</v>
      </c>
    </row>
    <row r="1449" spans="1:13" x14ac:dyDescent="0.4">
      <c r="A1449" s="1">
        <v>45905</v>
      </c>
      <c r="B1449" t="s">
        <v>4683</v>
      </c>
      <c r="C1449" t="s">
        <v>5826</v>
      </c>
      <c r="D1449">
        <v>61130</v>
      </c>
      <c r="E1449" t="s">
        <v>478</v>
      </c>
      <c r="F1449">
        <v>13.74</v>
      </c>
      <c r="G1449" t="s">
        <v>4686</v>
      </c>
      <c r="H1449" t="s">
        <v>4687</v>
      </c>
      <c r="I1449">
        <v>26870</v>
      </c>
      <c r="J1449">
        <v>54862</v>
      </c>
      <c r="K1449" t="s">
        <v>2716</v>
      </c>
      <c r="L1449" t="str">
        <f>SUBSTITUTE(K1449,"'","")</f>
        <v>320252480615143103</v>
      </c>
      <c r="M1449">
        <v>61130</v>
      </c>
    </row>
    <row r="1450" spans="1:13" x14ac:dyDescent="0.4">
      <c r="A1450" s="1">
        <v>45905</v>
      </c>
      <c r="B1450" t="s">
        <v>4683</v>
      </c>
      <c r="C1450" t="s">
        <v>5828</v>
      </c>
      <c r="D1450">
        <v>61130</v>
      </c>
      <c r="E1450" t="s">
        <v>478</v>
      </c>
      <c r="F1450">
        <v>65.709999999999994</v>
      </c>
      <c r="G1450" t="s">
        <v>4686</v>
      </c>
      <c r="H1450" t="s">
        <v>4687</v>
      </c>
      <c r="I1450">
        <v>26872</v>
      </c>
      <c r="J1450">
        <v>54866</v>
      </c>
      <c r="K1450" t="s">
        <v>2720</v>
      </c>
      <c r="L1450" t="str">
        <f>SUBSTITUTE(K1450,"'","")</f>
        <v>320252480615171714</v>
      </c>
      <c r="M1450">
        <v>61130</v>
      </c>
    </row>
    <row r="1451" spans="1:13" x14ac:dyDescent="0.4">
      <c r="A1451" s="1">
        <v>45905</v>
      </c>
      <c r="B1451" t="s">
        <v>4683</v>
      </c>
      <c r="C1451" t="s">
        <v>6305</v>
      </c>
      <c r="D1451">
        <v>64100</v>
      </c>
      <c r="E1451" t="s">
        <v>2365</v>
      </c>
      <c r="F1451">
        <v>300</v>
      </c>
      <c r="G1451" t="s">
        <v>4686</v>
      </c>
      <c r="H1451" t="s">
        <v>4687</v>
      </c>
      <c r="I1451">
        <v>26915</v>
      </c>
      <c r="J1451">
        <v>54952</v>
      </c>
      <c r="K1451" t="s">
        <v>2703</v>
      </c>
      <c r="L1451" t="str">
        <f>SUBSTITUTE(K1451,"'","")</f>
        <v>320252480616240805</v>
      </c>
      <c r="M1451">
        <v>64100</v>
      </c>
    </row>
    <row r="1452" spans="1:13" x14ac:dyDescent="0.4">
      <c r="A1452" s="1">
        <v>45905</v>
      </c>
      <c r="B1452" t="s">
        <v>4683</v>
      </c>
      <c r="C1452" t="s">
        <v>6306</v>
      </c>
      <c r="D1452">
        <v>64100</v>
      </c>
      <c r="E1452" t="s">
        <v>517</v>
      </c>
      <c r="F1452">
        <v>4</v>
      </c>
      <c r="G1452" t="s">
        <v>4686</v>
      </c>
      <c r="H1452" t="s">
        <v>4687</v>
      </c>
      <c r="I1452">
        <v>26916</v>
      </c>
      <c r="J1452">
        <v>54954</v>
      </c>
      <c r="K1452" t="s">
        <v>2705</v>
      </c>
      <c r="L1452" t="str">
        <f>SUBSTITUTE(K1452,"'","")</f>
        <v>320252480617264209</v>
      </c>
      <c r="M1452">
        <v>64100</v>
      </c>
    </row>
    <row r="1453" spans="1:13" x14ac:dyDescent="0.4">
      <c r="A1453" s="1">
        <v>45905</v>
      </c>
      <c r="B1453" t="s">
        <v>4683</v>
      </c>
      <c r="C1453" t="s">
        <v>6303</v>
      </c>
      <c r="D1453">
        <v>64100</v>
      </c>
      <c r="E1453" t="s">
        <v>365</v>
      </c>
      <c r="F1453">
        <v>321.95</v>
      </c>
      <c r="G1453" t="s">
        <v>4686</v>
      </c>
      <c r="H1453" t="s">
        <v>4687</v>
      </c>
      <c r="I1453">
        <v>26088</v>
      </c>
      <c r="J1453">
        <v>53298</v>
      </c>
      <c r="K1453" t="s">
        <v>369</v>
      </c>
      <c r="L1453" t="str">
        <f>SUBSTITUTE(K1453,"'","")</f>
        <v>320252480619929039</v>
      </c>
      <c r="M1453">
        <v>64100</v>
      </c>
    </row>
    <row r="1454" spans="1:13" x14ac:dyDescent="0.4">
      <c r="A1454" s="1">
        <v>45905</v>
      </c>
      <c r="B1454" t="s">
        <v>4683</v>
      </c>
      <c r="C1454" t="s">
        <v>5328</v>
      </c>
      <c r="D1454">
        <v>54820</v>
      </c>
      <c r="E1454" t="s">
        <v>583</v>
      </c>
      <c r="F1454">
        <v>299.88</v>
      </c>
      <c r="G1454" t="s">
        <v>4686</v>
      </c>
      <c r="H1454" t="s">
        <v>4687</v>
      </c>
      <c r="I1454">
        <v>26785</v>
      </c>
      <c r="J1454">
        <v>54692</v>
      </c>
      <c r="K1454" t="s">
        <v>2714</v>
      </c>
      <c r="L1454" t="str">
        <f>SUBSTITUTE(K1454,"'","")</f>
        <v>320252480620326109</v>
      </c>
      <c r="M1454">
        <v>54820</v>
      </c>
    </row>
    <row r="1455" spans="1:13" x14ac:dyDescent="0.4">
      <c r="A1455" s="1">
        <v>45905</v>
      </c>
      <c r="B1455" t="s">
        <v>4683</v>
      </c>
      <c r="C1455" t="s">
        <v>6304</v>
      </c>
      <c r="D1455">
        <v>64100</v>
      </c>
      <c r="E1455" t="s">
        <v>371</v>
      </c>
      <c r="F1455">
        <v>248.56</v>
      </c>
      <c r="G1455" t="s">
        <v>4686</v>
      </c>
      <c r="H1455" t="s">
        <v>4687</v>
      </c>
      <c r="I1455">
        <v>26089</v>
      </c>
      <c r="J1455">
        <v>53300</v>
      </c>
      <c r="K1455" t="s">
        <v>373</v>
      </c>
      <c r="L1455" t="str">
        <f>SUBSTITUTE(K1455,"'","")</f>
        <v>320252480620803693</v>
      </c>
      <c r="M1455">
        <v>64100</v>
      </c>
    </row>
    <row r="1456" spans="1:13" x14ac:dyDescent="0.4">
      <c r="A1456" s="1">
        <v>45905</v>
      </c>
      <c r="B1456" t="s">
        <v>4683</v>
      </c>
      <c r="C1456" t="s">
        <v>5329</v>
      </c>
      <c r="D1456">
        <v>54820</v>
      </c>
      <c r="E1456" t="s">
        <v>2706</v>
      </c>
      <c r="F1456">
        <v>49</v>
      </c>
      <c r="G1456" t="s">
        <v>4686</v>
      </c>
      <c r="H1456" t="s">
        <v>4687</v>
      </c>
      <c r="I1456">
        <v>26836</v>
      </c>
      <c r="J1456">
        <v>54794</v>
      </c>
      <c r="K1456" t="s">
        <v>2709</v>
      </c>
      <c r="L1456" t="str">
        <f>SUBSTITUTE(K1456,"'","")</f>
        <v>320252480637116344</v>
      </c>
      <c r="M1456">
        <v>54820</v>
      </c>
    </row>
    <row r="1457" spans="1:13" x14ac:dyDescent="0.4">
      <c r="A1457" s="1">
        <v>45905</v>
      </c>
      <c r="B1457" t="s">
        <v>4683</v>
      </c>
      <c r="C1457" t="s">
        <v>5827</v>
      </c>
      <c r="D1457">
        <v>61130</v>
      </c>
      <c r="E1457" t="s">
        <v>478</v>
      </c>
      <c r="F1457">
        <v>64.75</v>
      </c>
      <c r="G1457" t="s">
        <v>4686</v>
      </c>
      <c r="H1457" t="s">
        <v>4687</v>
      </c>
      <c r="I1457">
        <v>26871</v>
      </c>
      <c r="J1457">
        <v>54864</v>
      </c>
      <c r="K1457" t="s">
        <v>2718</v>
      </c>
      <c r="L1457" t="str">
        <f>SUBSTITUTE(K1457,"'","")</f>
        <v>320252490647294068</v>
      </c>
      <c r="M1457">
        <v>61130</v>
      </c>
    </row>
    <row r="1458" spans="1:13" x14ac:dyDescent="0.4">
      <c r="A1458" s="1">
        <v>45905</v>
      </c>
      <c r="B1458" t="s">
        <v>4683</v>
      </c>
      <c r="C1458" t="s">
        <v>5327</v>
      </c>
      <c r="D1458">
        <v>54820</v>
      </c>
      <c r="E1458" t="s">
        <v>583</v>
      </c>
      <c r="F1458">
        <v>57.07</v>
      </c>
      <c r="G1458" t="s">
        <v>4686</v>
      </c>
      <c r="H1458" t="s">
        <v>4687</v>
      </c>
      <c r="I1458">
        <v>26784</v>
      </c>
      <c r="J1458">
        <v>54690</v>
      </c>
      <c r="K1458" t="s">
        <v>2712</v>
      </c>
      <c r="L1458" t="str">
        <f>SUBSTITUTE(K1458,"'","")</f>
        <v>320252490650131142</v>
      </c>
      <c r="M1458">
        <v>54820</v>
      </c>
    </row>
    <row r="1459" spans="1:13" x14ac:dyDescent="0.4">
      <c r="A1459" s="1">
        <v>45906</v>
      </c>
      <c r="B1459" t="s">
        <v>4683</v>
      </c>
      <c r="C1459" t="s">
        <v>6308</v>
      </c>
      <c r="D1459">
        <v>64100</v>
      </c>
      <c r="E1459" t="s">
        <v>2327</v>
      </c>
      <c r="F1459">
        <v>50</v>
      </c>
      <c r="G1459" t="s">
        <v>4686</v>
      </c>
      <c r="H1459" t="s">
        <v>4687</v>
      </c>
      <c r="I1459">
        <v>26927</v>
      </c>
      <c r="J1459">
        <v>54976</v>
      </c>
      <c r="K1459" t="s">
        <v>2669</v>
      </c>
      <c r="L1459" t="str">
        <f>SUBSTITUTE(K1459,"'","")</f>
        <v>320252490641792081</v>
      </c>
      <c r="M1459">
        <v>64100</v>
      </c>
    </row>
    <row r="1460" spans="1:13" x14ac:dyDescent="0.4">
      <c r="A1460" s="1">
        <v>45906</v>
      </c>
      <c r="B1460" t="s">
        <v>4683</v>
      </c>
      <c r="C1460" t="s">
        <v>6506</v>
      </c>
      <c r="D1460">
        <v>67500</v>
      </c>
      <c r="E1460" t="s">
        <v>106</v>
      </c>
      <c r="F1460">
        <v>33.9</v>
      </c>
      <c r="G1460" t="s">
        <v>4686</v>
      </c>
      <c r="H1460" t="s">
        <v>4687</v>
      </c>
      <c r="I1460">
        <v>26379</v>
      </c>
      <c r="J1460">
        <v>53880</v>
      </c>
      <c r="K1460" t="s">
        <v>2699</v>
      </c>
      <c r="L1460" t="str">
        <f>SUBSTITUTE(K1460,"'","")</f>
        <v>320252490644810907</v>
      </c>
      <c r="M1460">
        <v>67500</v>
      </c>
    </row>
    <row r="1461" spans="1:13" x14ac:dyDescent="0.4">
      <c r="A1461" s="1">
        <v>45906</v>
      </c>
      <c r="B1461" t="s">
        <v>4683</v>
      </c>
      <c r="C1461" t="s">
        <v>5330</v>
      </c>
      <c r="D1461">
        <v>54820</v>
      </c>
      <c r="E1461" t="s">
        <v>2217</v>
      </c>
      <c r="F1461">
        <v>9.42</v>
      </c>
      <c r="G1461" t="s">
        <v>4686</v>
      </c>
      <c r="H1461" t="s">
        <v>4687</v>
      </c>
      <c r="I1461">
        <v>26273</v>
      </c>
      <c r="J1461">
        <v>53668</v>
      </c>
      <c r="K1461" t="s">
        <v>2689</v>
      </c>
      <c r="L1461" t="str">
        <f>SUBSTITUTE(K1461,"'","")</f>
        <v>320252490644955127</v>
      </c>
      <c r="M1461">
        <v>54820</v>
      </c>
    </row>
    <row r="1462" spans="1:13" x14ac:dyDescent="0.4">
      <c r="A1462" s="1">
        <v>45906</v>
      </c>
      <c r="B1462" t="s">
        <v>4683</v>
      </c>
      <c r="C1462" t="s">
        <v>6307</v>
      </c>
      <c r="D1462">
        <v>64100</v>
      </c>
      <c r="E1462" t="s">
        <v>184</v>
      </c>
      <c r="F1462">
        <v>25.68</v>
      </c>
      <c r="G1462" t="s">
        <v>4686</v>
      </c>
      <c r="H1462" t="s">
        <v>4687</v>
      </c>
      <c r="I1462">
        <v>25921</v>
      </c>
      <c r="J1462">
        <v>52964</v>
      </c>
      <c r="K1462" t="s">
        <v>360</v>
      </c>
      <c r="L1462" t="str">
        <f>SUBSTITUTE(K1462,"'","")</f>
        <v>320252490645793958</v>
      </c>
      <c r="M1462">
        <v>64100</v>
      </c>
    </row>
    <row r="1463" spans="1:13" x14ac:dyDescent="0.4">
      <c r="A1463" s="1">
        <v>45906</v>
      </c>
      <c r="B1463" t="s">
        <v>4683</v>
      </c>
      <c r="C1463" t="s">
        <v>5331</v>
      </c>
      <c r="D1463">
        <v>54820</v>
      </c>
      <c r="E1463" t="s">
        <v>2682</v>
      </c>
      <c r="F1463">
        <v>4.82</v>
      </c>
      <c r="G1463" t="s">
        <v>4686</v>
      </c>
      <c r="H1463" t="s">
        <v>4687</v>
      </c>
      <c r="I1463">
        <v>26320</v>
      </c>
      <c r="J1463">
        <v>53762</v>
      </c>
      <c r="K1463" t="s">
        <v>2684</v>
      </c>
      <c r="L1463" t="str">
        <f>SUBSTITUTE(K1463,"'","")</f>
        <v>320252490646521162</v>
      </c>
      <c r="M1463">
        <v>54820</v>
      </c>
    </row>
    <row r="1464" spans="1:13" x14ac:dyDescent="0.4">
      <c r="A1464" s="1">
        <v>45906</v>
      </c>
      <c r="B1464" t="s">
        <v>4683</v>
      </c>
      <c r="C1464" t="s">
        <v>5336</v>
      </c>
      <c r="D1464">
        <v>54820</v>
      </c>
      <c r="E1464" t="s">
        <v>2677</v>
      </c>
      <c r="F1464">
        <v>9.6999999999999993</v>
      </c>
      <c r="G1464" t="s">
        <v>4686</v>
      </c>
      <c r="H1464" t="s">
        <v>4687</v>
      </c>
      <c r="I1464">
        <v>27056</v>
      </c>
      <c r="J1464">
        <v>55234</v>
      </c>
      <c r="K1464" t="s">
        <v>2681</v>
      </c>
      <c r="L1464" t="str">
        <f>SUBSTITUTE(K1464,"'","")</f>
        <v>320252490648625861</v>
      </c>
      <c r="M1464">
        <v>54820</v>
      </c>
    </row>
    <row r="1465" spans="1:13" x14ac:dyDescent="0.4">
      <c r="A1465" s="1">
        <v>45906</v>
      </c>
      <c r="B1465" t="s">
        <v>4683</v>
      </c>
      <c r="C1465" t="s">
        <v>6440</v>
      </c>
      <c r="D1465">
        <v>65700</v>
      </c>
      <c r="E1465" t="s">
        <v>2354</v>
      </c>
      <c r="F1465">
        <v>115</v>
      </c>
      <c r="G1465" t="s">
        <v>4686</v>
      </c>
      <c r="H1465" t="s">
        <v>4687</v>
      </c>
      <c r="I1465">
        <v>26293</v>
      </c>
      <c r="J1465">
        <v>53708</v>
      </c>
      <c r="K1465" t="s">
        <v>2697</v>
      </c>
      <c r="L1465" t="str">
        <f>SUBSTITUTE(K1465,"'","")</f>
        <v>320252490648817126</v>
      </c>
      <c r="M1465">
        <v>65700</v>
      </c>
    </row>
    <row r="1466" spans="1:13" x14ac:dyDescent="0.4">
      <c r="A1466" s="1">
        <v>45906</v>
      </c>
      <c r="B1466" t="s">
        <v>4683</v>
      </c>
      <c r="C1466" t="s">
        <v>5334</v>
      </c>
      <c r="D1466">
        <v>54820</v>
      </c>
      <c r="E1466" t="s">
        <v>583</v>
      </c>
      <c r="F1466">
        <v>100.75</v>
      </c>
      <c r="G1466" t="s">
        <v>4686</v>
      </c>
      <c r="H1466" t="s">
        <v>4687</v>
      </c>
      <c r="I1466">
        <v>26786</v>
      </c>
      <c r="J1466">
        <v>54694</v>
      </c>
      <c r="K1466" t="s">
        <v>2701</v>
      </c>
      <c r="L1466" t="str">
        <f>SUBSTITUTE(K1466,"'","")</f>
        <v>320252490650172174</v>
      </c>
      <c r="M1466">
        <v>54820</v>
      </c>
    </row>
    <row r="1467" spans="1:13" x14ac:dyDescent="0.4">
      <c r="A1467" s="1">
        <v>45906</v>
      </c>
      <c r="B1467" t="s">
        <v>4683</v>
      </c>
      <c r="C1467" t="s">
        <v>5332</v>
      </c>
      <c r="D1467">
        <v>54820</v>
      </c>
      <c r="E1467" t="s">
        <v>2685</v>
      </c>
      <c r="F1467">
        <v>25.85</v>
      </c>
      <c r="G1467" t="s">
        <v>4686</v>
      </c>
      <c r="H1467" t="s">
        <v>4687</v>
      </c>
      <c r="I1467">
        <v>26321</v>
      </c>
      <c r="J1467">
        <v>53764</v>
      </c>
      <c r="K1467" t="s">
        <v>2687</v>
      </c>
      <c r="L1467" t="str">
        <f>SUBSTITUTE(K1467,"'","")</f>
        <v>320252490651549413</v>
      </c>
      <c r="M1467">
        <v>54820</v>
      </c>
    </row>
    <row r="1468" spans="1:13" x14ac:dyDescent="0.4">
      <c r="A1468" s="1">
        <v>45906</v>
      </c>
      <c r="B1468" t="s">
        <v>4683</v>
      </c>
      <c r="C1468" t="s">
        <v>6039</v>
      </c>
      <c r="D1468">
        <v>61215</v>
      </c>
      <c r="E1468" t="s">
        <v>361</v>
      </c>
      <c r="F1468">
        <v>69.66</v>
      </c>
      <c r="G1468" t="s">
        <v>4686</v>
      </c>
      <c r="H1468" t="s">
        <v>4687</v>
      </c>
      <c r="I1468">
        <v>25990</v>
      </c>
      <c r="J1468">
        <v>53102</v>
      </c>
      <c r="K1468" t="s">
        <v>364</v>
      </c>
      <c r="L1468" t="str">
        <f>SUBSTITUTE(K1468,"'","")</f>
        <v>320252500677811275</v>
      </c>
      <c r="M1468">
        <v>61215</v>
      </c>
    </row>
    <row r="1469" spans="1:13" x14ac:dyDescent="0.4">
      <c r="A1469" s="1">
        <v>45906</v>
      </c>
      <c r="B1469" t="s">
        <v>4683</v>
      </c>
      <c r="C1469" t="s">
        <v>5337</v>
      </c>
      <c r="D1469">
        <v>54820</v>
      </c>
      <c r="E1469" t="s">
        <v>2690</v>
      </c>
      <c r="F1469">
        <v>100</v>
      </c>
      <c r="G1469" t="s">
        <v>4686</v>
      </c>
      <c r="H1469" t="s">
        <v>4687</v>
      </c>
      <c r="I1469">
        <v>27057</v>
      </c>
      <c r="J1469">
        <v>55236</v>
      </c>
      <c r="K1469" t="s">
        <v>2692</v>
      </c>
      <c r="L1469" t="str">
        <f>SUBSTITUTE(K1469,"'","")</f>
        <v>320252500677972725</v>
      </c>
      <c r="M1469">
        <v>54820</v>
      </c>
    </row>
    <row r="1470" spans="1:13" x14ac:dyDescent="0.4">
      <c r="A1470" s="1">
        <v>45906</v>
      </c>
      <c r="B1470" t="s">
        <v>4683</v>
      </c>
      <c r="C1470" t="s">
        <v>5335</v>
      </c>
      <c r="D1470">
        <v>54820</v>
      </c>
      <c r="E1470" t="s">
        <v>2670</v>
      </c>
      <c r="F1470">
        <v>355.3</v>
      </c>
      <c r="G1470" t="s">
        <v>4686</v>
      </c>
      <c r="H1470" t="s">
        <v>4687</v>
      </c>
      <c r="I1470">
        <v>27055</v>
      </c>
      <c r="J1470">
        <v>55232</v>
      </c>
      <c r="K1470" t="s">
        <v>2674</v>
      </c>
      <c r="L1470" t="str">
        <f>SUBSTITUTE(K1470,"'","")</f>
        <v>320252500684344416</v>
      </c>
      <c r="M1470">
        <v>54820</v>
      </c>
    </row>
    <row r="1471" spans="1:13" x14ac:dyDescent="0.4">
      <c r="A1471" s="1">
        <v>45906</v>
      </c>
      <c r="B1471" t="s">
        <v>4683</v>
      </c>
      <c r="C1471" t="s">
        <v>5333</v>
      </c>
      <c r="D1471">
        <v>54820</v>
      </c>
      <c r="E1471" t="s">
        <v>2142</v>
      </c>
      <c r="F1471">
        <v>67</v>
      </c>
      <c r="G1471" t="s">
        <v>4686</v>
      </c>
      <c r="H1471" t="s">
        <v>4687</v>
      </c>
      <c r="I1471">
        <v>26607</v>
      </c>
      <c r="J1471">
        <v>54336</v>
      </c>
      <c r="K1471" t="s">
        <v>2676</v>
      </c>
      <c r="L1471" t="str">
        <f>SUBSTITUTE(K1471,"'","")</f>
        <v>320252500684372275</v>
      </c>
      <c r="M1471">
        <v>54820</v>
      </c>
    </row>
    <row r="1472" spans="1:13" x14ac:dyDescent="0.4">
      <c r="A1472" s="1">
        <v>45906</v>
      </c>
      <c r="B1472" t="s">
        <v>4683</v>
      </c>
      <c r="C1472" t="s">
        <v>5338</v>
      </c>
      <c r="D1472">
        <v>54820</v>
      </c>
      <c r="E1472" t="s">
        <v>2693</v>
      </c>
      <c r="F1472">
        <v>39</v>
      </c>
      <c r="G1472" t="s">
        <v>4686</v>
      </c>
      <c r="H1472" t="s">
        <v>4687</v>
      </c>
      <c r="I1472">
        <v>27058</v>
      </c>
      <c r="J1472">
        <v>55238</v>
      </c>
      <c r="K1472" t="s">
        <v>2695</v>
      </c>
      <c r="L1472" t="str">
        <f>SUBSTITUTE(K1472,"'","")</f>
        <v>320252520740888881</v>
      </c>
      <c r="M1472">
        <v>54820</v>
      </c>
    </row>
    <row r="1473" spans="1:13" x14ac:dyDescent="0.4">
      <c r="A1473" s="1">
        <v>45907</v>
      </c>
      <c r="B1473" t="s">
        <v>4683</v>
      </c>
      <c r="C1473" t="s">
        <v>6532</v>
      </c>
      <c r="D1473">
        <v>80100</v>
      </c>
      <c r="E1473" t="s">
        <v>2303</v>
      </c>
      <c r="F1473">
        <v>820.73</v>
      </c>
      <c r="G1473" t="s">
        <v>4686</v>
      </c>
      <c r="H1473" t="s">
        <v>4687</v>
      </c>
      <c r="I1473">
        <v>26350</v>
      </c>
      <c r="J1473">
        <v>53822</v>
      </c>
      <c r="K1473" t="s">
        <v>2663</v>
      </c>
      <c r="L1473" t="str">
        <f>SUBSTITUTE(K1473,"'","")</f>
        <v>150908060000508461</v>
      </c>
      <c r="M1473">
        <v>80100</v>
      </c>
    </row>
    <row r="1474" spans="1:13" x14ac:dyDescent="0.4">
      <c r="A1474" s="1">
        <v>45907</v>
      </c>
      <c r="B1474" t="s">
        <v>4683</v>
      </c>
      <c r="C1474" t="s">
        <v>5341</v>
      </c>
      <c r="D1474">
        <v>54820</v>
      </c>
      <c r="E1474" t="s">
        <v>2448</v>
      </c>
      <c r="F1474">
        <v>50.15</v>
      </c>
      <c r="G1474" t="s">
        <v>4686</v>
      </c>
      <c r="H1474" t="s">
        <v>4687</v>
      </c>
      <c r="I1474">
        <v>27059</v>
      </c>
      <c r="J1474">
        <v>55240</v>
      </c>
      <c r="K1474" t="s">
        <v>2665</v>
      </c>
      <c r="L1474" t="str">
        <f>SUBSTITUTE(K1474,"'","")</f>
        <v>320252500670733685</v>
      </c>
      <c r="M1474">
        <v>54820</v>
      </c>
    </row>
    <row r="1475" spans="1:13" x14ac:dyDescent="0.4">
      <c r="A1475" s="1">
        <v>45907</v>
      </c>
      <c r="B1475" t="s">
        <v>4683</v>
      </c>
      <c r="C1475" t="s">
        <v>6063</v>
      </c>
      <c r="D1475">
        <v>63100</v>
      </c>
      <c r="E1475" t="s">
        <v>57</v>
      </c>
      <c r="F1475">
        <v>79.69</v>
      </c>
      <c r="G1475" t="s">
        <v>4686</v>
      </c>
      <c r="H1475" t="s">
        <v>4687</v>
      </c>
      <c r="I1475">
        <v>25667</v>
      </c>
      <c r="J1475">
        <v>52456</v>
      </c>
      <c r="K1475" t="s">
        <v>358</v>
      </c>
      <c r="L1475" t="str">
        <f>SUBSTITUTE(K1475,"'","")</f>
        <v>320252500674340263</v>
      </c>
      <c r="M1475">
        <v>63100</v>
      </c>
    </row>
    <row r="1476" spans="1:13" x14ac:dyDescent="0.4">
      <c r="A1476" s="1">
        <v>45907</v>
      </c>
      <c r="B1476" t="s">
        <v>4683</v>
      </c>
      <c r="C1476" t="s">
        <v>6309</v>
      </c>
      <c r="D1476">
        <v>64100</v>
      </c>
      <c r="E1476" t="s">
        <v>165</v>
      </c>
      <c r="F1476">
        <v>21.38</v>
      </c>
      <c r="G1476" t="s">
        <v>4686</v>
      </c>
      <c r="H1476" t="s">
        <v>4687</v>
      </c>
      <c r="I1476">
        <v>25614</v>
      </c>
      <c r="J1476">
        <v>52350</v>
      </c>
      <c r="K1476" t="s">
        <v>353</v>
      </c>
      <c r="L1476" t="str">
        <f>SUBSTITUTE(K1476,"'","")</f>
        <v>320252500688879126</v>
      </c>
      <c r="M1476">
        <v>64100</v>
      </c>
    </row>
    <row r="1477" spans="1:13" x14ac:dyDescent="0.4">
      <c r="A1477" s="1">
        <v>45907</v>
      </c>
      <c r="B1477" t="s">
        <v>4683</v>
      </c>
      <c r="C1477" t="s">
        <v>5339</v>
      </c>
      <c r="D1477">
        <v>54820</v>
      </c>
      <c r="E1477" t="s">
        <v>354</v>
      </c>
      <c r="F1477">
        <v>5.99</v>
      </c>
      <c r="G1477" t="s">
        <v>4686</v>
      </c>
      <c r="H1477" t="s">
        <v>4687</v>
      </c>
      <c r="I1477">
        <v>25888</v>
      </c>
      <c r="J1477">
        <v>52898</v>
      </c>
      <c r="K1477" t="s">
        <v>356</v>
      </c>
      <c r="L1477" t="str">
        <f>SUBSTITUTE(K1477,"'","")</f>
        <v>320252500692119380</v>
      </c>
      <c r="M1477">
        <v>54820</v>
      </c>
    </row>
    <row r="1478" spans="1:13" x14ac:dyDescent="0.4">
      <c r="A1478" s="1">
        <v>45907</v>
      </c>
      <c r="B1478" t="s">
        <v>4683</v>
      </c>
      <c r="C1478" t="s">
        <v>5340</v>
      </c>
      <c r="D1478">
        <v>54820</v>
      </c>
      <c r="E1478" t="s">
        <v>583</v>
      </c>
      <c r="F1478">
        <v>130.51</v>
      </c>
      <c r="G1478" t="s">
        <v>4686</v>
      </c>
      <c r="H1478" t="s">
        <v>4687</v>
      </c>
      <c r="I1478">
        <v>26787</v>
      </c>
      <c r="J1478">
        <v>54696</v>
      </c>
      <c r="K1478" t="s">
        <v>2667</v>
      </c>
      <c r="L1478" t="str">
        <f>SUBSTITUTE(K1478,"'","")</f>
        <v>320252510703862811</v>
      </c>
      <c r="M1478">
        <v>54820</v>
      </c>
    </row>
    <row r="1479" spans="1:13" x14ac:dyDescent="0.4">
      <c r="A1479" s="1">
        <v>45907</v>
      </c>
      <c r="B1479" t="s">
        <v>4683</v>
      </c>
      <c r="C1479" t="s">
        <v>6310</v>
      </c>
      <c r="D1479">
        <v>64100</v>
      </c>
      <c r="E1479" t="s">
        <v>2311</v>
      </c>
      <c r="F1479">
        <v>64.86</v>
      </c>
      <c r="G1479" t="s">
        <v>4686</v>
      </c>
      <c r="H1479" t="s">
        <v>4687</v>
      </c>
      <c r="I1479">
        <v>26446</v>
      </c>
      <c r="J1479">
        <v>54014</v>
      </c>
      <c r="K1479" t="s">
        <v>2662</v>
      </c>
      <c r="L1479" t="str">
        <f>SUBSTITUTE(K1479,"'","")</f>
        <v>320252510713299617</v>
      </c>
      <c r="M1479">
        <v>64100</v>
      </c>
    </row>
    <row r="1480" spans="1:13" x14ac:dyDescent="0.4">
      <c r="A1480" s="1">
        <v>45908</v>
      </c>
      <c r="B1480" t="s">
        <v>4683</v>
      </c>
      <c r="C1480" t="s">
        <v>5342</v>
      </c>
      <c r="D1480">
        <v>54820</v>
      </c>
      <c r="E1480" t="s">
        <v>140</v>
      </c>
      <c r="F1480">
        <v>29.39</v>
      </c>
      <c r="G1480" t="s">
        <v>4686</v>
      </c>
      <c r="H1480" t="s">
        <v>4687</v>
      </c>
      <c r="I1480">
        <v>25709</v>
      </c>
      <c r="J1480">
        <v>52540</v>
      </c>
      <c r="K1480" t="s">
        <v>347</v>
      </c>
      <c r="L1480" t="str">
        <f>SUBSTITUTE(K1480,"'","")</f>
        <v>320252510699113790</v>
      </c>
      <c r="M1480">
        <v>54820</v>
      </c>
    </row>
    <row r="1481" spans="1:13" x14ac:dyDescent="0.4">
      <c r="A1481" s="1">
        <v>45908</v>
      </c>
      <c r="B1481" t="s">
        <v>4683</v>
      </c>
      <c r="C1481" t="s">
        <v>5553</v>
      </c>
      <c r="D1481">
        <v>61110</v>
      </c>
      <c r="E1481" t="s">
        <v>44</v>
      </c>
      <c r="F1481">
        <v>827.34</v>
      </c>
      <c r="G1481" t="s">
        <v>4686</v>
      </c>
      <c r="H1481" t="s">
        <v>4687</v>
      </c>
      <c r="I1481">
        <v>25915</v>
      </c>
      <c r="J1481">
        <v>52952</v>
      </c>
      <c r="K1481" t="s">
        <v>351</v>
      </c>
      <c r="L1481" t="str">
        <f>SUBSTITUTE(K1481,"'","")</f>
        <v>320252510707740568</v>
      </c>
      <c r="M1481">
        <v>61110</v>
      </c>
    </row>
    <row r="1482" spans="1:13" x14ac:dyDescent="0.4">
      <c r="A1482" s="1">
        <v>45908</v>
      </c>
      <c r="B1482" t="s">
        <v>4683</v>
      </c>
      <c r="C1482" t="s">
        <v>6311</v>
      </c>
      <c r="D1482">
        <v>64100</v>
      </c>
      <c r="E1482" t="s">
        <v>169</v>
      </c>
      <c r="F1482">
        <v>21.39</v>
      </c>
      <c r="G1482" t="s">
        <v>4686</v>
      </c>
      <c r="H1482" t="s">
        <v>4687</v>
      </c>
      <c r="I1482">
        <v>25808</v>
      </c>
      <c r="J1482">
        <v>52738</v>
      </c>
      <c r="K1482" t="s">
        <v>349</v>
      </c>
      <c r="L1482" t="str">
        <f>SUBSTITUTE(K1482,"'","")</f>
        <v>320252520727130525</v>
      </c>
      <c r="M1482">
        <v>64100</v>
      </c>
    </row>
    <row r="1483" spans="1:13" x14ac:dyDescent="0.4">
      <c r="A1483" s="1">
        <v>45908</v>
      </c>
      <c r="B1483" t="s">
        <v>4683</v>
      </c>
      <c r="C1483" t="s">
        <v>5829</v>
      </c>
      <c r="D1483">
        <v>61130</v>
      </c>
      <c r="E1483" t="s">
        <v>478</v>
      </c>
      <c r="F1483">
        <v>66.87</v>
      </c>
      <c r="G1483" t="s">
        <v>4686</v>
      </c>
      <c r="H1483" t="s">
        <v>4687</v>
      </c>
      <c r="I1483">
        <v>26873</v>
      </c>
      <c r="J1483">
        <v>54868</v>
      </c>
      <c r="K1483" t="s">
        <v>2660</v>
      </c>
      <c r="L1483" t="str">
        <f>SUBSTITUTE(K1483,"'","")</f>
        <v>320252520730743063</v>
      </c>
      <c r="M1483">
        <v>61130</v>
      </c>
    </row>
    <row r="1484" spans="1:13" x14ac:dyDescent="0.4">
      <c r="A1484" s="1">
        <v>45909</v>
      </c>
      <c r="B1484" t="s">
        <v>4683</v>
      </c>
      <c r="C1484" t="s">
        <v>5830</v>
      </c>
      <c r="D1484">
        <v>61130</v>
      </c>
      <c r="E1484" t="s">
        <v>478</v>
      </c>
      <c r="F1484">
        <v>62.56</v>
      </c>
      <c r="G1484" t="s">
        <v>4686</v>
      </c>
      <c r="H1484" t="s">
        <v>4687</v>
      </c>
      <c r="I1484">
        <v>26874</v>
      </c>
      <c r="J1484">
        <v>54870</v>
      </c>
      <c r="K1484" t="s">
        <v>2656</v>
      </c>
      <c r="L1484" t="str">
        <f>SUBSTITUTE(K1484,"'","")</f>
        <v>320252520726098954</v>
      </c>
      <c r="M1484">
        <v>61130</v>
      </c>
    </row>
    <row r="1485" spans="1:13" x14ac:dyDescent="0.4">
      <c r="A1485" s="1">
        <v>45909</v>
      </c>
      <c r="B1485" t="s">
        <v>4683</v>
      </c>
      <c r="C1485" t="s">
        <v>5831</v>
      </c>
      <c r="D1485">
        <v>61130</v>
      </c>
      <c r="E1485" t="s">
        <v>478</v>
      </c>
      <c r="F1485">
        <v>73.319999999999993</v>
      </c>
      <c r="G1485" t="s">
        <v>4686</v>
      </c>
      <c r="H1485" t="s">
        <v>4687</v>
      </c>
      <c r="I1485">
        <v>26875</v>
      </c>
      <c r="J1485">
        <v>54872</v>
      </c>
      <c r="K1485" t="s">
        <v>2658</v>
      </c>
      <c r="L1485" t="str">
        <f>SUBSTITUTE(K1485,"'","")</f>
        <v>320252520730735225</v>
      </c>
      <c r="M1485">
        <v>61130</v>
      </c>
    </row>
    <row r="1486" spans="1:13" x14ac:dyDescent="0.4">
      <c r="A1486" s="1">
        <v>45909</v>
      </c>
      <c r="B1486" t="s">
        <v>4683</v>
      </c>
      <c r="C1486" t="s">
        <v>5346</v>
      </c>
      <c r="D1486">
        <v>54820</v>
      </c>
      <c r="E1486" t="s">
        <v>583</v>
      </c>
      <c r="F1486">
        <v>275.48</v>
      </c>
      <c r="G1486" t="s">
        <v>4686</v>
      </c>
      <c r="H1486" t="s">
        <v>4687</v>
      </c>
      <c r="I1486">
        <v>26789</v>
      </c>
      <c r="J1486">
        <v>54700</v>
      </c>
      <c r="K1486" t="s">
        <v>2654</v>
      </c>
      <c r="L1486" t="str">
        <f>SUBSTITUTE(K1486,"'","")</f>
        <v>320252520730752609</v>
      </c>
      <c r="M1486">
        <v>54820</v>
      </c>
    </row>
    <row r="1487" spans="1:13" x14ac:dyDescent="0.4">
      <c r="A1487" s="1">
        <v>45909</v>
      </c>
      <c r="B1487" t="s">
        <v>4683</v>
      </c>
      <c r="C1487" t="s">
        <v>6313</v>
      </c>
      <c r="D1487">
        <v>64100</v>
      </c>
      <c r="E1487" t="s">
        <v>153</v>
      </c>
      <c r="F1487">
        <v>223.2</v>
      </c>
      <c r="G1487" t="s">
        <v>4686</v>
      </c>
      <c r="H1487" t="s">
        <v>4687</v>
      </c>
      <c r="I1487">
        <v>25616</v>
      </c>
      <c r="J1487">
        <v>52354</v>
      </c>
      <c r="K1487" t="s">
        <v>337</v>
      </c>
      <c r="L1487" t="str">
        <f>SUBSTITUTE(K1487,"'","")</f>
        <v>320252520732688919</v>
      </c>
      <c r="M1487">
        <v>64100</v>
      </c>
    </row>
    <row r="1488" spans="1:13" x14ac:dyDescent="0.4">
      <c r="A1488" s="1">
        <v>45909</v>
      </c>
      <c r="B1488" t="s">
        <v>4683</v>
      </c>
      <c r="C1488" t="s">
        <v>6312</v>
      </c>
      <c r="D1488">
        <v>64100</v>
      </c>
      <c r="E1488" t="s">
        <v>153</v>
      </c>
      <c r="F1488">
        <v>165.47</v>
      </c>
      <c r="G1488" t="s">
        <v>4686</v>
      </c>
      <c r="H1488" t="s">
        <v>4687</v>
      </c>
      <c r="I1488">
        <v>25615</v>
      </c>
      <c r="J1488">
        <v>52352</v>
      </c>
      <c r="K1488" t="s">
        <v>335</v>
      </c>
      <c r="L1488" t="str">
        <f>SUBSTITUTE(K1488,"'","")</f>
        <v>320252520732753500</v>
      </c>
      <c r="M1488">
        <v>64100</v>
      </c>
    </row>
    <row r="1489" spans="1:13" x14ac:dyDescent="0.4">
      <c r="A1489" s="1">
        <v>45909</v>
      </c>
      <c r="B1489" t="s">
        <v>4683</v>
      </c>
      <c r="C1489" t="s">
        <v>5345</v>
      </c>
      <c r="D1489">
        <v>54820</v>
      </c>
      <c r="E1489" t="s">
        <v>583</v>
      </c>
      <c r="F1489">
        <v>105.21</v>
      </c>
      <c r="G1489" t="s">
        <v>4686</v>
      </c>
      <c r="H1489" t="s">
        <v>4687</v>
      </c>
      <c r="I1489">
        <v>26788</v>
      </c>
      <c r="J1489">
        <v>54698</v>
      </c>
      <c r="K1489" t="s">
        <v>2652</v>
      </c>
      <c r="L1489" t="str">
        <f>SUBSTITUTE(K1489,"'","")</f>
        <v>320252530750731288</v>
      </c>
      <c r="M1489">
        <v>54820</v>
      </c>
    </row>
    <row r="1490" spans="1:13" x14ac:dyDescent="0.4">
      <c r="A1490" s="1">
        <v>45909</v>
      </c>
      <c r="B1490" t="s">
        <v>4683</v>
      </c>
      <c r="C1490" t="s">
        <v>5958</v>
      </c>
      <c r="D1490">
        <v>61133</v>
      </c>
      <c r="E1490" t="s">
        <v>2458</v>
      </c>
      <c r="F1490">
        <v>2.9</v>
      </c>
      <c r="G1490" t="s">
        <v>4686</v>
      </c>
      <c r="H1490" t="s">
        <v>4687</v>
      </c>
      <c r="I1490">
        <v>26692</v>
      </c>
      <c r="J1490">
        <v>54506</v>
      </c>
      <c r="K1490" t="s">
        <v>2650</v>
      </c>
      <c r="L1490" t="str">
        <f>SUBSTITUTE(K1490,"'","")</f>
        <v>320252530753366007</v>
      </c>
      <c r="M1490">
        <v>61133</v>
      </c>
    </row>
    <row r="1491" spans="1:13" x14ac:dyDescent="0.4">
      <c r="A1491" s="1">
        <v>45909</v>
      </c>
      <c r="B1491" t="s">
        <v>4683</v>
      </c>
      <c r="C1491" t="s">
        <v>5347</v>
      </c>
      <c r="D1491">
        <v>54820</v>
      </c>
      <c r="E1491" t="s">
        <v>1300</v>
      </c>
      <c r="F1491">
        <v>19.07</v>
      </c>
      <c r="G1491" t="s">
        <v>4686</v>
      </c>
      <c r="H1491" t="s">
        <v>4687</v>
      </c>
      <c r="I1491">
        <v>26823</v>
      </c>
      <c r="J1491">
        <v>54768</v>
      </c>
      <c r="K1491" t="s">
        <v>2648</v>
      </c>
      <c r="L1491" t="str">
        <f>SUBSTITUTE(K1491,"'","")</f>
        <v>320252530755592950</v>
      </c>
      <c r="M1491">
        <v>54820</v>
      </c>
    </row>
    <row r="1492" spans="1:13" x14ac:dyDescent="0.4">
      <c r="A1492" s="1">
        <v>45909</v>
      </c>
      <c r="B1492" t="s">
        <v>4683</v>
      </c>
      <c r="C1492" t="s">
        <v>6314</v>
      </c>
      <c r="D1492">
        <v>64100</v>
      </c>
      <c r="E1492" t="s">
        <v>160</v>
      </c>
      <c r="F1492">
        <v>21.4</v>
      </c>
      <c r="G1492" t="s">
        <v>4686</v>
      </c>
      <c r="H1492" t="s">
        <v>4687</v>
      </c>
      <c r="I1492">
        <v>25907</v>
      </c>
      <c r="J1492">
        <v>52936</v>
      </c>
      <c r="K1492" t="s">
        <v>345</v>
      </c>
      <c r="L1492" t="str">
        <f>SUBSTITUTE(K1492,"'","")</f>
        <v>320252530758829873</v>
      </c>
      <c r="M1492">
        <v>64100</v>
      </c>
    </row>
    <row r="1493" spans="1:13" x14ac:dyDescent="0.4">
      <c r="A1493" s="1">
        <v>45909</v>
      </c>
      <c r="B1493" t="s">
        <v>4683</v>
      </c>
      <c r="C1493" t="s">
        <v>5344</v>
      </c>
      <c r="D1493">
        <v>54820</v>
      </c>
      <c r="E1493" t="s">
        <v>341</v>
      </c>
      <c r="F1493">
        <v>19.989999999999998</v>
      </c>
      <c r="G1493" t="s">
        <v>4686</v>
      </c>
      <c r="H1493" t="s">
        <v>4687</v>
      </c>
      <c r="I1493">
        <v>25889</v>
      </c>
      <c r="J1493">
        <v>52900</v>
      </c>
      <c r="K1493" t="s">
        <v>343</v>
      </c>
      <c r="L1493" t="str">
        <f>SUBSTITUTE(K1493,"'","")</f>
        <v>320252530765047371</v>
      </c>
      <c r="M1493">
        <v>54820</v>
      </c>
    </row>
    <row r="1494" spans="1:13" x14ac:dyDescent="0.4">
      <c r="A1494" s="1">
        <v>45909</v>
      </c>
      <c r="B1494" t="s">
        <v>4683</v>
      </c>
      <c r="C1494" t="s">
        <v>5343</v>
      </c>
      <c r="D1494">
        <v>54820</v>
      </c>
      <c r="E1494" t="s">
        <v>140</v>
      </c>
      <c r="F1494">
        <v>405.19</v>
      </c>
      <c r="G1494" t="s">
        <v>4686</v>
      </c>
      <c r="H1494" t="s">
        <v>4687</v>
      </c>
      <c r="I1494">
        <v>25710</v>
      </c>
      <c r="J1494">
        <v>52542</v>
      </c>
      <c r="K1494" t="s">
        <v>333</v>
      </c>
      <c r="L1494" t="str">
        <f>SUBSTITUTE(K1494,"'","")</f>
        <v>320252540794231527</v>
      </c>
      <c r="M1494">
        <v>54820</v>
      </c>
    </row>
    <row r="1495" spans="1:13" x14ac:dyDescent="0.4">
      <c r="A1495" s="1">
        <v>45910</v>
      </c>
      <c r="B1495" t="s">
        <v>4683</v>
      </c>
      <c r="C1495" t="s">
        <v>5832</v>
      </c>
      <c r="D1495">
        <v>61130</v>
      </c>
      <c r="E1495" t="s">
        <v>478</v>
      </c>
      <c r="F1495">
        <v>46.41</v>
      </c>
      <c r="G1495" t="s">
        <v>4686</v>
      </c>
      <c r="H1495" t="s">
        <v>4687</v>
      </c>
      <c r="I1495">
        <v>26876</v>
      </c>
      <c r="J1495">
        <v>54874</v>
      </c>
      <c r="K1495" t="s">
        <v>2646</v>
      </c>
      <c r="L1495" t="str">
        <f>SUBSTITUTE(K1495,"'","")</f>
        <v>320252530768509466</v>
      </c>
      <c r="M1495">
        <v>61130</v>
      </c>
    </row>
    <row r="1496" spans="1:13" x14ac:dyDescent="0.4">
      <c r="A1496" s="1">
        <v>45911</v>
      </c>
      <c r="B1496" t="s">
        <v>4683</v>
      </c>
      <c r="C1496" t="s">
        <v>5348</v>
      </c>
      <c r="D1496">
        <v>54820</v>
      </c>
      <c r="E1496" t="s">
        <v>140</v>
      </c>
      <c r="F1496">
        <v>13.05</v>
      </c>
      <c r="G1496" t="s">
        <v>4686</v>
      </c>
      <c r="H1496" t="s">
        <v>4687</v>
      </c>
      <c r="I1496">
        <v>26396</v>
      </c>
      <c r="J1496">
        <v>53914</v>
      </c>
      <c r="K1496" t="s">
        <v>2634</v>
      </c>
      <c r="L1496" t="str">
        <f>SUBSTITUTE(K1496,"'","")</f>
        <v>320252540781496344</v>
      </c>
      <c r="M1496">
        <v>54820</v>
      </c>
    </row>
    <row r="1497" spans="1:13" x14ac:dyDescent="0.4">
      <c r="A1497" s="1">
        <v>45911</v>
      </c>
      <c r="B1497" t="s">
        <v>4683</v>
      </c>
      <c r="C1497" t="s">
        <v>5350</v>
      </c>
      <c r="D1497">
        <v>54820</v>
      </c>
      <c r="E1497" t="s">
        <v>2181</v>
      </c>
      <c r="F1497">
        <v>9.99</v>
      </c>
      <c r="G1497" t="s">
        <v>4686</v>
      </c>
      <c r="H1497" t="s">
        <v>4687</v>
      </c>
      <c r="I1497">
        <v>27060</v>
      </c>
      <c r="J1497">
        <v>55242</v>
      </c>
      <c r="K1497" t="s">
        <v>2636</v>
      </c>
      <c r="L1497" t="str">
        <f>SUBSTITUTE(K1497,"'","")</f>
        <v>320252540781981744</v>
      </c>
      <c r="M1497">
        <v>54820</v>
      </c>
    </row>
    <row r="1498" spans="1:13" x14ac:dyDescent="0.4">
      <c r="A1498" s="1">
        <v>45911</v>
      </c>
      <c r="B1498" t="s">
        <v>4683</v>
      </c>
      <c r="C1498" t="s">
        <v>5351</v>
      </c>
      <c r="D1498">
        <v>54820</v>
      </c>
      <c r="E1498" t="s">
        <v>2190</v>
      </c>
      <c r="F1498">
        <v>9.44</v>
      </c>
      <c r="G1498" t="s">
        <v>4686</v>
      </c>
      <c r="H1498" t="s">
        <v>4687</v>
      </c>
      <c r="I1498">
        <v>27061</v>
      </c>
      <c r="J1498">
        <v>55244</v>
      </c>
      <c r="K1498" t="s">
        <v>2640</v>
      </c>
      <c r="L1498" t="str">
        <f>SUBSTITUTE(K1498,"'","")</f>
        <v>320252540784208993</v>
      </c>
      <c r="M1498">
        <v>54820</v>
      </c>
    </row>
    <row r="1499" spans="1:13" x14ac:dyDescent="0.4">
      <c r="A1499" s="1">
        <v>45911</v>
      </c>
      <c r="B1499" t="s">
        <v>4683</v>
      </c>
      <c r="C1499" t="s">
        <v>5349</v>
      </c>
      <c r="D1499">
        <v>54820</v>
      </c>
      <c r="E1499" t="s">
        <v>583</v>
      </c>
      <c r="F1499">
        <v>120.94</v>
      </c>
      <c r="G1499" t="s">
        <v>4686</v>
      </c>
      <c r="H1499" t="s">
        <v>4687</v>
      </c>
      <c r="I1499">
        <v>26791</v>
      </c>
      <c r="J1499">
        <v>54704</v>
      </c>
      <c r="K1499" t="s">
        <v>2644</v>
      </c>
      <c r="L1499" t="str">
        <f>SUBSTITUTE(K1499,"'","")</f>
        <v>320252540786033917</v>
      </c>
      <c r="M1499">
        <v>54820</v>
      </c>
    </row>
    <row r="1500" spans="1:13" x14ac:dyDescent="0.4">
      <c r="A1500" s="1">
        <v>45911</v>
      </c>
      <c r="B1500" t="s">
        <v>4683</v>
      </c>
      <c r="C1500" t="s">
        <v>6316</v>
      </c>
      <c r="D1500">
        <v>64100</v>
      </c>
      <c r="E1500" t="s">
        <v>2265</v>
      </c>
      <c r="F1500">
        <v>36.9</v>
      </c>
      <c r="G1500" t="s">
        <v>4686</v>
      </c>
      <c r="H1500" t="s">
        <v>4687</v>
      </c>
      <c r="I1500">
        <v>26341</v>
      </c>
      <c r="J1500">
        <v>53804</v>
      </c>
      <c r="K1500" t="s">
        <v>2638</v>
      </c>
      <c r="L1500" t="str">
        <f>SUBSTITUTE(K1500,"'","")</f>
        <v>320252550815977609</v>
      </c>
      <c r="M1500">
        <v>64100</v>
      </c>
    </row>
    <row r="1501" spans="1:13" x14ac:dyDescent="0.4">
      <c r="A1501" s="1">
        <v>45911</v>
      </c>
      <c r="B1501" t="s">
        <v>4683</v>
      </c>
      <c r="C1501" t="s">
        <v>6315</v>
      </c>
      <c r="D1501">
        <v>64100</v>
      </c>
      <c r="E1501" t="s">
        <v>2259</v>
      </c>
      <c r="F1501">
        <v>21.39</v>
      </c>
      <c r="G1501" t="s">
        <v>4686</v>
      </c>
      <c r="H1501" t="s">
        <v>4687</v>
      </c>
      <c r="I1501">
        <v>26340</v>
      </c>
      <c r="J1501">
        <v>53802</v>
      </c>
      <c r="K1501" t="s">
        <v>2632</v>
      </c>
      <c r="L1501" t="str">
        <f>SUBSTITUTE(K1501,"'","")</f>
        <v>320252550815977694</v>
      </c>
      <c r="M1501">
        <v>64100</v>
      </c>
    </row>
    <row r="1502" spans="1:13" x14ac:dyDescent="0.4">
      <c r="A1502" s="1">
        <v>45911</v>
      </c>
      <c r="B1502" t="s">
        <v>4683</v>
      </c>
      <c r="C1502" t="s">
        <v>6040</v>
      </c>
      <c r="D1502">
        <v>61215</v>
      </c>
      <c r="E1502" t="s">
        <v>399</v>
      </c>
      <c r="F1502">
        <v>902.28</v>
      </c>
      <c r="G1502" t="s">
        <v>4686</v>
      </c>
      <c r="H1502" t="s">
        <v>4687</v>
      </c>
      <c r="I1502">
        <v>26790</v>
      </c>
      <c r="J1502">
        <v>54702</v>
      </c>
      <c r="K1502" t="s">
        <v>2642</v>
      </c>
      <c r="L1502" t="str">
        <f>SUBSTITUTE(K1502,"'","")</f>
        <v>320252550816643902</v>
      </c>
      <c r="M1502">
        <v>61215</v>
      </c>
    </row>
    <row r="1503" spans="1:13" x14ac:dyDescent="0.4">
      <c r="A1503" s="1">
        <v>45912</v>
      </c>
      <c r="B1503" t="s">
        <v>4683</v>
      </c>
      <c r="C1503" t="s">
        <v>5353</v>
      </c>
      <c r="D1503">
        <v>54820</v>
      </c>
      <c r="E1503" t="s">
        <v>977</v>
      </c>
      <c r="F1503">
        <v>10</v>
      </c>
      <c r="G1503" t="s">
        <v>4686</v>
      </c>
      <c r="H1503" t="s">
        <v>4687</v>
      </c>
      <c r="I1503">
        <v>26506</v>
      </c>
      <c r="J1503">
        <v>54134</v>
      </c>
      <c r="K1503" t="s">
        <v>2624</v>
      </c>
      <c r="L1503" t="str">
        <f>SUBSTITUTE(K1503,"'","")</f>
        <v>320252550806205944</v>
      </c>
      <c r="M1503">
        <v>54820</v>
      </c>
    </row>
    <row r="1504" spans="1:13" x14ac:dyDescent="0.4">
      <c r="A1504" s="1">
        <v>45912</v>
      </c>
      <c r="B1504" t="s">
        <v>4683</v>
      </c>
      <c r="C1504" t="s">
        <v>5833</v>
      </c>
      <c r="D1504">
        <v>61130</v>
      </c>
      <c r="E1504" t="s">
        <v>478</v>
      </c>
      <c r="F1504">
        <v>38.130000000000003</v>
      </c>
      <c r="G1504" t="s">
        <v>4686</v>
      </c>
      <c r="H1504" t="s">
        <v>4687</v>
      </c>
      <c r="I1504">
        <v>26877</v>
      </c>
      <c r="J1504">
        <v>54876</v>
      </c>
      <c r="K1504" t="s">
        <v>2630</v>
      </c>
      <c r="L1504" t="str">
        <f>SUBSTITUTE(K1504,"'","")</f>
        <v>320252550812546225</v>
      </c>
      <c r="M1504">
        <v>61130</v>
      </c>
    </row>
    <row r="1505" spans="1:13" x14ac:dyDescent="0.4">
      <c r="A1505" s="1">
        <v>45912</v>
      </c>
      <c r="B1505" t="s">
        <v>4683</v>
      </c>
      <c r="C1505" t="s">
        <v>6317</v>
      </c>
      <c r="D1505">
        <v>64100</v>
      </c>
      <c r="E1505" t="s">
        <v>127</v>
      </c>
      <c r="F1505">
        <v>16.04</v>
      </c>
      <c r="G1505" t="s">
        <v>4686</v>
      </c>
      <c r="H1505" t="s">
        <v>4687</v>
      </c>
      <c r="I1505">
        <v>25542</v>
      </c>
      <c r="J1505">
        <v>52206</v>
      </c>
      <c r="K1505" t="s">
        <v>331</v>
      </c>
      <c r="L1505" t="str">
        <f>SUBSTITUTE(K1505,"'","")</f>
        <v>320252550821250377</v>
      </c>
      <c r="M1505">
        <v>64100</v>
      </c>
    </row>
    <row r="1506" spans="1:13" x14ac:dyDescent="0.4">
      <c r="A1506" s="1">
        <v>45912</v>
      </c>
      <c r="B1506" t="s">
        <v>4683</v>
      </c>
      <c r="C1506" t="s">
        <v>5933</v>
      </c>
      <c r="D1506">
        <v>61131</v>
      </c>
      <c r="E1506" t="s">
        <v>327</v>
      </c>
      <c r="F1506">
        <v>9.15</v>
      </c>
      <c r="G1506" t="s">
        <v>4686</v>
      </c>
      <c r="H1506" t="s">
        <v>4687</v>
      </c>
      <c r="I1506">
        <v>25751</v>
      </c>
      <c r="J1506">
        <v>52624</v>
      </c>
      <c r="K1506" t="s">
        <v>329</v>
      </c>
      <c r="L1506" t="str">
        <f>SUBSTITUTE(K1506,"'","")</f>
        <v>320252560846601041</v>
      </c>
      <c r="M1506">
        <v>61131</v>
      </c>
    </row>
    <row r="1507" spans="1:13" x14ac:dyDescent="0.4">
      <c r="A1507" s="1">
        <v>45912</v>
      </c>
      <c r="B1507" t="s">
        <v>4683</v>
      </c>
      <c r="C1507" t="s">
        <v>5932</v>
      </c>
      <c r="D1507">
        <v>61131</v>
      </c>
      <c r="E1507" t="s">
        <v>38</v>
      </c>
      <c r="F1507">
        <v>696.69</v>
      </c>
      <c r="G1507" t="s">
        <v>4686</v>
      </c>
      <c r="H1507" t="s">
        <v>4687</v>
      </c>
      <c r="I1507">
        <v>25636</v>
      </c>
      <c r="J1507">
        <v>52394</v>
      </c>
      <c r="K1507" t="s">
        <v>326</v>
      </c>
      <c r="L1507" t="str">
        <f>SUBSTITUTE(K1507,"'","")</f>
        <v>320252560853761852</v>
      </c>
      <c r="M1507">
        <v>61131</v>
      </c>
    </row>
    <row r="1508" spans="1:13" x14ac:dyDescent="0.4">
      <c r="A1508" s="1">
        <v>45912</v>
      </c>
      <c r="B1508" t="s">
        <v>4683</v>
      </c>
      <c r="C1508" t="s">
        <v>5354</v>
      </c>
      <c r="D1508">
        <v>54820</v>
      </c>
      <c r="E1508" t="s">
        <v>977</v>
      </c>
      <c r="F1508">
        <v>20</v>
      </c>
      <c r="G1508" t="s">
        <v>4686</v>
      </c>
      <c r="H1508" t="s">
        <v>4687</v>
      </c>
      <c r="I1508">
        <v>26507</v>
      </c>
      <c r="J1508">
        <v>54136</v>
      </c>
      <c r="K1508" t="s">
        <v>2626</v>
      </c>
      <c r="L1508" t="str">
        <f>SUBSTITUTE(K1508,"'","")</f>
        <v>320252560857656940</v>
      </c>
      <c r="M1508">
        <v>54820</v>
      </c>
    </row>
    <row r="1509" spans="1:13" x14ac:dyDescent="0.4">
      <c r="A1509" s="1">
        <v>45912</v>
      </c>
      <c r="B1509" t="s">
        <v>4683</v>
      </c>
      <c r="C1509" t="s">
        <v>5352</v>
      </c>
      <c r="D1509">
        <v>54820</v>
      </c>
      <c r="E1509" t="s">
        <v>2246</v>
      </c>
      <c r="F1509">
        <v>11.99</v>
      </c>
      <c r="G1509" t="s">
        <v>4686</v>
      </c>
      <c r="H1509" t="s">
        <v>4687</v>
      </c>
      <c r="I1509">
        <v>26322</v>
      </c>
      <c r="J1509">
        <v>53766</v>
      </c>
      <c r="K1509" t="s">
        <v>2628</v>
      </c>
      <c r="L1509" t="str">
        <f>SUBSTITUTE(K1509,"'","")</f>
        <v>320252560857810236</v>
      </c>
      <c r="M1509">
        <v>54820</v>
      </c>
    </row>
    <row r="1510" spans="1:13" x14ac:dyDescent="0.4">
      <c r="A1510" s="1">
        <v>45913</v>
      </c>
      <c r="B1510" t="s">
        <v>4683</v>
      </c>
      <c r="C1510" t="s">
        <v>5530</v>
      </c>
      <c r="D1510">
        <v>61100</v>
      </c>
      <c r="E1510" t="s">
        <v>2616</v>
      </c>
      <c r="F1510">
        <v>106.99</v>
      </c>
      <c r="G1510" t="s">
        <v>4686</v>
      </c>
      <c r="H1510" t="s">
        <v>4687</v>
      </c>
      <c r="I1510">
        <v>26256</v>
      </c>
      <c r="J1510">
        <v>53634</v>
      </c>
      <c r="K1510" t="s">
        <v>2618</v>
      </c>
      <c r="L1510" t="str">
        <f>SUBSTITUTE(K1510,"'","")</f>
        <v>320252560840322273</v>
      </c>
      <c r="M1510">
        <v>61100</v>
      </c>
    </row>
    <row r="1511" spans="1:13" x14ac:dyDescent="0.4">
      <c r="A1511" s="1">
        <v>45913</v>
      </c>
      <c r="B1511" t="s">
        <v>4683</v>
      </c>
      <c r="C1511" t="s">
        <v>5356</v>
      </c>
      <c r="D1511">
        <v>54820</v>
      </c>
      <c r="E1511" t="s">
        <v>583</v>
      </c>
      <c r="F1511">
        <v>175.16</v>
      </c>
      <c r="G1511" t="s">
        <v>4686</v>
      </c>
      <c r="H1511" t="s">
        <v>4687</v>
      </c>
      <c r="I1511">
        <v>26792</v>
      </c>
      <c r="J1511">
        <v>54706</v>
      </c>
      <c r="K1511" t="s">
        <v>2620</v>
      </c>
      <c r="L1511" t="str">
        <f>SUBSTITUTE(K1511,"'","")</f>
        <v>320252560843693962</v>
      </c>
      <c r="M1511">
        <v>54820</v>
      </c>
    </row>
    <row r="1512" spans="1:13" x14ac:dyDescent="0.4">
      <c r="A1512" s="1">
        <v>45913</v>
      </c>
      <c r="B1512" t="s">
        <v>4683</v>
      </c>
      <c r="C1512" t="s">
        <v>5355</v>
      </c>
      <c r="D1512">
        <v>54820</v>
      </c>
      <c r="E1512" t="s">
        <v>2240</v>
      </c>
      <c r="F1512">
        <v>47.13</v>
      </c>
      <c r="G1512" t="s">
        <v>4686</v>
      </c>
      <c r="H1512" t="s">
        <v>4687</v>
      </c>
      <c r="I1512">
        <v>26147</v>
      </c>
      <c r="J1512">
        <v>53416</v>
      </c>
      <c r="K1512" t="s">
        <v>2622</v>
      </c>
      <c r="L1512" t="str">
        <f>SUBSTITUTE(K1512,"'","")</f>
        <v>320252570878065851</v>
      </c>
      <c r="M1512">
        <v>54820</v>
      </c>
    </row>
    <row r="1513" spans="1:13" x14ac:dyDescent="0.4">
      <c r="A1513" s="1">
        <v>45914</v>
      </c>
      <c r="B1513" t="s">
        <v>4683</v>
      </c>
      <c r="C1513" t="s">
        <v>5357</v>
      </c>
      <c r="D1513">
        <v>54820</v>
      </c>
      <c r="E1513" t="s">
        <v>322</v>
      </c>
      <c r="F1513">
        <v>19.989999999999998</v>
      </c>
      <c r="G1513" t="s">
        <v>4686</v>
      </c>
      <c r="H1513" t="s">
        <v>4687</v>
      </c>
      <c r="I1513">
        <v>25890</v>
      </c>
      <c r="J1513">
        <v>52902</v>
      </c>
      <c r="K1513" t="s">
        <v>324</v>
      </c>
      <c r="L1513" t="str">
        <f>SUBSTITUTE(K1513,"'","")</f>
        <v>320252570862373154</v>
      </c>
      <c r="M1513">
        <v>54820</v>
      </c>
    </row>
    <row r="1514" spans="1:13" x14ac:dyDescent="0.4">
      <c r="A1514" s="1">
        <v>45914</v>
      </c>
      <c r="B1514" t="s">
        <v>4683</v>
      </c>
      <c r="C1514" t="s">
        <v>5358</v>
      </c>
      <c r="D1514">
        <v>54820</v>
      </c>
      <c r="E1514" t="s">
        <v>2344</v>
      </c>
      <c r="F1514">
        <v>50.67</v>
      </c>
      <c r="G1514" t="s">
        <v>4686</v>
      </c>
      <c r="H1514" t="s">
        <v>4687</v>
      </c>
      <c r="I1514">
        <v>26274</v>
      </c>
      <c r="J1514">
        <v>53670</v>
      </c>
      <c r="K1514" t="s">
        <v>2605</v>
      </c>
      <c r="L1514" t="str">
        <f>SUBSTITUTE(K1514,"'","")</f>
        <v>320252570863653203</v>
      </c>
      <c r="M1514">
        <v>54820</v>
      </c>
    </row>
    <row r="1515" spans="1:13" x14ac:dyDescent="0.4">
      <c r="A1515" s="1">
        <v>45914</v>
      </c>
      <c r="B1515" t="s">
        <v>4683</v>
      </c>
      <c r="C1515" t="s">
        <v>5359</v>
      </c>
      <c r="D1515">
        <v>54820</v>
      </c>
      <c r="E1515" t="s">
        <v>2222</v>
      </c>
      <c r="F1515">
        <v>20.18</v>
      </c>
      <c r="G1515" t="s">
        <v>4686</v>
      </c>
      <c r="H1515" t="s">
        <v>4687</v>
      </c>
      <c r="I1515">
        <v>26456</v>
      </c>
      <c r="J1515">
        <v>54034</v>
      </c>
      <c r="K1515" t="s">
        <v>2607</v>
      </c>
      <c r="L1515" t="str">
        <f>SUBSTITUTE(K1515,"'","")</f>
        <v>320252570864269982</v>
      </c>
      <c r="M1515">
        <v>54820</v>
      </c>
    </row>
    <row r="1516" spans="1:13" x14ac:dyDescent="0.4">
      <c r="A1516" s="1">
        <v>45914</v>
      </c>
      <c r="B1516" t="s">
        <v>4683</v>
      </c>
      <c r="C1516" t="s">
        <v>5834</v>
      </c>
      <c r="D1516">
        <v>61130</v>
      </c>
      <c r="E1516" t="s">
        <v>478</v>
      </c>
      <c r="F1516">
        <v>14.66</v>
      </c>
      <c r="G1516" t="s">
        <v>4686</v>
      </c>
      <c r="H1516" t="s">
        <v>4687</v>
      </c>
      <c r="I1516">
        <v>26878</v>
      </c>
      <c r="J1516">
        <v>54878</v>
      </c>
      <c r="K1516" t="s">
        <v>2613</v>
      </c>
      <c r="L1516" t="str">
        <f>SUBSTITUTE(K1516,"'","")</f>
        <v>320252570867959219</v>
      </c>
      <c r="M1516">
        <v>61130</v>
      </c>
    </row>
    <row r="1517" spans="1:13" x14ac:dyDescent="0.4">
      <c r="A1517" s="1">
        <v>45914</v>
      </c>
      <c r="B1517" t="s">
        <v>4683</v>
      </c>
      <c r="C1517" t="s">
        <v>5835</v>
      </c>
      <c r="D1517">
        <v>61130</v>
      </c>
      <c r="E1517" t="s">
        <v>478</v>
      </c>
      <c r="F1517">
        <v>40.76</v>
      </c>
      <c r="G1517" t="s">
        <v>4686</v>
      </c>
      <c r="H1517" t="s">
        <v>4687</v>
      </c>
      <c r="I1517">
        <v>26879</v>
      </c>
      <c r="J1517">
        <v>54880</v>
      </c>
      <c r="K1517" t="s">
        <v>2615</v>
      </c>
      <c r="L1517" t="str">
        <f>SUBSTITUTE(K1517,"'","")</f>
        <v>320252570868944649</v>
      </c>
      <c r="M1517">
        <v>61130</v>
      </c>
    </row>
    <row r="1518" spans="1:13" x14ac:dyDescent="0.4">
      <c r="A1518" s="1">
        <v>45914</v>
      </c>
      <c r="B1518" t="s">
        <v>4683</v>
      </c>
      <c r="C1518" t="s">
        <v>5361</v>
      </c>
      <c r="D1518">
        <v>54820</v>
      </c>
      <c r="E1518" t="s">
        <v>583</v>
      </c>
      <c r="F1518">
        <v>151.02000000000001</v>
      </c>
      <c r="G1518" t="s">
        <v>4686</v>
      </c>
      <c r="H1518" t="s">
        <v>4687</v>
      </c>
      <c r="I1518">
        <v>26794</v>
      </c>
      <c r="J1518">
        <v>54710</v>
      </c>
      <c r="K1518" t="s">
        <v>2611</v>
      </c>
      <c r="L1518" t="str">
        <f>SUBSTITUTE(K1518,"'","")</f>
        <v>320252570870537093</v>
      </c>
      <c r="M1518">
        <v>54820</v>
      </c>
    </row>
    <row r="1519" spans="1:13" x14ac:dyDescent="0.4">
      <c r="A1519" s="1">
        <v>45914</v>
      </c>
      <c r="B1519" t="s">
        <v>4683</v>
      </c>
      <c r="C1519" t="s">
        <v>5360</v>
      </c>
      <c r="D1519">
        <v>54820</v>
      </c>
      <c r="E1519" t="s">
        <v>583</v>
      </c>
      <c r="F1519">
        <v>52.72</v>
      </c>
      <c r="G1519" t="s">
        <v>4686</v>
      </c>
      <c r="H1519" t="s">
        <v>4687</v>
      </c>
      <c r="I1519">
        <v>26793</v>
      </c>
      <c r="J1519">
        <v>54708</v>
      </c>
      <c r="K1519" t="s">
        <v>2609</v>
      </c>
      <c r="L1519" t="str">
        <f>SUBSTITUTE(K1519,"'","")</f>
        <v>320252570870836207</v>
      </c>
      <c r="M1519">
        <v>54820</v>
      </c>
    </row>
    <row r="1520" spans="1:13" x14ac:dyDescent="0.4">
      <c r="A1520" s="1">
        <v>45914</v>
      </c>
      <c r="B1520" t="s">
        <v>4683</v>
      </c>
      <c r="C1520" t="s">
        <v>5934</v>
      </c>
      <c r="D1520">
        <v>61131</v>
      </c>
      <c r="E1520" t="s">
        <v>317</v>
      </c>
      <c r="F1520">
        <v>24.95</v>
      </c>
      <c r="G1520" t="s">
        <v>4686</v>
      </c>
      <c r="H1520" t="s">
        <v>4687</v>
      </c>
      <c r="I1520">
        <v>25653</v>
      </c>
      <c r="J1520">
        <v>52428</v>
      </c>
      <c r="K1520" t="s">
        <v>320</v>
      </c>
      <c r="L1520" t="str">
        <f>SUBSTITUTE(K1520,"'","")</f>
        <v>320252570885321148</v>
      </c>
      <c r="M1520">
        <v>61131</v>
      </c>
    </row>
    <row r="1521" spans="1:13" x14ac:dyDescent="0.4">
      <c r="A1521" s="1">
        <v>45914</v>
      </c>
      <c r="B1521" t="s">
        <v>4683</v>
      </c>
      <c r="C1521" t="s">
        <v>6441</v>
      </c>
      <c r="D1521">
        <v>65700</v>
      </c>
      <c r="E1521" t="s">
        <v>83</v>
      </c>
      <c r="F1521">
        <v>109.4</v>
      </c>
      <c r="G1521" t="s">
        <v>4686</v>
      </c>
      <c r="H1521" t="s">
        <v>4687</v>
      </c>
      <c r="I1521">
        <v>25552</v>
      </c>
      <c r="J1521">
        <v>52226</v>
      </c>
      <c r="K1521" t="s">
        <v>316</v>
      </c>
      <c r="L1521" t="str">
        <f>SUBSTITUTE(K1521,"'","")</f>
        <v>320252580909191418</v>
      </c>
      <c r="M1521">
        <v>65700</v>
      </c>
    </row>
    <row r="1522" spans="1:13" x14ac:dyDescent="0.4">
      <c r="A1522" s="1">
        <v>45915</v>
      </c>
      <c r="B1522" t="s">
        <v>4683</v>
      </c>
      <c r="C1522" t="s">
        <v>5364</v>
      </c>
      <c r="D1522">
        <v>54820</v>
      </c>
      <c r="E1522" t="s">
        <v>2181</v>
      </c>
      <c r="F1522">
        <v>7.48</v>
      </c>
      <c r="G1522" t="s">
        <v>4686</v>
      </c>
      <c r="H1522" t="s">
        <v>4687</v>
      </c>
      <c r="I1522">
        <v>27062</v>
      </c>
      <c r="J1522">
        <v>55246</v>
      </c>
      <c r="K1522" t="s">
        <v>2597</v>
      </c>
      <c r="L1522" t="str">
        <f>SUBSTITUTE(K1522,"'","")</f>
        <v>320252580894839711</v>
      </c>
      <c r="M1522">
        <v>54820</v>
      </c>
    </row>
    <row r="1523" spans="1:13" x14ac:dyDescent="0.4">
      <c r="A1523" s="1">
        <v>45915</v>
      </c>
      <c r="B1523" t="s">
        <v>4683</v>
      </c>
      <c r="C1523" t="s">
        <v>5363</v>
      </c>
      <c r="D1523">
        <v>54820</v>
      </c>
      <c r="E1523" t="s">
        <v>583</v>
      </c>
      <c r="F1523">
        <v>144.30000000000001</v>
      </c>
      <c r="G1523" t="s">
        <v>4686</v>
      </c>
      <c r="H1523" t="s">
        <v>4687</v>
      </c>
      <c r="I1523">
        <v>26795</v>
      </c>
      <c r="J1523">
        <v>54712</v>
      </c>
      <c r="K1523" t="s">
        <v>2603</v>
      </c>
      <c r="L1523" t="str">
        <f>SUBSTITUTE(K1523,"'","")</f>
        <v>320252580897090082</v>
      </c>
      <c r="M1523">
        <v>54820</v>
      </c>
    </row>
    <row r="1524" spans="1:13" x14ac:dyDescent="0.4">
      <c r="A1524" s="1">
        <v>45915</v>
      </c>
      <c r="B1524" t="s">
        <v>4683</v>
      </c>
      <c r="C1524" t="s">
        <v>6318</v>
      </c>
      <c r="D1524">
        <v>64100</v>
      </c>
      <c r="E1524" t="s">
        <v>78</v>
      </c>
      <c r="F1524">
        <v>10</v>
      </c>
      <c r="G1524" t="s">
        <v>4686</v>
      </c>
      <c r="H1524" t="s">
        <v>4687</v>
      </c>
      <c r="I1524">
        <v>25577</v>
      </c>
      <c r="J1524">
        <v>52276</v>
      </c>
      <c r="K1524" t="s">
        <v>313</v>
      </c>
      <c r="L1524" t="str">
        <f>SUBSTITUTE(K1524,"'","")</f>
        <v>320252590929069810</v>
      </c>
      <c r="M1524">
        <v>64100</v>
      </c>
    </row>
    <row r="1525" spans="1:13" x14ac:dyDescent="0.4">
      <c r="A1525" s="1">
        <v>45915</v>
      </c>
      <c r="B1525" t="s">
        <v>4683</v>
      </c>
      <c r="C1525" t="s">
        <v>5935</v>
      </c>
      <c r="D1525">
        <v>61131</v>
      </c>
      <c r="E1525" t="s">
        <v>27</v>
      </c>
      <c r="F1525">
        <v>33.93</v>
      </c>
      <c r="G1525" t="s">
        <v>4686</v>
      </c>
      <c r="H1525" t="s">
        <v>4687</v>
      </c>
      <c r="I1525">
        <v>25752</v>
      </c>
      <c r="J1525">
        <v>52626</v>
      </c>
      <c r="K1525" t="s">
        <v>311</v>
      </c>
      <c r="L1525" t="str">
        <f>SUBSTITUTE(K1525,"'","")</f>
        <v>320252590930088871</v>
      </c>
      <c r="M1525">
        <v>61131</v>
      </c>
    </row>
    <row r="1526" spans="1:13" x14ac:dyDescent="0.4">
      <c r="A1526" s="1">
        <v>45915</v>
      </c>
      <c r="B1526" t="s">
        <v>4683</v>
      </c>
      <c r="C1526" t="s">
        <v>5362</v>
      </c>
      <c r="D1526">
        <v>54820</v>
      </c>
      <c r="E1526" t="s">
        <v>2142</v>
      </c>
      <c r="F1526">
        <v>4</v>
      </c>
      <c r="G1526" t="s">
        <v>4686</v>
      </c>
      <c r="H1526" t="s">
        <v>4687</v>
      </c>
      <c r="I1526">
        <v>26608</v>
      </c>
      <c r="J1526">
        <v>54338</v>
      </c>
      <c r="K1526" t="s">
        <v>2601</v>
      </c>
      <c r="L1526" t="str">
        <f>SUBSTITUTE(K1526,"'","")</f>
        <v>320252590932834644</v>
      </c>
      <c r="M1526">
        <v>54820</v>
      </c>
    </row>
    <row r="1527" spans="1:13" x14ac:dyDescent="0.4">
      <c r="A1527" s="1">
        <v>45915</v>
      </c>
      <c r="B1527" t="s">
        <v>4683</v>
      </c>
      <c r="C1527" t="s">
        <v>5365</v>
      </c>
      <c r="D1527">
        <v>54820</v>
      </c>
      <c r="E1527" t="s">
        <v>2471</v>
      </c>
      <c r="F1527">
        <v>64.63</v>
      </c>
      <c r="G1527" t="s">
        <v>4686</v>
      </c>
      <c r="H1527" t="s">
        <v>4687</v>
      </c>
      <c r="I1527">
        <v>27063</v>
      </c>
      <c r="J1527">
        <v>55248</v>
      </c>
      <c r="K1527" t="s">
        <v>2599</v>
      </c>
      <c r="L1527" t="str">
        <f>SUBSTITUTE(K1527,"'","")</f>
        <v>320252590939600609</v>
      </c>
      <c r="M1527">
        <v>54820</v>
      </c>
    </row>
    <row r="1528" spans="1:13" x14ac:dyDescent="0.4">
      <c r="A1528" s="1">
        <v>45916</v>
      </c>
      <c r="B1528" t="s">
        <v>4683</v>
      </c>
      <c r="C1528" t="s">
        <v>5368</v>
      </c>
      <c r="D1528">
        <v>54820</v>
      </c>
      <c r="E1528" t="s">
        <v>2125</v>
      </c>
      <c r="F1528">
        <v>27.99</v>
      </c>
      <c r="G1528" t="s">
        <v>4686</v>
      </c>
      <c r="H1528" t="s">
        <v>4687</v>
      </c>
      <c r="I1528">
        <v>26536</v>
      </c>
      <c r="J1528">
        <v>54194</v>
      </c>
      <c r="K1528" t="s">
        <v>2589</v>
      </c>
      <c r="L1528" t="str">
        <f>SUBSTITUTE(K1528,"'","")</f>
        <v>320252590922465916</v>
      </c>
      <c r="M1528">
        <v>54820</v>
      </c>
    </row>
    <row r="1529" spans="1:13" x14ac:dyDescent="0.4">
      <c r="A1529" s="1">
        <v>45916</v>
      </c>
      <c r="B1529" t="s">
        <v>4683</v>
      </c>
      <c r="C1529" t="s">
        <v>6507</v>
      </c>
      <c r="D1529">
        <v>67500</v>
      </c>
      <c r="E1529" t="s">
        <v>106</v>
      </c>
      <c r="F1529">
        <v>70.31</v>
      </c>
      <c r="G1529" t="s">
        <v>4686</v>
      </c>
      <c r="H1529" t="s">
        <v>4687</v>
      </c>
      <c r="I1529">
        <v>26380</v>
      </c>
      <c r="J1529">
        <v>53882</v>
      </c>
      <c r="K1529" t="s">
        <v>2591</v>
      </c>
      <c r="L1529" t="str">
        <f>SUBSTITUTE(K1529,"'","")</f>
        <v>320252590922691980</v>
      </c>
      <c r="M1529">
        <v>67500</v>
      </c>
    </row>
    <row r="1530" spans="1:13" x14ac:dyDescent="0.4">
      <c r="A1530" s="1">
        <v>45916</v>
      </c>
      <c r="B1530" t="s">
        <v>4683</v>
      </c>
      <c r="C1530" t="s">
        <v>5370</v>
      </c>
      <c r="D1530">
        <v>54820</v>
      </c>
      <c r="E1530" t="s">
        <v>2190</v>
      </c>
      <c r="F1530">
        <v>8.44</v>
      </c>
      <c r="G1530" t="s">
        <v>4686</v>
      </c>
      <c r="H1530" t="s">
        <v>4687</v>
      </c>
      <c r="I1530">
        <v>27065</v>
      </c>
      <c r="J1530">
        <v>55252</v>
      </c>
      <c r="K1530" t="s">
        <v>2587</v>
      </c>
      <c r="L1530" t="str">
        <f>SUBSTITUTE(K1530,"'","")</f>
        <v>320252590923106254</v>
      </c>
      <c r="M1530">
        <v>54820</v>
      </c>
    </row>
    <row r="1531" spans="1:13" x14ac:dyDescent="0.4">
      <c r="A1531" s="1">
        <v>45916</v>
      </c>
      <c r="B1531" t="s">
        <v>4683</v>
      </c>
      <c r="C1531" t="s">
        <v>5371</v>
      </c>
      <c r="D1531">
        <v>54820</v>
      </c>
      <c r="E1531" t="s">
        <v>2592</v>
      </c>
      <c r="F1531">
        <v>15.93</v>
      </c>
      <c r="G1531" t="s">
        <v>4686</v>
      </c>
      <c r="H1531" t="s">
        <v>4687</v>
      </c>
      <c r="I1531">
        <v>27066</v>
      </c>
      <c r="J1531">
        <v>55254</v>
      </c>
      <c r="K1531" t="s">
        <v>2595</v>
      </c>
      <c r="L1531" t="str">
        <f>SUBSTITUTE(K1531,"'","")</f>
        <v>320252590928410623</v>
      </c>
      <c r="M1531">
        <v>54820</v>
      </c>
    </row>
    <row r="1532" spans="1:13" x14ac:dyDescent="0.4">
      <c r="A1532" s="1">
        <v>45916</v>
      </c>
      <c r="B1532" t="s">
        <v>4683</v>
      </c>
      <c r="C1532" t="s">
        <v>5369</v>
      </c>
      <c r="D1532">
        <v>54820</v>
      </c>
      <c r="E1532" t="s">
        <v>2582</v>
      </c>
      <c r="F1532">
        <v>36.950000000000003</v>
      </c>
      <c r="G1532" t="s">
        <v>4686</v>
      </c>
      <c r="H1532" t="s">
        <v>4687</v>
      </c>
      <c r="I1532">
        <v>27064</v>
      </c>
      <c r="J1532">
        <v>55250</v>
      </c>
      <c r="K1532" t="s">
        <v>2585</v>
      </c>
      <c r="L1532" t="str">
        <f>SUBSTITUTE(K1532,"'","")</f>
        <v>320252600953099168</v>
      </c>
      <c r="M1532">
        <v>54820</v>
      </c>
    </row>
    <row r="1533" spans="1:13" x14ac:dyDescent="0.4">
      <c r="A1533" s="1">
        <v>45916</v>
      </c>
      <c r="B1533" t="s">
        <v>4683</v>
      </c>
      <c r="C1533" t="s">
        <v>5366</v>
      </c>
      <c r="D1533">
        <v>54820</v>
      </c>
      <c r="E1533" t="s">
        <v>306</v>
      </c>
      <c r="F1533">
        <v>12.03</v>
      </c>
      <c r="G1533" t="s">
        <v>4686</v>
      </c>
      <c r="H1533" t="s">
        <v>4687</v>
      </c>
      <c r="I1533">
        <v>25998</v>
      </c>
      <c r="J1533">
        <v>53118</v>
      </c>
      <c r="K1533" t="s">
        <v>309</v>
      </c>
      <c r="L1533" t="str">
        <f>SUBSTITUTE(K1533,"'","")</f>
        <v>320252600957349386</v>
      </c>
      <c r="M1533">
        <v>54820</v>
      </c>
    </row>
    <row r="1534" spans="1:13" x14ac:dyDescent="0.4">
      <c r="A1534" s="1">
        <v>45916</v>
      </c>
      <c r="B1534" t="s">
        <v>4683</v>
      </c>
      <c r="C1534" t="s">
        <v>5367</v>
      </c>
      <c r="D1534">
        <v>54820</v>
      </c>
      <c r="E1534" t="s">
        <v>140</v>
      </c>
      <c r="F1534">
        <v>48.98</v>
      </c>
      <c r="G1534" t="s">
        <v>4686</v>
      </c>
      <c r="H1534" t="s">
        <v>4687</v>
      </c>
      <c r="I1534">
        <v>26397</v>
      </c>
      <c r="J1534">
        <v>53916</v>
      </c>
      <c r="K1534" t="s">
        <v>2581</v>
      </c>
      <c r="L1534" t="str">
        <f>SUBSTITUTE(K1534,"'","")</f>
        <v>320252600958536448</v>
      </c>
      <c r="M1534">
        <v>54820</v>
      </c>
    </row>
    <row r="1535" spans="1:13" x14ac:dyDescent="0.4">
      <c r="A1535" s="1">
        <v>45917</v>
      </c>
      <c r="B1535" t="s">
        <v>4683</v>
      </c>
      <c r="C1535" t="s">
        <v>5372</v>
      </c>
      <c r="D1535">
        <v>54820</v>
      </c>
      <c r="E1535" t="s">
        <v>292</v>
      </c>
      <c r="F1535">
        <v>844.35</v>
      </c>
      <c r="G1535" t="s">
        <v>4686</v>
      </c>
      <c r="H1535" t="s">
        <v>4687</v>
      </c>
      <c r="I1535">
        <v>26071</v>
      </c>
      <c r="J1535">
        <v>53264</v>
      </c>
      <c r="K1535" t="s">
        <v>296</v>
      </c>
      <c r="L1535" t="str">
        <f>SUBSTITUTE(K1535,"'","")</f>
        <v>320252600948294493</v>
      </c>
      <c r="M1535">
        <v>54820</v>
      </c>
    </row>
    <row r="1536" spans="1:13" x14ac:dyDescent="0.4">
      <c r="A1536" s="1">
        <v>45917</v>
      </c>
      <c r="B1536" t="s">
        <v>4683</v>
      </c>
      <c r="C1536" t="s">
        <v>5837</v>
      </c>
      <c r="D1536">
        <v>61130</v>
      </c>
      <c r="E1536" t="s">
        <v>478</v>
      </c>
      <c r="F1536">
        <v>88</v>
      </c>
      <c r="G1536" t="s">
        <v>4686</v>
      </c>
      <c r="H1536" t="s">
        <v>4687</v>
      </c>
      <c r="I1536">
        <v>26881</v>
      </c>
      <c r="J1536">
        <v>54884</v>
      </c>
      <c r="K1536" t="s">
        <v>2577</v>
      </c>
      <c r="L1536" t="str">
        <f>SUBSTITUTE(K1536,"'","")</f>
        <v>320252600950941849</v>
      </c>
      <c r="M1536">
        <v>61130</v>
      </c>
    </row>
    <row r="1537" spans="1:13" x14ac:dyDescent="0.4">
      <c r="A1537" s="1">
        <v>45917</v>
      </c>
      <c r="B1537" t="s">
        <v>4683</v>
      </c>
      <c r="C1537" t="s">
        <v>5838</v>
      </c>
      <c r="D1537">
        <v>61130</v>
      </c>
      <c r="E1537" t="s">
        <v>478</v>
      </c>
      <c r="F1537">
        <v>88.43</v>
      </c>
      <c r="G1537" t="s">
        <v>4686</v>
      </c>
      <c r="H1537" t="s">
        <v>4687</v>
      </c>
      <c r="I1537">
        <v>26882</v>
      </c>
      <c r="J1537">
        <v>54886</v>
      </c>
      <c r="K1537" t="s">
        <v>2579</v>
      </c>
      <c r="L1537" t="str">
        <f>SUBSTITUTE(K1537,"'","")</f>
        <v>320252600951767709</v>
      </c>
      <c r="M1537">
        <v>61130</v>
      </c>
    </row>
    <row r="1538" spans="1:13" x14ac:dyDescent="0.4">
      <c r="A1538" s="1">
        <v>45917</v>
      </c>
      <c r="B1538" t="s">
        <v>4683</v>
      </c>
      <c r="C1538" t="s">
        <v>5836</v>
      </c>
      <c r="D1538">
        <v>61130</v>
      </c>
      <c r="E1538" t="s">
        <v>478</v>
      </c>
      <c r="F1538">
        <v>60.83</v>
      </c>
      <c r="G1538" t="s">
        <v>4686</v>
      </c>
      <c r="H1538" t="s">
        <v>4687</v>
      </c>
      <c r="I1538">
        <v>26880</v>
      </c>
      <c r="J1538">
        <v>54882</v>
      </c>
      <c r="K1538" t="s">
        <v>2575</v>
      </c>
      <c r="L1538" t="str">
        <f>SUBSTITUTE(K1538,"'","")</f>
        <v>320252600953153887</v>
      </c>
      <c r="M1538">
        <v>61130</v>
      </c>
    </row>
    <row r="1539" spans="1:13" x14ac:dyDescent="0.4">
      <c r="A1539" s="1">
        <v>45917</v>
      </c>
      <c r="B1539" t="s">
        <v>4683</v>
      </c>
      <c r="C1539" t="s">
        <v>6041</v>
      </c>
      <c r="D1539">
        <v>61215</v>
      </c>
      <c r="E1539" t="s">
        <v>300</v>
      </c>
      <c r="F1539">
        <v>520</v>
      </c>
      <c r="G1539" t="s">
        <v>4686</v>
      </c>
      <c r="H1539" t="s">
        <v>4687</v>
      </c>
      <c r="I1539">
        <v>25999</v>
      </c>
      <c r="J1539">
        <v>53120</v>
      </c>
      <c r="K1539" t="s">
        <v>304</v>
      </c>
      <c r="L1539" t="str">
        <f>SUBSTITUTE(K1539,"'","")</f>
        <v>320252600956716102</v>
      </c>
      <c r="M1539">
        <v>61215</v>
      </c>
    </row>
    <row r="1540" spans="1:13" x14ac:dyDescent="0.4">
      <c r="A1540" s="1">
        <v>45917</v>
      </c>
      <c r="B1540" t="s">
        <v>4683</v>
      </c>
      <c r="C1540" t="s">
        <v>5936</v>
      </c>
      <c r="D1540">
        <v>61131</v>
      </c>
      <c r="E1540" t="s">
        <v>297</v>
      </c>
      <c r="F1540">
        <v>9.15</v>
      </c>
      <c r="G1540" t="s">
        <v>4686</v>
      </c>
      <c r="H1540" t="s">
        <v>4687</v>
      </c>
      <c r="I1540">
        <v>25753</v>
      </c>
      <c r="J1540">
        <v>52628</v>
      </c>
      <c r="K1540" t="s">
        <v>299</v>
      </c>
      <c r="L1540" t="str">
        <f>SUBSTITUTE(K1540,"'","")</f>
        <v>320252610984502820</v>
      </c>
      <c r="M1540">
        <v>61131</v>
      </c>
    </row>
    <row r="1541" spans="1:13" x14ac:dyDescent="0.4">
      <c r="A1541" s="1">
        <v>45917</v>
      </c>
      <c r="B1541" t="s">
        <v>4683</v>
      </c>
      <c r="C1541" t="s">
        <v>5373</v>
      </c>
      <c r="D1541">
        <v>54820</v>
      </c>
      <c r="E1541" t="s">
        <v>2571</v>
      </c>
      <c r="F1541">
        <v>57</v>
      </c>
      <c r="G1541" t="s">
        <v>4686</v>
      </c>
      <c r="H1541" t="s">
        <v>4687</v>
      </c>
      <c r="I1541">
        <v>26323</v>
      </c>
      <c r="J1541">
        <v>53768</v>
      </c>
      <c r="K1541" t="s">
        <v>2573</v>
      </c>
      <c r="L1541" t="str">
        <f>SUBSTITUTE(K1541,"'","")</f>
        <v>320252610994506311</v>
      </c>
      <c r="M1541">
        <v>54820</v>
      </c>
    </row>
    <row r="1542" spans="1:13" x14ac:dyDescent="0.4">
      <c r="A1542" s="1">
        <v>45918</v>
      </c>
      <c r="B1542" t="s">
        <v>4683</v>
      </c>
      <c r="C1542" t="s">
        <v>5378</v>
      </c>
      <c r="D1542">
        <v>54820</v>
      </c>
      <c r="E1542" t="s">
        <v>2190</v>
      </c>
      <c r="F1542">
        <v>9.44</v>
      </c>
      <c r="G1542" t="s">
        <v>4686</v>
      </c>
      <c r="H1542" t="s">
        <v>4687</v>
      </c>
      <c r="I1542">
        <v>27068</v>
      </c>
      <c r="J1542">
        <v>55258</v>
      </c>
      <c r="K1542" t="s">
        <v>2559</v>
      </c>
      <c r="L1542" t="str">
        <f>SUBSTITUTE(K1542,"'","")</f>
        <v>320252610978939726</v>
      </c>
      <c r="M1542">
        <v>54820</v>
      </c>
    </row>
    <row r="1543" spans="1:13" x14ac:dyDescent="0.4">
      <c r="A1543" s="1">
        <v>45918</v>
      </c>
      <c r="B1543" t="s">
        <v>4683</v>
      </c>
      <c r="C1543" t="s">
        <v>5376</v>
      </c>
      <c r="D1543">
        <v>54820</v>
      </c>
      <c r="E1543" t="s">
        <v>583</v>
      </c>
      <c r="F1543">
        <v>180.16</v>
      </c>
      <c r="G1543" t="s">
        <v>4686</v>
      </c>
      <c r="H1543" t="s">
        <v>4687</v>
      </c>
      <c r="I1543">
        <v>26796</v>
      </c>
      <c r="J1543">
        <v>54714</v>
      </c>
      <c r="K1543" t="s">
        <v>2561</v>
      </c>
      <c r="L1543" t="str">
        <f>SUBSTITUTE(K1543,"'","")</f>
        <v>320252610980068709</v>
      </c>
      <c r="M1543">
        <v>54820</v>
      </c>
    </row>
    <row r="1544" spans="1:13" x14ac:dyDescent="0.4">
      <c r="A1544" s="1">
        <v>45918</v>
      </c>
      <c r="B1544" t="s">
        <v>4683</v>
      </c>
      <c r="C1544" t="s">
        <v>6042</v>
      </c>
      <c r="D1544">
        <v>61215</v>
      </c>
      <c r="E1544" t="s">
        <v>287</v>
      </c>
      <c r="F1544">
        <v>700</v>
      </c>
      <c r="G1544" t="s">
        <v>4686</v>
      </c>
      <c r="H1544" t="s">
        <v>4687</v>
      </c>
      <c r="I1544">
        <v>25991</v>
      </c>
      <c r="J1544">
        <v>53104</v>
      </c>
      <c r="K1544" t="s">
        <v>291</v>
      </c>
      <c r="L1544" t="str">
        <f>SUBSTITUTE(K1544,"'","")</f>
        <v>320252620007598914</v>
      </c>
      <c r="M1544">
        <v>61215</v>
      </c>
    </row>
    <row r="1545" spans="1:13" x14ac:dyDescent="0.4">
      <c r="A1545" s="1">
        <v>45918</v>
      </c>
      <c r="B1545" t="s">
        <v>4683</v>
      </c>
      <c r="C1545" t="s">
        <v>5839</v>
      </c>
      <c r="D1545">
        <v>61130</v>
      </c>
      <c r="E1545" t="s">
        <v>478</v>
      </c>
      <c r="F1545">
        <v>54.65</v>
      </c>
      <c r="G1545" t="s">
        <v>4686</v>
      </c>
      <c r="H1545" t="s">
        <v>4687</v>
      </c>
      <c r="I1545">
        <v>26883</v>
      </c>
      <c r="J1545">
        <v>54888</v>
      </c>
      <c r="K1545" t="s">
        <v>2563</v>
      </c>
      <c r="L1545" t="str">
        <f>SUBSTITUTE(K1545,"'","")</f>
        <v>320252620010309135</v>
      </c>
      <c r="M1545">
        <v>61130</v>
      </c>
    </row>
    <row r="1546" spans="1:13" x14ac:dyDescent="0.4">
      <c r="A1546" s="1">
        <v>45918</v>
      </c>
      <c r="B1546" t="s">
        <v>4683</v>
      </c>
      <c r="C1546" t="s">
        <v>5375</v>
      </c>
      <c r="D1546">
        <v>54820</v>
      </c>
      <c r="E1546" t="s">
        <v>2085</v>
      </c>
      <c r="F1546">
        <v>26.66</v>
      </c>
      <c r="G1546" t="s">
        <v>4686</v>
      </c>
      <c r="H1546" t="s">
        <v>4687</v>
      </c>
      <c r="I1546">
        <v>26711</v>
      </c>
      <c r="J1546">
        <v>54544</v>
      </c>
      <c r="K1546" t="s">
        <v>2570</v>
      </c>
      <c r="L1546" t="str">
        <f>SUBSTITUTE(K1546,"'","")</f>
        <v>320252620015662374</v>
      </c>
      <c r="M1546">
        <v>54820</v>
      </c>
    </row>
    <row r="1547" spans="1:13" x14ac:dyDescent="0.4">
      <c r="A1547" s="1">
        <v>45918</v>
      </c>
      <c r="B1547" t="s">
        <v>4683</v>
      </c>
      <c r="C1547" t="s">
        <v>5377</v>
      </c>
      <c r="D1547">
        <v>54820</v>
      </c>
      <c r="E1547" t="s">
        <v>2554</v>
      </c>
      <c r="F1547">
        <v>17.98</v>
      </c>
      <c r="G1547" t="s">
        <v>4686</v>
      </c>
      <c r="H1547" t="s">
        <v>4687</v>
      </c>
      <c r="I1547">
        <v>27067</v>
      </c>
      <c r="J1547">
        <v>55256</v>
      </c>
      <c r="K1547" t="s">
        <v>2557</v>
      </c>
      <c r="L1547" t="str">
        <f>SUBSTITUTE(K1547,"'","")</f>
        <v>320252620015675934</v>
      </c>
      <c r="M1547">
        <v>54820</v>
      </c>
    </row>
    <row r="1548" spans="1:13" x14ac:dyDescent="0.4">
      <c r="A1548" s="1">
        <v>45918</v>
      </c>
      <c r="B1548" t="s">
        <v>4683</v>
      </c>
      <c r="C1548" t="s">
        <v>5374</v>
      </c>
      <c r="D1548">
        <v>54820</v>
      </c>
      <c r="E1548" t="s">
        <v>2129</v>
      </c>
      <c r="F1548" s="5">
        <v>1545</v>
      </c>
      <c r="G1548" t="s">
        <v>4686</v>
      </c>
      <c r="H1548" t="s">
        <v>4687</v>
      </c>
      <c r="I1548">
        <v>26116</v>
      </c>
      <c r="J1548">
        <v>53354</v>
      </c>
      <c r="K1548" t="s">
        <v>2565</v>
      </c>
      <c r="L1548" t="str">
        <f>SUBSTITUTE(K1548,"'","")</f>
        <v>320252620021238578</v>
      </c>
      <c r="M1548">
        <v>54820</v>
      </c>
    </row>
    <row r="1549" spans="1:13" x14ac:dyDescent="0.4">
      <c r="A1549" s="1">
        <v>45918</v>
      </c>
      <c r="B1549" t="s">
        <v>4683</v>
      </c>
      <c r="C1549" t="s">
        <v>5379</v>
      </c>
      <c r="D1549">
        <v>54820</v>
      </c>
      <c r="E1549" t="s">
        <v>2566</v>
      </c>
      <c r="F1549">
        <v>463.5</v>
      </c>
      <c r="G1549" t="s">
        <v>4686</v>
      </c>
      <c r="H1549" t="s">
        <v>4687</v>
      </c>
      <c r="I1549">
        <v>27069</v>
      </c>
      <c r="J1549">
        <v>55260</v>
      </c>
      <c r="K1549" t="s">
        <v>2568</v>
      </c>
      <c r="L1549" t="str">
        <f>SUBSTITUTE(K1549,"'","")</f>
        <v>320252620023253731</v>
      </c>
      <c r="M1549">
        <v>54820</v>
      </c>
    </row>
    <row r="1550" spans="1:13" x14ac:dyDescent="0.4">
      <c r="A1550" s="1">
        <v>45919</v>
      </c>
      <c r="B1550" t="s">
        <v>4683</v>
      </c>
      <c r="C1550" t="s">
        <v>5842</v>
      </c>
      <c r="D1550">
        <v>61130</v>
      </c>
      <c r="E1550" t="s">
        <v>478</v>
      </c>
      <c r="F1550">
        <v>59.89</v>
      </c>
      <c r="G1550" t="s">
        <v>4686</v>
      </c>
      <c r="H1550" t="s">
        <v>4687</v>
      </c>
      <c r="I1550">
        <v>26886</v>
      </c>
      <c r="J1550">
        <v>54894</v>
      </c>
      <c r="K1550" t="s">
        <v>2553</v>
      </c>
      <c r="L1550" t="str">
        <f>SUBSTITUTE(K1550,"'","")</f>
        <v>320252620003014937</v>
      </c>
      <c r="M1550">
        <v>61130</v>
      </c>
    </row>
    <row r="1551" spans="1:13" x14ac:dyDescent="0.4">
      <c r="A1551" s="1">
        <v>45919</v>
      </c>
      <c r="B1551" t="s">
        <v>4683</v>
      </c>
      <c r="C1551" t="s">
        <v>5380</v>
      </c>
      <c r="D1551">
        <v>54820</v>
      </c>
      <c r="E1551" t="s">
        <v>284</v>
      </c>
      <c r="F1551">
        <v>3.99</v>
      </c>
      <c r="G1551" t="s">
        <v>4686</v>
      </c>
      <c r="H1551" t="s">
        <v>4687</v>
      </c>
      <c r="I1551">
        <v>25891</v>
      </c>
      <c r="J1551">
        <v>52904</v>
      </c>
      <c r="K1551" t="s">
        <v>286</v>
      </c>
      <c r="L1551" t="str">
        <f>SUBSTITUTE(K1551,"'","")</f>
        <v>320252620003244262</v>
      </c>
      <c r="M1551">
        <v>54820</v>
      </c>
    </row>
    <row r="1552" spans="1:13" x14ac:dyDescent="0.4">
      <c r="A1552" s="1">
        <v>45919</v>
      </c>
      <c r="B1552" t="s">
        <v>4683</v>
      </c>
      <c r="C1552" t="s">
        <v>5840</v>
      </c>
      <c r="D1552">
        <v>61130</v>
      </c>
      <c r="E1552" t="s">
        <v>478</v>
      </c>
      <c r="F1552">
        <v>8.15</v>
      </c>
      <c r="G1552" t="s">
        <v>4686</v>
      </c>
      <c r="H1552" t="s">
        <v>4687</v>
      </c>
      <c r="I1552">
        <v>26884</v>
      </c>
      <c r="J1552">
        <v>54890</v>
      </c>
      <c r="K1552" t="s">
        <v>2549</v>
      </c>
      <c r="L1552" t="str">
        <f>SUBSTITUTE(K1552,"'","")</f>
        <v>320252620003739978</v>
      </c>
      <c r="M1552">
        <v>61130</v>
      </c>
    </row>
    <row r="1553" spans="1:13" x14ac:dyDescent="0.4">
      <c r="A1553" s="1">
        <v>45919</v>
      </c>
      <c r="B1553" t="s">
        <v>4683</v>
      </c>
      <c r="C1553" t="s">
        <v>5841</v>
      </c>
      <c r="D1553">
        <v>61130</v>
      </c>
      <c r="E1553" t="s">
        <v>478</v>
      </c>
      <c r="F1553">
        <v>33.67</v>
      </c>
      <c r="G1553" t="s">
        <v>4686</v>
      </c>
      <c r="H1553" t="s">
        <v>4687</v>
      </c>
      <c r="I1553">
        <v>26885</v>
      </c>
      <c r="J1553">
        <v>54892</v>
      </c>
      <c r="K1553" t="s">
        <v>2551</v>
      </c>
      <c r="L1553" t="str">
        <f>SUBSTITUTE(K1553,"'","")</f>
        <v>320252620007611151</v>
      </c>
      <c r="M1553">
        <v>61130</v>
      </c>
    </row>
    <row r="1554" spans="1:13" x14ac:dyDescent="0.4">
      <c r="A1554" s="1">
        <v>45919</v>
      </c>
      <c r="B1554" t="s">
        <v>4683</v>
      </c>
      <c r="C1554" t="s">
        <v>5382</v>
      </c>
      <c r="D1554">
        <v>54820</v>
      </c>
      <c r="E1554" t="s">
        <v>2296</v>
      </c>
      <c r="F1554">
        <v>130</v>
      </c>
      <c r="G1554" t="s">
        <v>4686</v>
      </c>
      <c r="H1554" t="s">
        <v>4687</v>
      </c>
      <c r="I1554">
        <v>27070</v>
      </c>
      <c r="J1554">
        <v>55262</v>
      </c>
      <c r="K1554" t="s">
        <v>2545</v>
      </c>
      <c r="L1554" t="str">
        <f>SUBSTITUTE(K1554,"'","")</f>
        <v>320252620009034226</v>
      </c>
      <c r="M1554">
        <v>54820</v>
      </c>
    </row>
    <row r="1555" spans="1:13" x14ac:dyDescent="0.4">
      <c r="A1555" s="1">
        <v>45919</v>
      </c>
      <c r="B1555" t="s">
        <v>4683</v>
      </c>
      <c r="C1555" t="s">
        <v>5381</v>
      </c>
      <c r="D1555">
        <v>54820</v>
      </c>
      <c r="E1555" t="s">
        <v>583</v>
      </c>
      <c r="F1555">
        <v>271.20999999999998</v>
      </c>
      <c r="G1555" t="s">
        <v>4686</v>
      </c>
      <c r="H1555" t="s">
        <v>4687</v>
      </c>
      <c r="I1555">
        <v>26797</v>
      </c>
      <c r="J1555">
        <v>54716</v>
      </c>
      <c r="K1555" t="s">
        <v>2547</v>
      </c>
      <c r="L1555" t="str">
        <f>SUBSTITUTE(K1555,"'","")</f>
        <v>320252630038923495</v>
      </c>
      <c r="M1555">
        <v>54820</v>
      </c>
    </row>
    <row r="1556" spans="1:13" x14ac:dyDescent="0.4">
      <c r="A1556" s="1">
        <v>45919</v>
      </c>
      <c r="B1556" t="s">
        <v>4683</v>
      </c>
      <c r="C1556" t="s">
        <v>6508</v>
      </c>
      <c r="D1556">
        <v>67500</v>
      </c>
      <c r="E1556" t="s">
        <v>2146</v>
      </c>
      <c r="F1556">
        <v>41.72</v>
      </c>
      <c r="G1556" t="s">
        <v>4686</v>
      </c>
      <c r="H1556" t="s">
        <v>4687</v>
      </c>
      <c r="I1556">
        <v>26437</v>
      </c>
      <c r="J1556">
        <v>53996</v>
      </c>
      <c r="K1556" t="s">
        <v>2543</v>
      </c>
      <c r="L1556" t="str">
        <f>SUBSTITUTE(K1556,"'","")</f>
        <v>320252630043610828</v>
      </c>
      <c r="M1556">
        <v>67500</v>
      </c>
    </row>
    <row r="1557" spans="1:13" x14ac:dyDescent="0.4">
      <c r="A1557" s="1">
        <v>45920</v>
      </c>
      <c r="B1557" t="s">
        <v>4683</v>
      </c>
      <c r="C1557" t="s">
        <v>5385</v>
      </c>
      <c r="D1557">
        <v>54820</v>
      </c>
      <c r="E1557" t="s">
        <v>2528</v>
      </c>
      <c r="F1557">
        <v>49</v>
      </c>
      <c r="G1557" t="s">
        <v>4686</v>
      </c>
      <c r="H1557" t="s">
        <v>4687</v>
      </c>
      <c r="I1557">
        <v>27071</v>
      </c>
      <c r="J1557">
        <v>55264</v>
      </c>
      <c r="K1557" t="s">
        <v>2530</v>
      </c>
      <c r="L1557" t="str">
        <f>SUBSTITUTE(K1557,"'","")</f>
        <v>320252630030358516</v>
      </c>
      <c r="M1557">
        <v>54820</v>
      </c>
    </row>
    <row r="1558" spans="1:13" x14ac:dyDescent="0.4">
      <c r="A1558" s="1">
        <v>45920</v>
      </c>
      <c r="B1558" t="s">
        <v>4683</v>
      </c>
      <c r="C1558" t="s">
        <v>5843</v>
      </c>
      <c r="D1558">
        <v>61130</v>
      </c>
      <c r="E1558" t="s">
        <v>478</v>
      </c>
      <c r="F1558">
        <v>48.08</v>
      </c>
      <c r="G1558" t="s">
        <v>4686</v>
      </c>
      <c r="H1558" t="s">
        <v>4687</v>
      </c>
      <c r="I1558">
        <v>26887</v>
      </c>
      <c r="J1558">
        <v>54896</v>
      </c>
      <c r="K1558" t="s">
        <v>2541</v>
      </c>
      <c r="L1558" t="str">
        <f>SUBSTITUTE(K1558,"'","")</f>
        <v>320252630036145456</v>
      </c>
      <c r="M1558">
        <v>61130</v>
      </c>
    </row>
    <row r="1559" spans="1:13" x14ac:dyDescent="0.4">
      <c r="A1559" s="1">
        <v>45920</v>
      </c>
      <c r="B1559" t="s">
        <v>4683</v>
      </c>
      <c r="C1559" t="s">
        <v>5384</v>
      </c>
      <c r="D1559">
        <v>54820</v>
      </c>
      <c r="E1559" t="s">
        <v>2125</v>
      </c>
      <c r="F1559">
        <v>13.9</v>
      </c>
      <c r="G1559" t="s">
        <v>4686</v>
      </c>
      <c r="H1559" t="s">
        <v>4687</v>
      </c>
      <c r="I1559">
        <v>26537</v>
      </c>
      <c r="J1559">
        <v>54196</v>
      </c>
      <c r="K1559" t="s">
        <v>2532</v>
      </c>
      <c r="L1559" t="str">
        <f>SUBSTITUTE(K1559,"'","")</f>
        <v>320252630036607247</v>
      </c>
      <c r="M1559">
        <v>54820</v>
      </c>
    </row>
    <row r="1560" spans="1:13" x14ac:dyDescent="0.4">
      <c r="A1560" s="1">
        <v>45920</v>
      </c>
      <c r="B1560" t="s">
        <v>4683</v>
      </c>
      <c r="C1560" t="s">
        <v>5383</v>
      </c>
      <c r="D1560">
        <v>54820</v>
      </c>
      <c r="E1560" t="s">
        <v>140</v>
      </c>
      <c r="F1560">
        <v>22.96</v>
      </c>
      <c r="G1560" t="s">
        <v>4686</v>
      </c>
      <c r="H1560" t="s">
        <v>4687</v>
      </c>
      <c r="I1560">
        <v>26398</v>
      </c>
      <c r="J1560">
        <v>53918</v>
      </c>
      <c r="K1560" t="s">
        <v>2527</v>
      </c>
      <c r="L1560" t="str">
        <f>SUBSTITUTE(K1560,"'","")</f>
        <v>320252640071242570</v>
      </c>
      <c r="M1560">
        <v>54820</v>
      </c>
    </row>
    <row r="1561" spans="1:13" x14ac:dyDescent="0.4">
      <c r="A1561" s="1">
        <v>45920</v>
      </c>
      <c r="B1561" t="s">
        <v>4683</v>
      </c>
      <c r="C1561" t="s">
        <v>5387</v>
      </c>
      <c r="D1561">
        <v>54820</v>
      </c>
      <c r="E1561" t="s">
        <v>2533</v>
      </c>
      <c r="F1561">
        <v>40.61</v>
      </c>
      <c r="G1561" t="s">
        <v>4686</v>
      </c>
      <c r="H1561" t="s">
        <v>4687</v>
      </c>
      <c r="I1561">
        <v>27073</v>
      </c>
      <c r="J1561">
        <v>55268</v>
      </c>
      <c r="K1561" t="s">
        <v>2539</v>
      </c>
      <c r="L1561" t="str">
        <f>SUBSTITUTE(K1561,"'","")</f>
        <v>320252640071926491</v>
      </c>
      <c r="M1561">
        <v>54820</v>
      </c>
    </row>
    <row r="1562" spans="1:13" x14ac:dyDescent="0.4">
      <c r="A1562" s="1">
        <v>45920</v>
      </c>
      <c r="B1562" t="s">
        <v>4683</v>
      </c>
      <c r="C1562" t="s">
        <v>5386</v>
      </c>
      <c r="D1562">
        <v>54820</v>
      </c>
      <c r="E1562" t="s">
        <v>2533</v>
      </c>
      <c r="F1562">
        <v>9.0299999999999994</v>
      </c>
      <c r="G1562" t="s">
        <v>4686</v>
      </c>
      <c r="H1562" t="s">
        <v>4687</v>
      </c>
      <c r="I1562">
        <v>27072</v>
      </c>
      <c r="J1562">
        <v>55266</v>
      </c>
      <c r="K1562" t="s">
        <v>2537</v>
      </c>
      <c r="L1562" t="str">
        <f>SUBSTITUTE(K1562,"'","")</f>
        <v>320252640071927431</v>
      </c>
      <c r="M1562">
        <v>54820</v>
      </c>
    </row>
    <row r="1563" spans="1:13" x14ac:dyDescent="0.4">
      <c r="A1563" s="1">
        <v>45921</v>
      </c>
      <c r="B1563" t="s">
        <v>4683</v>
      </c>
      <c r="C1563" t="s">
        <v>5389</v>
      </c>
      <c r="D1563">
        <v>54820</v>
      </c>
      <c r="E1563" t="s">
        <v>583</v>
      </c>
      <c r="F1563">
        <v>134.33000000000001</v>
      </c>
      <c r="G1563" t="s">
        <v>4686</v>
      </c>
      <c r="H1563" t="s">
        <v>4687</v>
      </c>
      <c r="I1563">
        <v>26798</v>
      </c>
      <c r="J1563">
        <v>54718</v>
      </c>
      <c r="K1563" t="s">
        <v>2525</v>
      </c>
      <c r="L1563" t="str">
        <f>SUBSTITUTE(K1563,"'","")</f>
        <v>320252640065045796</v>
      </c>
      <c r="M1563">
        <v>54820</v>
      </c>
    </row>
    <row r="1564" spans="1:13" x14ac:dyDescent="0.4">
      <c r="A1564" s="1">
        <v>45921</v>
      </c>
      <c r="B1564" t="s">
        <v>4683</v>
      </c>
      <c r="C1564" t="s">
        <v>6320</v>
      </c>
      <c r="D1564">
        <v>64100</v>
      </c>
      <c r="E1564" t="s">
        <v>2072</v>
      </c>
      <c r="F1564">
        <v>16.05</v>
      </c>
      <c r="G1564" t="s">
        <v>4686</v>
      </c>
      <c r="H1564" t="s">
        <v>4687</v>
      </c>
      <c r="I1564">
        <v>26919</v>
      </c>
      <c r="J1564">
        <v>54960</v>
      </c>
      <c r="K1564" t="s">
        <v>2523</v>
      </c>
      <c r="L1564" t="str">
        <f>SUBSTITUTE(K1564,"'","")</f>
        <v>320252640081930394</v>
      </c>
      <c r="M1564">
        <v>64100</v>
      </c>
    </row>
    <row r="1565" spans="1:13" x14ac:dyDescent="0.4">
      <c r="A1565" s="1">
        <v>45921</v>
      </c>
      <c r="B1565" t="s">
        <v>4683</v>
      </c>
      <c r="C1565" t="s">
        <v>6319</v>
      </c>
      <c r="D1565">
        <v>64100</v>
      </c>
      <c r="E1565" t="s">
        <v>2519</v>
      </c>
      <c r="F1565">
        <v>15</v>
      </c>
      <c r="G1565" t="s">
        <v>4686</v>
      </c>
      <c r="H1565" t="s">
        <v>4687</v>
      </c>
      <c r="I1565">
        <v>26666</v>
      </c>
      <c r="J1565">
        <v>54454</v>
      </c>
      <c r="K1565" t="s">
        <v>2521</v>
      </c>
      <c r="L1565" t="str">
        <f>SUBSTITUTE(K1565,"'","")</f>
        <v>320252640082009438</v>
      </c>
      <c r="M1565">
        <v>64100</v>
      </c>
    </row>
    <row r="1566" spans="1:13" x14ac:dyDescent="0.4">
      <c r="A1566" s="1">
        <v>45921</v>
      </c>
      <c r="B1566" t="s">
        <v>4683</v>
      </c>
      <c r="C1566" t="s">
        <v>5388</v>
      </c>
      <c r="D1566">
        <v>54820</v>
      </c>
      <c r="E1566" t="s">
        <v>276</v>
      </c>
      <c r="F1566">
        <v>19.989999999999998</v>
      </c>
      <c r="G1566" t="s">
        <v>4686</v>
      </c>
      <c r="H1566" t="s">
        <v>4687</v>
      </c>
      <c r="I1566">
        <v>25892</v>
      </c>
      <c r="J1566">
        <v>52906</v>
      </c>
      <c r="K1566" t="s">
        <v>278</v>
      </c>
      <c r="L1566" t="str">
        <f>SUBSTITUTE(K1566,"'","")</f>
        <v>320252640082058753</v>
      </c>
      <c r="M1566">
        <v>54820</v>
      </c>
    </row>
    <row r="1567" spans="1:13" x14ac:dyDescent="0.4">
      <c r="A1567" s="1">
        <v>45921</v>
      </c>
      <c r="B1567" t="s">
        <v>4683</v>
      </c>
      <c r="C1567" t="s">
        <v>6382</v>
      </c>
      <c r="D1567">
        <v>64200</v>
      </c>
      <c r="E1567" t="s">
        <v>279</v>
      </c>
      <c r="F1567">
        <v>10</v>
      </c>
      <c r="G1567" t="s">
        <v>4686</v>
      </c>
      <c r="H1567" t="s">
        <v>4687</v>
      </c>
      <c r="I1567">
        <v>26104</v>
      </c>
      <c r="J1567">
        <v>53330</v>
      </c>
      <c r="K1567" t="s">
        <v>283</v>
      </c>
      <c r="L1567" t="str">
        <f>SUBSTITUTE(K1567,"'","")</f>
        <v>320252650101730980</v>
      </c>
      <c r="M1567">
        <v>64200</v>
      </c>
    </row>
    <row r="1568" spans="1:13" x14ac:dyDescent="0.4">
      <c r="A1568" s="1">
        <v>45922</v>
      </c>
      <c r="B1568" t="s">
        <v>4683</v>
      </c>
      <c r="C1568" t="s">
        <v>5393</v>
      </c>
      <c r="D1568">
        <v>54820</v>
      </c>
      <c r="E1568" t="s">
        <v>2512</v>
      </c>
      <c r="F1568">
        <v>10.7</v>
      </c>
      <c r="G1568" t="s">
        <v>4686</v>
      </c>
      <c r="H1568" t="s">
        <v>4687</v>
      </c>
      <c r="I1568">
        <v>27074</v>
      </c>
      <c r="J1568">
        <v>55270</v>
      </c>
      <c r="K1568" t="s">
        <v>2514</v>
      </c>
      <c r="L1568" t="str">
        <f>SUBSTITUTE(K1568,"'","")</f>
        <v>320252650086588608</v>
      </c>
      <c r="M1568">
        <v>54820</v>
      </c>
    </row>
    <row r="1569" spans="1:13" x14ac:dyDescent="0.4">
      <c r="A1569" s="1">
        <v>45922</v>
      </c>
      <c r="B1569" t="s">
        <v>4683</v>
      </c>
      <c r="C1569" t="s">
        <v>5392</v>
      </c>
      <c r="D1569">
        <v>54820</v>
      </c>
      <c r="E1569" t="s">
        <v>2285</v>
      </c>
      <c r="F1569">
        <v>1.06</v>
      </c>
      <c r="G1569" t="s">
        <v>4686</v>
      </c>
      <c r="H1569" t="s">
        <v>4687</v>
      </c>
      <c r="I1569">
        <v>26842</v>
      </c>
      <c r="J1569">
        <v>54806</v>
      </c>
      <c r="K1569" t="s">
        <v>2511</v>
      </c>
      <c r="L1569" t="str">
        <f>SUBSTITUTE(K1569,"'","")</f>
        <v>320252650086610655</v>
      </c>
      <c r="M1569">
        <v>54820</v>
      </c>
    </row>
    <row r="1570" spans="1:13" x14ac:dyDescent="0.4">
      <c r="A1570" s="1">
        <v>45922</v>
      </c>
      <c r="B1570" t="s">
        <v>4683</v>
      </c>
      <c r="C1570" t="s">
        <v>5390</v>
      </c>
      <c r="D1570">
        <v>54820</v>
      </c>
      <c r="E1570" t="s">
        <v>273</v>
      </c>
      <c r="F1570">
        <v>3.99</v>
      </c>
      <c r="G1570" t="s">
        <v>4686</v>
      </c>
      <c r="H1570" t="s">
        <v>4687</v>
      </c>
      <c r="I1570">
        <v>25893</v>
      </c>
      <c r="J1570">
        <v>52908</v>
      </c>
      <c r="K1570" t="s">
        <v>275</v>
      </c>
      <c r="L1570" t="str">
        <f>SUBSTITUTE(K1570,"'","")</f>
        <v>320252650086661015</v>
      </c>
      <c r="M1570">
        <v>54820</v>
      </c>
    </row>
    <row r="1571" spans="1:13" x14ac:dyDescent="0.4">
      <c r="A1571" s="1">
        <v>45922</v>
      </c>
      <c r="B1571" t="s">
        <v>4683</v>
      </c>
      <c r="C1571" t="s">
        <v>6321</v>
      </c>
      <c r="D1571">
        <v>64100</v>
      </c>
      <c r="E1571" t="s">
        <v>32</v>
      </c>
      <c r="F1571">
        <v>21.4</v>
      </c>
      <c r="G1571" t="s">
        <v>4686</v>
      </c>
      <c r="H1571" t="s">
        <v>4687</v>
      </c>
      <c r="I1571">
        <v>25567</v>
      </c>
      <c r="J1571">
        <v>52256</v>
      </c>
      <c r="K1571" t="s">
        <v>272</v>
      </c>
      <c r="L1571" t="str">
        <f>SUBSTITUTE(K1571,"'","")</f>
        <v>320252650091566571</v>
      </c>
      <c r="M1571">
        <v>64100</v>
      </c>
    </row>
    <row r="1572" spans="1:13" x14ac:dyDescent="0.4">
      <c r="A1572" s="1">
        <v>45922</v>
      </c>
      <c r="B1572" t="s">
        <v>4683</v>
      </c>
      <c r="C1572" t="s">
        <v>5391</v>
      </c>
      <c r="D1572">
        <v>54820</v>
      </c>
      <c r="E1572" t="s">
        <v>583</v>
      </c>
      <c r="F1572">
        <v>138.85</v>
      </c>
      <c r="G1572" t="s">
        <v>4686</v>
      </c>
      <c r="H1572" t="s">
        <v>4687</v>
      </c>
      <c r="I1572">
        <v>26799</v>
      </c>
      <c r="J1572">
        <v>54720</v>
      </c>
      <c r="K1572" t="s">
        <v>2518</v>
      </c>
      <c r="L1572" t="str">
        <f>SUBSTITUTE(K1572,"'","")</f>
        <v>320252650092566544</v>
      </c>
      <c r="M1572">
        <v>54820</v>
      </c>
    </row>
    <row r="1573" spans="1:13" x14ac:dyDescent="0.4">
      <c r="A1573" s="1">
        <v>45922</v>
      </c>
      <c r="B1573" t="s">
        <v>4683</v>
      </c>
      <c r="C1573" t="s">
        <v>6322</v>
      </c>
      <c r="D1573">
        <v>64100</v>
      </c>
      <c r="E1573" t="s">
        <v>2072</v>
      </c>
      <c r="F1573">
        <v>42.8</v>
      </c>
      <c r="G1573" t="s">
        <v>4686</v>
      </c>
      <c r="H1573" t="s">
        <v>4687</v>
      </c>
      <c r="I1573">
        <v>26920</v>
      </c>
      <c r="J1573">
        <v>54962</v>
      </c>
      <c r="K1573" t="s">
        <v>2516</v>
      </c>
      <c r="L1573" t="str">
        <f>SUBSTITUTE(K1573,"'","")</f>
        <v>320252660134083790</v>
      </c>
      <c r="M1573">
        <v>64100</v>
      </c>
    </row>
    <row r="1574" spans="1:13" x14ac:dyDescent="0.4">
      <c r="A1574" s="1">
        <v>45923</v>
      </c>
      <c r="B1574" t="s">
        <v>4683</v>
      </c>
      <c r="C1574" t="s">
        <v>5394</v>
      </c>
      <c r="D1574">
        <v>54820</v>
      </c>
      <c r="E1574" t="s">
        <v>268</v>
      </c>
      <c r="F1574">
        <v>3.79</v>
      </c>
      <c r="G1574" t="s">
        <v>4686</v>
      </c>
      <c r="H1574" t="s">
        <v>4687</v>
      </c>
      <c r="I1574">
        <v>25894</v>
      </c>
      <c r="J1574">
        <v>52910</v>
      </c>
      <c r="K1574" t="s">
        <v>270</v>
      </c>
      <c r="L1574" t="str">
        <f>SUBSTITUTE(K1574,"'","")</f>
        <v>320252660113673751</v>
      </c>
      <c r="M1574">
        <v>54820</v>
      </c>
    </row>
    <row r="1575" spans="1:13" x14ac:dyDescent="0.4">
      <c r="A1575" s="1">
        <v>45923</v>
      </c>
      <c r="B1575" t="s">
        <v>4683</v>
      </c>
      <c r="C1575" t="s">
        <v>5398</v>
      </c>
      <c r="D1575">
        <v>54820</v>
      </c>
      <c r="E1575" t="s">
        <v>2190</v>
      </c>
      <c r="F1575">
        <v>9.44</v>
      </c>
      <c r="G1575" t="s">
        <v>4686</v>
      </c>
      <c r="H1575" t="s">
        <v>4687</v>
      </c>
      <c r="I1575">
        <v>27075</v>
      </c>
      <c r="J1575">
        <v>55272</v>
      </c>
      <c r="K1575" t="s">
        <v>2503</v>
      </c>
      <c r="L1575" t="str">
        <f>SUBSTITUTE(K1575,"'","")</f>
        <v>320252660119025321</v>
      </c>
      <c r="M1575">
        <v>54820</v>
      </c>
    </row>
    <row r="1576" spans="1:13" x14ac:dyDescent="0.4">
      <c r="A1576" s="1">
        <v>45923</v>
      </c>
      <c r="B1576" t="s">
        <v>4683</v>
      </c>
      <c r="C1576" t="s">
        <v>5397</v>
      </c>
      <c r="D1576">
        <v>54820</v>
      </c>
      <c r="E1576" t="s">
        <v>2085</v>
      </c>
      <c r="F1576">
        <v>40.39</v>
      </c>
      <c r="G1576" t="s">
        <v>4686</v>
      </c>
      <c r="H1576" t="s">
        <v>4687</v>
      </c>
      <c r="I1576">
        <v>26712</v>
      </c>
      <c r="J1576">
        <v>54546</v>
      </c>
      <c r="K1576" t="s">
        <v>2505</v>
      </c>
      <c r="L1576" t="str">
        <f>SUBSTITUTE(K1576,"'","")</f>
        <v>320252670154652324</v>
      </c>
      <c r="M1576">
        <v>54820</v>
      </c>
    </row>
    <row r="1577" spans="1:13" x14ac:dyDescent="0.4">
      <c r="A1577" s="1">
        <v>45923</v>
      </c>
      <c r="B1577" t="s">
        <v>4683</v>
      </c>
      <c r="C1577" t="s">
        <v>6323</v>
      </c>
      <c r="D1577">
        <v>64100</v>
      </c>
      <c r="E1577" t="s">
        <v>2506</v>
      </c>
      <c r="F1577">
        <v>372.36</v>
      </c>
      <c r="G1577" t="s">
        <v>4686</v>
      </c>
      <c r="H1577" t="s">
        <v>4687</v>
      </c>
      <c r="I1577">
        <v>26729</v>
      </c>
      <c r="J1577">
        <v>54580</v>
      </c>
      <c r="K1577" t="s">
        <v>2509</v>
      </c>
      <c r="L1577" t="str">
        <f>SUBSTITUTE(K1577,"'","")</f>
        <v>320252670157823228</v>
      </c>
      <c r="M1577">
        <v>64100</v>
      </c>
    </row>
    <row r="1578" spans="1:13" x14ac:dyDescent="0.4">
      <c r="A1578" s="1">
        <v>45923</v>
      </c>
      <c r="B1578" t="s">
        <v>4683</v>
      </c>
      <c r="C1578" t="s">
        <v>5396</v>
      </c>
      <c r="D1578">
        <v>54820</v>
      </c>
      <c r="E1578" t="s">
        <v>977</v>
      </c>
      <c r="F1578">
        <v>20</v>
      </c>
      <c r="G1578" t="s">
        <v>4686</v>
      </c>
      <c r="H1578" t="s">
        <v>4687</v>
      </c>
      <c r="I1578">
        <v>26509</v>
      </c>
      <c r="J1578">
        <v>54140</v>
      </c>
      <c r="K1578" t="s">
        <v>2501</v>
      </c>
      <c r="L1578" t="str">
        <f>SUBSTITUTE(K1578,"'","")</f>
        <v>320252670161350003</v>
      </c>
      <c r="M1578">
        <v>54820</v>
      </c>
    </row>
    <row r="1579" spans="1:13" x14ac:dyDescent="0.4">
      <c r="A1579" s="1">
        <v>45923</v>
      </c>
      <c r="B1579" t="s">
        <v>4683</v>
      </c>
      <c r="C1579" t="s">
        <v>5395</v>
      </c>
      <c r="D1579">
        <v>54820</v>
      </c>
      <c r="E1579" t="s">
        <v>977</v>
      </c>
      <c r="F1579">
        <v>10</v>
      </c>
      <c r="G1579" t="s">
        <v>4686</v>
      </c>
      <c r="H1579" t="s">
        <v>4687</v>
      </c>
      <c r="I1579">
        <v>26508</v>
      </c>
      <c r="J1579">
        <v>54138</v>
      </c>
      <c r="K1579" t="s">
        <v>2500</v>
      </c>
      <c r="L1579" t="str">
        <f>SUBSTITUTE(K1579,"'","")</f>
        <v>320252670161351124</v>
      </c>
      <c r="M1579">
        <v>54820</v>
      </c>
    </row>
    <row r="1580" spans="1:13" x14ac:dyDescent="0.4">
      <c r="A1580" s="1">
        <v>45924</v>
      </c>
      <c r="B1580" t="s">
        <v>4683</v>
      </c>
      <c r="C1580" t="s">
        <v>6533</v>
      </c>
      <c r="D1580">
        <v>80100</v>
      </c>
      <c r="E1580" t="s">
        <v>19</v>
      </c>
      <c r="F1580">
        <v>218.07</v>
      </c>
      <c r="G1580" t="s">
        <v>4686</v>
      </c>
      <c r="H1580" t="s">
        <v>4687</v>
      </c>
      <c r="I1580">
        <v>25911</v>
      </c>
      <c r="J1580">
        <v>52944</v>
      </c>
      <c r="K1580" t="s">
        <v>267</v>
      </c>
      <c r="L1580" t="str">
        <f>SUBSTITUTE(K1580,"'","")</f>
        <v>150925060000036487</v>
      </c>
      <c r="M1580">
        <v>80100</v>
      </c>
    </row>
    <row r="1581" spans="1:13" x14ac:dyDescent="0.4">
      <c r="A1581" s="1">
        <v>45924</v>
      </c>
      <c r="B1581" t="s">
        <v>4683</v>
      </c>
      <c r="C1581" t="s">
        <v>5401</v>
      </c>
      <c r="D1581">
        <v>54820</v>
      </c>
      <c r="E1581" t="s">
        <v>583</v>
      </c>
      <c r="F1581">
        <v>305.81</v>
      </c>
      <c r="G1581" t="s">
        <v>4686</v>
      </c>
      <c r="H1581" t="s">
        <v>4687</v>
      </c>
      <c r="I1581">
        <v>26801</v>
      </c>
      <c r="J1581">
        <v>54724</v>
      </c>
      <c r="K1581" t="s">
        <v>2496</v>
      </c>
      <c r="L1581" t="str">
        <f>SUBSTITUTE(K1581,"'","")</f>
        <v>320252670147125448</v>
      </c>
      <c r="M1581">
        <v>54820</v>
      </c>
    </row>
    <row r="1582" spans="1:13" x14ac:dyDescent="0.4">
      <c r="A1582" s="1">
        <v>45924</v>
      </c>
      <c r="B1582" t="s">
        <v>4683</v>
      </c>
      <c r="C1582" t="s">
        <v>5937</v>
      </c>
      <c r="D1582">
        <v>61131</v>
      </c>
      <c r="E1582" t="s">
        <v>27</v>
      </c>
      <c r="F1582">
        <v>5.93</v>
      </c>
      <c r="G1582" t="s">
        <v>4686</v>
      </c>
      <c r="H1582" t="s">
        <v>4687</v>
      </c>
      <c r="I1582">
        <v>25754</v>
      </c>
      <c r="J1582">
        <v>52630</v>
      </c>
      <c r="K1582" t="s">
        <v>266</v>
      </c>
      <c r="L1582" t="str">
        <f>SUBSTITUTE(K1582,"'","")</f>
        <v>320252680181511784</v>
      </c>
      <c r="M1582">
        <v>61131</v>
      </c>
    </row>
    <row r="1583" spans="1:13" x14ac:dyDescent="0.4">
      <c r="A1583" s="1">
        <v>45924</v>
      </c>
      <c r="B1583" t="s">
        <v>4683</v>
      </c>
      <c r="C1583" t="s">
        <v>5399</v>
      </c>
      <c r="D1583">
        <v>54820</v>
      </c>
      <c r="E1583" t="s">
        <v>2240</v>
      </c>
      <c r="F1583">
        <v>75.900000000000006</v>
      </c>
      <c r="G1583" t="s">
        <v>4686</v>
      </c>
      <c r="H1583" t="s">
        <v>4687</v>
      </c>
      <c r="I1583">
        <v>26148</v>
      </c>
      <c r="J1583">
        <v>53418</v>
      </c>
      <c r="K1583" t="s">
        <v>2498</v>
      </c>
      <c r="L1583" t="str">
        <f>SUBSTITUTE(K1583,"'","")</f>
        <v>320252680185371608</v>
      </c>
      <c r="M1583">
        <v>54820</v>
      </c>
    </row>
    <row r="1584" spans="1:13" x14ac:dyDescent="0.4">
      <c r="A1584" s="1">
        <v>45924</v>
      </c>
      <c r="B1584" t="s">
        <v>4683</v>
      </c>
      <c r="C1584" t="s">
        <v>5402</v>
      </c>
      <c r="D1584">
        <v>54820</v>
      </c>
      <c r="E1584" t="s">
        <v>2418</v>
      </c>
      <c r="F1584">
        <v>3.15</v>
      </c>
      <c r="G1584" t="s">
        <v>4686</v>
      </c>
      <c r="H1584" t="s">
        <v>4687</v>
      </c>
      <c r="I1584">
        <v>27076</v>
      </c>
      <c r="J1584">
        <v>55274</v>
      </c>
      <c r="K1584" t="s">
        <v>2489</v>
      </c>
      <c r="L1584" t="str">
        <f>SUBSTITUTE(K1584,"'","")</f>
        <v>320252680188181477</v>
      </c>
      <c r="M1584">
        <v>54820</v>
      </c>
    </row>
    <row r="1585" spans="1:13" x14ac:dyDescent="0.4">
      <c r="A1585" s="1">
        <v>45924</v>
      </c>
      <c r="B1585" t="s">
        <v>4683</v>
      </c>
      <c r="C1585" t="s">
        <v>5400</v>
      </c>
      <c r="D1585">
        <v>54820</v>
      </c>
      <c r="E1585" t="s">
        <v>2490</v>
      </c>
      <c r="F1585">
        <v>8.17</v>
      </c>
      <c r="G1585" t="s">
        <v>4686</v>
      </c>
      <c r="H1585" t="s">
        <v>4687</v>
      </c>
      <c r="I1585">
        <v>26800</v>
      </c>
      <c r="J1585">
        <v>54722</v>
      </c>
      <c r="K1585" t="s">
        <v>2494</v>
      </c>
      <c r="L1585" t="str">
        <f>SUBSTITUTE(K1585,"'","")</f>
        <v>320252680189772670</v>
      </c>
      <c r="M1585">
        <v>54820</v>
      </c>
    </row>
    <row r="1586" spans="1:13" x14ac:dyDescent="0.4">
      <c r="A1586" s="1">
        <v>45925</v>
      </c>
      <c r="B1586" t="s">
        <v>4683</v>
      </c>
      <c r="C1586" t="s">
        <v>6509</v>
      </c>
      <c r="D1586">
        <v>67500</v>
      </c>
      <c r="E1586" t="s">
        <v>106</v>
      </c>
      <c r="F1586">
        <v>42.5</v>
      </c>
      <c r="G1586" t="s">
        <v>4686</v>
      </c>
      <c r="H1586" t="s">
        <v>4687</v>
      </c>
      <c r="I1586">
        <v>25876</v>
      </c>
      <c r="J1586">
        <v>52874</v>
      </c>
      <c r="K1586" t="s">
        <v>264</v>
      </c>
      <c r="L1586" t="str">
        <f>SUBSTITUTE(K1586,"'","")</f>
        <v>320252680172559570</v>
      </c>
      <c r="M1586">
        <v>67500</v>
      </c>
    </row>
    <row r="1587" spans="1:13" x14ac:dyDescent="0.4">
      <c r="A1587" s="1">
        <v>45925</v>
      </c>
      <c r="B1587" t="s">
        <v>4683</v>
      </c>
      <c r="C1587" t="s">
        <v>5406</v>
      </c>
      <c r="D1587">
        <v>54820</v>
      </c>
      <c r="E1587" t="s">
        <v>2190</v>
      </c>
      <c r="F1587">
        <v>9.44</v>
      </c>
      <c r="G1587" t="s">
        <v>4686</v>
      </c>
      <c r="H1587" t="s">
        <v>4687</v>
      </c>
      <c r="I1587">
        <v>27078</v>
      </c>
      <c r="J1587">
        <v>55278</v>
      </c>
      <c r="K1587" t="s">
        <v>2478</v>
      </c>
      <c r="L1587" t="str">
        <f>SUBSTITUTE(K1587,"'","")</f>
        <v>320252680174933462</v>
      </c>
      <c r="M1587">
        <v>54820</v>
      </c>
    </row>
    <row r="1588" spans="1:13" x14ac:dyDescent="0.4">
      <c r="A1588" s="1">
        <v>45925</v>
      </c>
      <c r="B1588" t="s">
        <v>4683</v>
      </c>
      <c r="C1588" t="s">
        <v>5403</v>
      </c>
      <c r="D1588">
        <v>54820</v>
      </c>
      <c r="E1588" t="s">
        <v>2240</v>
      </c>
      <c r="F1588">
        <v>5.54</v>
      </c>
      <c r="G1588" t="s">
        <v>4686</v>
      </c>
      <c r="H1588" t="s">
        <v>4687</v>
      </c>
      <c r="I1588">
        <v>26149</v>
      </c>
      <c r="J1588">
        <v>53420</v>
      </c>
      <c r="K1588" t="s">
        <v>2487</v>
      </c>
      <c r="L1588" t="str">
        <f>SUBSTITUTE(K1588,"'","")</f>
        <v>320252690209465128</v>
      </c>
      <c r="M1588">
        <v>54820</v>
      </c>
    </row>
    <row r="1589" spans="1:13" x14ac:dyDescent="0.4">
      <c r="A1589" s="1">
        <v>45925</v>
      </c>
      <c r="B1589" t="s">
        <v>4683</v>
      </c>
      <c r="C1589" t="s">
        <v>5404</v>
      </c>
      <c r="D1589">
        <v>54820</v>
      </c>
      <c r="E1589" t="s">
        <v>2142</v>
      </c>
      <c r="F1589">
        <v>44</v>
      </c>
      <c r="G1589" t="s">
        <v>4686</v>
      </c>
      <c r="H1589" t="s">
        <v>4687</v>
      </c>
      <c r="I1589">
        <v>26609</v>
      </c>
      <c r="J1589">
        <v>54340</v>
      </c>
      <c r="K1589" t="s">
        <v>2476</v>
      </c>
      <c r="L1589" t="str">
        <f>SUBSTITUTE(K1589,"'","")</f>
        <v>320252690209505084</v>
      </c>
      <c r="M1589">
        <v>54820</v>
      </c>
    </row>
    <row r="1590" spans="1:13" x14ac:dyDescent="0.4">
      <c r="A1590" s="1">
        <v>45925</v>
      </c>
      <c r="B1590" t="s">
        <v>4683</v>
      </c>
      <c r="C1590" t="s">
        <v>5405</v>
      </c>
      <c r="D1590">
        <v>54820</v>
      </c>
      <c r="E1590" t="s">
        <v>2471</v>
      </c>
      <c r="F1590">
        <v>89.53</v>
      </c>
      <c r="G1590" t="s">
        <v>4686</v>
      </c>
      <c r="H1590" t="s">
        <v>4687</v>
      </c>
      <c r="I1590">
        <v>27077</v>
      </c>
      <c r="J1590">
        <v>55276</v>
      </c>
      <c r="K1590" t="s">
        <v>2474</v>
      </c>
      <c r="L1590" t="str">
        <f>SUBSTITUTE(K1590,"'","")</f>
        <v>320252690217217337</v>
      </c>
      <c r="M1590">
        <v>54820</v>
      </c>
    </row>
    <row r="1591" spans="1:13" x14ac:dyDescent="0.4">
      <c r="A1591" s="1">
        <v>45925</v>
      </c>
      <c r="B1591" t="s">
        <v>4683</v>
      </c>
      <c r="C1591" t="s">
        <v>5407</v>
      </c>
      <c r="D1591">
        <v>54820</v>
      </c>
      <c r="E1591" t="s">
        <v>2480</v>
      </c>
      <c r="F1591">
        <v>10.29</v>
      </c>
      <c r="G1591" t="s">
        <v>4686</v>
      </c>
      <c r="H1591" t="s">
        <v>4687</v>
      </c>
      <c r="I1591">
        <v>27079</v>
      </c>
      <c r="J1591">
        <v>55280</v>
      </c>
      <c r="K1591" t="s">
        <v>2483</v>
      </c>
      <c r="L1591" t="str">
        <f>SUBSTITUTE(K1591,"'","")</f>
        <v>320252710275622248</v>
      </c>
      <c r="M1591">
        <v>54820</v>
      </c>
    </row>
    <row r="1592" spans="1:13" x14ac:dyDescent="0.4">
      <c r="A1592" s="1">
        <v>45925</v>
      </c>
      <c r="B1592" t="s">
        <v>4683</v>
      </c>
      <c r="C1592" t="s">
        <v>5408</v>
      </c>
      <c r="D1592">
        <v>54820</v>
      </c>
      <c r="E1592" t="s">
        <v>2480</v>
      </c>
      <c r="F1592">
        <v>15.44</v>
      </c>
      <c r="G1592" t="s">
        <v>4686</v>
      </c>
      <c r="H1592" t="s">
        <v>4687</v>
      </c>
      <c r="I1592">
        <v>27080</v>
      </c>
      <c r="J1592">
        <v>55282</v>
      </c>
      <c r="K1592" t="s">
        <v>2485</v>
      </c>
      <c r="L1592" t="str">
        <f>SUBSTITUTE(K1592,"'","")</f>
        <v>320252710275622330</v>
      </c>
      <c r="M1592">
        <v>54820</v>
      </c>
    </row>
    <row r="1593" spans="1:13" x14ac:dyDescent="0.4">
      <c r="A1593" s="1">
        <v>45926</v>
      </c>
      <c r="B1593" t="s">
        <v>4683</v>
      </c>
      <c r="C1593" t="s">
        <v>5409</v>
      </c>
      <c r="D1593">
        <v>54820</v>
      </c>
      <c r="E1593" t="s">
        <v>257</v>
      </c>
      <c r="F1593">
        <v>10.99</v>
      </c>
      <c r="G1593" t="s">
        <v>4686</v>
      </c>
      <c r="H1593" t="s">
        <v>4687</v>
      </c>
      <c r="I1593">
        <v>25711</v>
      </c>
      <c r="J1593">
        <v>52544</v>
      </c>
      <c r="K1593" t="s">
        <v>259</v>
      </c>
      <c r="L1593" t="str">
        <f>SUBSTITUTE(K1593,"'","")</f>
        <v>320252690200517097</v>
      </c>
      <c r="M1593">
        <v>54820</v>
      </c>
    </row>
    <row r="1594" spans="1:13" x14ac:dyDescent="0.4">
      <c r="A1594" s="1">
        <v>45926</v>
      </c>
      <c r="B1594" t="s">
        <v>4683</v>
      </c>
      <c r="C1594" t="s">
        <v>6064</v>
      </c>
      <c r="D1594">
        <v>63100</v>
      </c>
      <c r="E1594" t="s">
        <v>260</v>
      </c>
      <c r="F1594">
        <v>52.58</v>
      </c>
      <c r="G1594" t="s">
        <v>4686</v>
      </c>
      <c r="H1594" t="s">
        <v>4687</v>
      </c>
      <c r="I1594">
        <v>25695</v>
      </c>
      <c r="J1594">
        <v>52512</v>
      </c>
      <c r="K1594" t="s">
        <v>262</v>
      </c>
      <c r="L1594" t="str">
        <f>SUBSTITUTE(K1594,"'","")</f>
        <v>320252700233705050</v>
      </c>
      <c r="M1594">
        <v>63100</v>
      </c>
    </row>
    <row r="1595" spans="1:13" x14ac:dyDescent="0.4">
      <c r="A1595" s="1">
        <v>45926</v>
      </c>
      <c r="B1595" t="s">
        <v>4683</v>
      </c>
      <c r="C1595" t="s">
        <v>5410</v>
      </c>
      <c r="D1595">
        <v>54820</v>
      </c>
      <c r="E1595" t="s">
        <v>2240</v>
      </c>
      <c r="F1595">
        <v>53.25</v>
      </c>
      <c r="G1595" t="s">
        <v>4686</v>
      </c>
      <c r="H1595" t="s">
        <v>4687</v>
      </c>
      <c r="I1595">
        <v>26150</v>
      </c>
      <c r="J1595">
        <v>53422</v>
      </c>
      <c r="K1595" t="s">
        <v>2470</v>
      </c>
      <c r="L1595" t="str">
        <f>SUBSTITUTE(K1595,"'","")</f>
        <v>320252700239791365</v>
      </c>
      <c r="M1595">
        <v>54820</v>
      </c>
    </row>
    <row r="1596" spans="1:13" x14ac:dyDescent="0.4">
      <c r="A1596" s="1">
        <v>45926</v>
      </c>
      <c r="B1596" t="s">
        <v>4683</v>
      </c>
      <c r="C1596" t="s">
        <v>6324</v>
      </c>
      <c r="D1596">
        <v>64100</v>
      </c>
      <c r="E1596" t="s">
        <v>1792</v>
      </c>
      <c r="F1596">
        <v>16.05</v>
      </c>
      <c r="G1596" t="s">
        <v>4686</v>
      </c>
      <c r="H1596" t="s">
        <v>4687</v>
      </c>
      <c r="I1596">
        <v>26414</v>
      </c>
      <c r="J1596">
        <v>53950</v>
      </c>
      <c r="K1596" t="s">
        <v>2468</v>
      </c>
      <c r="L1596" t="str">
        <f>SUBSTITUTE(K1596,"'","")</f>
        <v>320252700249609166</v>
      </c>
      <c r="M1596">
        <v>64100</v>
      </c>
    </row>
    <row r="1597" spans="1:13" x14ac:dyDescent="0.4">
      <c r="A1597" s="1">
        <v>45927</v>
      </c>
      <c r="B1597" t="s">
        <v>4683</v>
      </c>
      <c r="C1597" t="s">
        <v>5411</v>
      </c>
      <c r="D1597">
        <v>54820</v>
      </c>
      <c r="E1597" t="s">
        <v>254</v>
      </c>
      <c r="F1597">
        <v>19.989999999999998</v>
      </c>
      <c r="G1597" t="s">
        <v>4686</v>
      </c>
      <c r="H1597" t="s">
        <v>4687</v>
      </c>
      <c r="I1597">
        <v>25895</v>
      </c>
      <c r="J1597">
        <v>52912</v>
      </c>
      <c r="K1597" t="s">
        <v>256</v>
      </c>
      <c r="L1597" t="str">
        <f>SUBSTITUTE(K1597,"'","")</f>
        <v>320252700225613104</v>
      </c>
      <c r="M1597">
        <v>54820</v>
      </c>
    </row>
    <row r="1598" spans="1:13" x14ac:dyDescent="0.4">
      <c r="A1598" s="1">
        <v>45927</v>
      </c>
      <c r="B1598" t="s">
        <v>4683</v>
      </c>
      <c r="C1598" t="s">
        <v>6510</v>
      </c>
      <c r="D1598">
        <v>67500</v>
      </c>
      <c r="E1598" t="s">
        <v>106</v>
      </c>
      <c r="F1598">
        <v>33.25</v>
      </c>
      <c r="G1598" t="s">
        <v>4686</v>
      </c>
      <c r="H1598" t="s">
        <v>4687</v>
      </c>
      <c r="I1598">
        <v>26381</v>
      </c>
      <c r="J1598">
        <v>53884</v>
      </c>
      <c r="K1598" t="s">
        <v>2466</v>
      </c>
      <c r="L1598" t="str">
        <f>SUBSTITUTE(K1598,"'","")</f>
        <v>320252700234457231</v>
      </c>
      <c r="M1598">
        <v>67500</v>
      </c>
    </row>
    <row r="1599" spans="1:13" x14ac:dyDescent="0.4">
      <c r="A1599" s="1">
        <v>45927</v>
      </c>
      <c r="B1599" t="s">
        <v>4683</v>
      </c>
      <c r="C1599" t="s">
        <v>5959</v>
      </c>
      <c r="D1599">
        <v>61133</v>
      </c>
      <c r="E1599" t="s">
        <v>2458</v>
      </c>
      <c r="F1599">
        <v>2.9</v>
      </c>
      <c r="G1599" t="s">
        <v>4686</v>
      </c>
      <c r="H1599" t="s">
        <v>4687</v>
      </c>
      <c r="I1599">
        <v>26693</v>
      </c>
      <c r="J1599">
        <v>54508</v>
      </c>
      <c r="K1599" t="s">
        <v>2461</v>
      </c>
      <c r="L1599" t="str">
        <f>SUBSTITUTE(K1599,"'","")</f>
        <v>320252710266309968</v>
      </c>
      <c r="M1599">
        <v>61133</v>
      </c>
    </row>
    <row r="1600" spans="1:13" x14ac:dyDescent="0.4">
      <c r="A1600" s="1">
        <v>45927</v>
      </c>
      <c r="B1600" t="s">
        <v>4683</v>
      </c>
      <c r="C1600" t="s">
        <v>5960</v>
      </c>
      <c r="D1600">
        <v>61133</v>
      </c>
      <c r="E1600" t="s">
        <v>2458</v>
      </c>
      <c r="F1600">
        <v>2.9</v>
      </c>
      <c r="G1600" t="s">
        <v>4686</v>
      </c>
      <c r="H1600" t="s">
        <v>4687</v>
      </c>
      <c r="I1600">
        <v>26694</v>
      </c>
      <c r="J1600">
        <v>54510</v>
      </c>
      <c r="K1600" t="s">
        <v>2464</v>
      </c>
      <c r="L1600" t="str">
        <f>SUBSTITUTE(K1600,"'","")</f>
        <v>320252710267181662</v>
      </c>
      <c r="M1600">
        <v>61133</v>
      </c>
    </row>
    <row r="1601" spans="1:13" x14ac:dyDescent="0.4">
      <c r="A1601" s="1">
        <v>45928</v>
      </c>
      <c r="B1601" t="s">
        <v>4683</v>
      </c>
      <c r="C1601" t="s">
        <v>5413</v>
      </c>
      <c r="D1601">
        <v>54820</v>
      </c>
      <c r="E1601" t="s">
        <v>2448</v>
      </c>
      <c r="F1601">
        <v>39.35</v>
      </c>
      <c r="G1601" t="s">
        <v>4686</v>
      </c>
      <c r="H1601" t="s">
        <v>4687</v>
      </c>
      <c r="I1601">
        <v>27081</v>
      </c>
      <c r="J1601">
        <v>55284</v>
      </c>
      <c r="K1601" t="s">
        <v>2451</v>
      </c>
      <c r="L1601" t="str">
        <f>SUBSTITUTE(K1601,"'","")</f>
        <v>320252710256654828</v>
      </c>
      <c r="M1601">
        <v>54820</v>
      </c>
    </row>
    <row r="1602" spans="1:13" x14ac:dyDescent="0.4">
      <c r="A1602" s="1">
        <v>45928</v>
      </c>
      <c r="B1602" t="s">
        <v>4683</v>
      </c>
      <c r="C1602" t="s">
        <v>5414</v>
      </c>
      <c r="D1602">
        <v>54820</v>
      </c>
      <c r="E1602" t="s">
        <v>2452</v>
      </c>
      <c r="F1602">
        <v>135.19999999999999</v>
      </c>
      <c r="G1602" t="s">
        <v>4686</v>
      </c>
      <c r="H1602" t="s">
        <v>4687</v>
      </c>
      <c r="I1602">
        <v>27082</v>
      </c>
      <c r="J1602">
        <v>55286</v>
      </c>
      <c r="K1602" t="s">
        <v>2455</v>
      </c>
      <c r="L1602" t="str">
        <f>SUBSTITUTE(K1602,"'","")</f>
        <v>320252710260826954</v>
      </c>
      <c r="M1602">
        <v>54820</v>
      </c>
    </row>
    <row r="1603" spans="1:13" x14ac:dyDescent="0.4">
      <c r="A1603" s="1">
        <v>45928</v>
      </c>
      <c r="B1603" t="s">
        <v>4683</v>
      </c>
      <c r="C1603" t="s">
        <v>5412</v>
      </c>
      <c r="D1603">
        <v>54820</v>
      </c>
      <c r="E1603" t="s">
        <v>583</v>
      </c>
      <c r="F1603">
        <v>54.02</v>
      </c>
      <c r="G1603" t="s">
        <v>4686</v>
      </c>
      <c r="H1603" t="s">
        <v>4687</v>
      </c>
      <c r="I1603">
        <v>26802</v>
      </c>
      <c r="J1603">
        <v>54726</v>
      </c>
      <c r="K1603" t="s">
        <v>2457</v>
      </c>
      <c r="L1603" t="str">
        <f>SUBSTITUTE(K1603,"'","")</f>
        <v>320252710262346108</v>
      </c>
      <c r="M1603">
        <v>54820</v>
      </c>
    </row>
    <row r="1604" spans="1:13" x14ac:dyDescent="0.4">
      <c r="A1604" s="1">
        <v>45928</v>
      </c>
      <c r="B1604" t="s">
        <v>4683</v>
      </c>
      <c r="C1604" t="s">
        <v>5938</v>
      </c>
      <c r="D1604">
        <v>61131</v>
      </c>
      <c r="E1604" t="s">
        <v>75</v>
      </c>
      <c r="F1604">
        <v>5.44</v>
      </c>
      <c r="G1604" t="s">
        <v>4686</v>
      </c>
      <c r="H1604" t="s">
        <v>4687</v>
      </c>
      <c r="I1604">
        <v>25755</v>
      </c>
      <c r="J1604">
        <v>52632</v>
      </c>
      <c r="K1604" t="s">
        <v>250</v>
      </c>
      <c r="L1604" t="str">
        <f>SUBSTITUTE(K1604,"'","")</f>
        <v>320252720294727886</v>
      </c>
      <c r="M1604">
        <v>61131</v>
      </c>
    </row>
    <row r="1605" spans="1:13" x14ac:dyDescent="0.4">
      <c r="A1605" s="1">
        <v>45928</v>
      </c>
      <c r="B1605" t="s">
        <v>4683</v>
      </c>
      <c r="C1605" t="s">
        <v>6065</v>
      </c>
      <c r="D1605">
        <v>63100</v>
      </c>
      <c r="E1605" t="s">
        <v>57</v>
      </c>
      <c r="F1605">
        <v>71.400000000000006</v>
      </c>
      <c r="G1605" t="s">
        <v>4686</v>
      </c>
      <c r="H1605" t="s">
        <v>4687</v>
      </c>
      <c r="I1605">
        <v>25668</v>
      </c>
      <c r="J1605">
        <v>52458</v>
      </c>
      <c r="K1605" t="s">
        <v>253</v>
      </c>
      <c r="L1605" t="str">
        <f>SUBSTITUTE(K1605,"'","")</f>
        <v>320252720304988588</v>
      </c>
      <c r="M1605">
        <v>63100</v>
      </c>
    </row>
    <row r="1606" spans="1:13" x14ac:dyDescent="0.4">
      <c r="A1606" s="1">
        <v>45929</v>
      </c>
      <c r="B1606" t="s">
        <v>4683</v>
      </c>
      <c r="C1606" t="s">
        <v>5417</v>
      </c>
      <c r="D1606">
        <v>54820</v>
      </c>
      <c r="E1606" t="s">
        <v>2442</v>
      </c>
      <c r="F1606">
        <v>66.86</v>
      </c>
      <c r="G1606" t="s">
        <v>4686</v>
      </c>
      <c r="H1606" t="s">
        <v>4687</v>
      </c>
      <c r="I1606">
        <v>27084</v>
      </c>
      <c r="J1606">
        <v>55290</v>
      </c>
      <c r="K1606" t="s">
        <v>2445</v>
      </c>
      <c r="L1606" t="str">
        <f>SUBSTITUTE(K1606,"'","")</f>
        <v>320252720282827104</v>
      </c>
      <c r="M1606">
        <v>54820</v>
      </c>
    </row>
    <row r="1607" spans="1:13" x14ac:dyDescent="0.4">
      <c r="A1607" s="1">
        <v>45929</v>
      </c>
      <c r="B1607" t="s">
        <v>4683</v>
      </c>
      <c r="C1607" t="s">
        <v>5416</v>
      </c>
      <c r="D1607">
        <v>54820</v>
      </c>
      <c r="E1607" t="s">
        <v>2408</v>
      </c>
      <c r="F1607">
        <v>45</v>
      </c>
      <c r="G1607" t="s">
        <v>4686</v>
      </c>
      <c r="H1607" t="s">
        <v>4687</v>
      </c>
      <c r="I1607">
        <v>27083</v>
      </c>
      <c r="J1607">
        <v>55288</v>
      </c>
      <c r="K1607" t="s">
        <v>2441</v>
      </c>
      <c r="L1607" t="str">
        <f>SUBSTITUTE(K1607,"'","")</f>
        <v>320252720285292612</v>
      </c>
      <c r="M1607">
        <v>54820</v>
      </c>
    </row>
    <row r="1608" spans="1:13" x14ac:dyDescent="0.4">
      <c r="A1608" s="1">
        <v>45929</v>
      </c>
      <c r="B1608" t="s">
        <v>4683</v>
      </c>
      <c r="C1608" t="s">
        <v>5554</v>
      </c>
      <c r="D1608">
        <v>61110</v>
      </c>
      <c r="E1608" t="s">
        <v>44</v>
      </c>
      <c r="F1608">
        <v>863.54</v>
      </c>
      <c r="G1608" t="s">
        <v>4686</v>
      </c>
      <c r="H1608" t="s">
        <v>4687</v>
      </c>
      <c r="I1608">
        <v>25916</v>
      </c>
      <c r="J1608">
        <v>52954</v>
      </c>
      <c r="K1608" t="s">
        <v>246</v>
      </c>
      <c r="L1608" t="str">
        <f>SUBSTITUTE(K1608,"'","")</f>
        <v>320252720292223020</v>
      </c>
      <c r="M1608">
        <v>61110</v>
      </c>
    </row>
    <row r="1609" spans="1:13" x14ac:dyDescent="0.4">
      <c r="A1609" s="1">
        <v>45929</v>
      </c>
      <c r="B1609" t="s">
        <v>4683</v>
      </c>
      <c r="C1609" t="s">
        <v>5415</v>
      </c>
      <c r="D1609">
        <v>54820</v>
      </c>
      <c r="E1609" t="s">
        <v>2240</v>
      </c>
      <c r="F1609">
        <v>73.81</v>
      </c>
      <c r="G1609" t="s">
        <v>4686</v>
      </c>
      <c r="H1609" t="s">
        <v>4687</v>
      </c>
      <c r="I1609">
        <v>26151</v>
      </c>
      <c r="J1609">
        <v>53424</v>
      </c>
      <c r="K1609" t="s">
        <v>2447</v>
      </c>
      <c r="L1609" t="str">
        <f>SUBSTITUTE(K1609,"'","")</f>
        <v>320252730322791127</v>
      </c>
      <c r="M1609">
        <v>54820</v>
      </c>
    </row>
    <row r="1610" spans="1:13" x14ac:dyDescent="0.4">
      <c r="A1610" s="1">
        <v>45929</v>
      </c>
      <c r="B1610" t="s">
        <v>4683</v>
      </c>
      <c r="C1610" t="s">
        <v>5939</v>
      </c>
      <c r="D1610">
        <v>61131</v>
      </c>
      <c r="E1610" t="s">
        <v>38</v>
      </c>
      <c r="F1610">
        <v>944.48</v>
      </c>
      <c r="G1610" t="s">
        <v>4686</v>
      </c>
      <c r="H1610" t="s">
        <v>4687</v>
      </c>
      <c r="I1610">
        <v>25637</v>
      </c>
      <c r="J1610">
        <v>52396</v>
      </c>
      <c r="K1610" t="s">
        <v>248</v>
      </c>
      <c r="L1610" t="str">
        <f>SUBSTITUTE(K1610,"'","")</f>
        <v>320252730325207529</v>
      </c>
      <c r="M1610">
        <v>61131</v>
      </c>
    </row>
    <row r="1611" spans="1:13" x14ac:dyDescent="0.4">
      <c r="A1611" s="1">
        <v>45929</v>
      </c>
      <c r="B1611" t="s">
        <v>4683</v>
      </c>
      <c r="C1611" t="s">
        <v>6325</v>
      </c>
      <c r="D1611">
        <v>64100</v>
      </c>
      <c r="E1611" t="s">
        <v>241</v>
      </c>
      <c r="F1611">
        <v>107</v>
      </c>
      <c r="G1611" t="s">
        <v>4686</v>
      </c>
      <c r="H1611" t="s">
        <v>4687</v>
      </c>
      <c r="I1611">
        <v>26090</v>
      </c>
      <c r="J1611">
        <v>53302</v>
      </c>
      <c r="K1611" t="s">
        <v>244</v>
      </c>
      <c r="L1611" t="str">
        <f>SUBSTITUTE(K1611,"'","")</f>
        <v>320252730329025104</v>
      </c>
      <c r="M1611">
        <v>64100</v>
      </c>
    </row>
    <row r="1612" spans="1:13" x14ac:dyDescent="0.4">
      <c r="A1612" s="1">
        <v>45930</v>
      </c>
      <c r="B1612" t="s">
        <v>4683</v>
      </c>
      <c r="C1612" t="s">
        <v>6511</v>
      </c>
      <c r="D1612">
        <v>67500</v>
      </c>
      <c r="E1612" t="s">
        <v>106</v>
      </c>
      <c r="F1612">
        <v>32.090000000000003</v>
      </c>
      <c r="G1612" t="s">
        <v>4686</v>
      </c>
      <c r="H1612" t="s">
        <v>4687</v>
      </c>
      <c r="I1612">
        <v>26382</v>
      </c>
      <c r="J1612">
        <v>53886</v>
      </c>
      <c r="K1612" t="s">
        <v>2437</v>
      </c>
      <c r="L1612" t="str">
        <f>SUBSTITUTE(K1612,"'","")</f>
        <v>320252730312314686</v>
      </c>
      <c r="M1612">
        <v>67500</v>
      </c>
    </row>
    <row r="1613" spans="1:13" x14ac:dyDescent="0.4">
      <c r="A1613" s="1">
        <v>45930</v>
      </c>
      <c r="B1613" t="s">
        <v>4683</v>
      </c>
      <c r="C1613" t="s">
        <v>5419</v>
      </c>
      <c r="D1613">
        <v>54820</v>
      </c>
      <c r="E1613" t="s">
        <v>2190</v>
      </c>
      <c r="F1613">
        <v>9.44</v>
      </c>
      <c r="G1613" t="s">
        <v>4686</v>
      </c>
      <c r="H1613" t="s">
        <v>4687</v>
      </c>
      <c r="I1613">
        <v>27085</v>
      </c>
      <c r="J1613">
        <v>55292</v>
      </c>
      <c r="K1613" t="s">
        <v>2435</v>
      </c>
      <c r="L1613" t="str">
        <f>SUBSTITUTE(K1613,"'","")</f>
        <v>320252730316364140</v>
      </c>
      <c r="M1613">
        <v>54820</v>
      </c>
    </row>
    <row r="1614" spans="1:13" x14ac:dyDescent="0.4">
      <c r="A1614" s="1">
        <v>45930</v>
      </c>
      <c r="B1614" t="s">
        <v>4683</v>
      </c>
      <c r="C1614" t="s">
        <v>5418</v>
      </c>
      <c r="D1614">
        <v>54820</v>
      </c>
      <c r="E1614" t="s">
        <v>2240</v>
      </c>
      <c r="F1614">
        <v>42.31</v>
      </c>
      <c r="G1614" t="s">
        <v>4686</v>
      </c>
      <c r="H1614" t="s">
        <v>4687</v>
      </c>
      <c r="I1614">
        <v>26152</v>
      </c>
      <c r="J1614">
        <v>53426</v>
      </c>
      <c r="K1614" t="s">
        <v>2439</v>
      </c>
      <c r="L1614" t="str">
        <f>SUBSTITUTE(K1614,"'","")</f>
        <v>320252740352757330</v>
      </c>
      <c r="M1614">
        <v>54820</v>
      </c>
    </row>
    <row r="1615" spans="1:13" x14ac:dyDescent="0.4">
      <c r="A1615" s="1">
        <v>45931</v>
      </c>
      <c r="B1615" t="s">
        <v>4683</v>
      </c>
      <c r="C1615" t="s">
        <v>6368</v>
      </c>
      <c r="D1615">
        <v>64101</v>
      </c>
      <c r="E1615" t="s">
        <v>2429</v>
      </c>
      <c r="F1615">
        <v>665.84</v>
      </c>
      <c r="G1615" t="s">
        <v>4686</v>
      </c>
      <c r="H1615" t="s">
        <v>4687</v>
      </c>
      <c r="I1615">
        <v>26399</v>
      </c>
      <c r="J1615">
        <v>53920</v>
      </c>
      <c r="K1615" t="s">
        <v>2431</v>
      </c>
      <c r="L1615" t="str">
        <f>SUBSTITUTE(K1615,"'","")</f>
        <v>320252740337632256</v>
      </c>
      <c r="M1615">
        <v>64101</v>
      </c>
    </row>
    <row r="1616" spans="1:13" x14ac:dyDescent="0.4">
      <c r="A1616" s="1">
        <v>45931</v>
      </c>
      <c r="B1616" t="s">
        <v>4683</v>
      </c>
      <c r="C1616" t="s">
        <v>5421</v>
      </c>
      <c r="D1616">
        <v>54820</v>
      </c>
      <c r="E1616" t="s">
        <v>2425</v>
      </c>
      <c r="F1616">
        <v>333.16</v>
      </c>
      <c r="G1616" t="s">
        <v>4686</v>
      </c>
      <c r="H1616" t="s">
        <v>4687</v>
      </c>
      <c r="I1616">
        <v>27086</v>
      </c>
      <c r="J1616">
        <v>55294</v>
      </c>
      <c r="K1616" t="s">
        <v>2428</v>
      </c>
      <c r="L1616" t="str">
        <f>SUBSTITUTE(K1616,"'","")</f>
        <v>320252740338822146</v>
      </c>
      <c r="M1616">
        <v>54820</v>
      </c>
    </row>
    <row r="1617" spans="1:13" x14ac:dyDescent="0.4">
      <c r="A1617" s="1">
        <v>45931</v>
      </c>
      <c r="B1617" t="s">
        <v>4683</v>
      </c>
      <c r="C1617" t="s">
        <v>5420</v>
      </c>
      <c r="D1617">
        <v>54820</v>
      </c>
      <c r="E1617" t="s">
        <v>583</v>
      </c>
      <c r="F1617">
        <v>168.08</v>
      </c>
      <c r="G1617" t="s">
        <v>4686</v>
      </c>
      <c r="H1617" t="s">
        <v>4687</v>
      </c>
      <c r="I1617">
        <v>26803</v>
      </c>
      <c r="J1617">
        <v>54728</v>
      </c>
      <c r="K1617" t="s">
        <v>2433</v>
      </c>
      <c r="L1617" t="str">
        <f>SUBSTITUTE(K1617,"'","")</f>
        <v>320252740345115468</v>
      </c>
      <c r="M1617">
        <v>54820</v>
      </c>
    </row>
    <row r="1618" spans="1:13" x14ac:dyDescent="0.4">
      <c r="A1618" s="1">
        <v>45931</v>
      </c>
      <c r="B1618" t="s">
        <v>4683</v>
      </c>
      <c r="C1618" t="s">
        <v>6442</v>
      </c>
      <c r="D1618">
        <v>65700</v>
      </c>
      <c r="E1618" t="s">
        <v>234</v>
      </c>
      <c r="F1618">
        <v>221.6</v>
      </c>
      <c r="G1618" t="s">
        <v>4686</v>
      </c>
      <c r="H1618" t="s">
        <v>4687</v>
      </c>
      <c r="I1618">
        <v>25819</v>
      </c>
      <c r="J1618">
        <v>52760</v>
      </c>
      <c r="K1618" t="s">
        <v>240</v>
      </c>
      <c r="L1618" t="str">
        <f>SUBSTITUTE(K1618,"'","")</f>
        <v>320252740352046699</v>
      </c>
      <c r="M1618">
        <v>65700</v>
      </c>
    </row>
    <row r="1619" spans="1:13" x14ac:dyDescent="0.4">
      <c r="A1619" s="1">
        <v>45931</v>
      </c>
      <c r="B1619" t="s">
        <v>4683</v>
      </c>
      <c r="C1619" t="s">
        <v>5531</v>
      </c>
      <c r="D1619">
        <v>61100</v>
      </c>
      <c r="E1619" t="s">
        <v>229</v>
      </c>
      <c r="F1619">
        <v>437.5</v>
      </c>
      <c r="G1619" t="s">
        <v>4686</v>
      </c>
      <c r="H1619" t="s">
        <v>4687</v>
      </c>
      <c r="I1619">
        <v>26105</v>
      </c>
      <c r="J1619">
        <v>53332</v>
      </c>
      <c r="K1619" t="s">
        <v>233</v>
      </c>
      <c r="L1619" t="str">
        <f>SUBSTITUTE(K1619,"'","")</f>
        <v>320252750388913260</v>
      </c>
      <c r="M1619">
        <v>61100</v>
      </c>
    </row>
    <row r="1620" spans="1:13" x14ac:dyDescent="0.4">
      <c r="A1620" s="1">
        <v>45932</v>
      </c>
      <c r="B1620" t="s">
        <v>4683</v>
      </c>
      <c r="C1620" t="s">
        <v>5424</v>
      </c>
      <c r="D1620">
        <v>54820</v>
      </c>
      <c r="E1620" t="s">
        <v>977</v>
      </c>
      <c r="F1620">
        <v>20</v>
      </c>
      <c r="G1620" t="s">
        <v>4686</v>
      </c>
      <c r="H1620" t="s">
        <v>4687</v>
      </c>
      <c r="I1620">
        <v>26510</v>
      </c>
      <c r="J1620">
        <v>54142</v>
      </c>
      <c r="K1620" t="s">
        <v>2414</v>
      </c>
      <c r="L1620" t="str">
        <f>SUBSTITUTE(K1620,"'","")</f>
        <v>320252750368686946</v>
      </c>
      <c r="M1620">
        <v>54820</v>
      </c>
    </row>
    <row r="1621" spans="1:13" x14ac:dyDescent="0.4">
      <c r="A1621" s="1">
        <v>45932</v>
      </c>
      <c r="B1621" t="s">
        <v>4683</v>
      </c>
      <c r="C1621" t="s">
        <v>5423</v>
      </c>
      <c r="D1621">
        <v>54820</v>
      </c>
      <c r="E1621" t="s">
        <v>2415</v>
      </c>
      <c r="F1621">
        <v>62</v>
      </c>
      <c r="G1621" t="s">
        <v>4686</v>
      </c>
      <c r="H1621" t="s">
        <v>4687</v>
      </c>
      <c r="I1621">
        <v>26324</v>
      </c>
      <c r="J1621">
        <v>53770</v>
      </c>
      <c r="K1621" t="s">
        <v>2417</v>
      </c>
      <c r="L1621" t="str">
        <f>SUBSTITUTE(K1621,"'","")</f>
        <v>320252750372622502</v>
      </c>
      <c r="M1621">
        <v>54820</v>
      </c>
    </row>
    <row r="1622" spans="1:13" x14ac:dyDescent="0.4">
      <c r="A1622" s="1">
        <v>45932</v>
      </c>
      <c r="B1622" t="s">
        <v>4683</v>
      </c>
      <c r="C1622" t="s">
        <v>5425</v>
      </c>
      <c r="D1622">
        <v>54820</v>
      </c>
      <c r="E1622" t="s">
        <v>583</v>
      </c>
      <c r="F1622">
        <v>261.27</v>
      </c>
      <c r="G1622" t="s">
        <v>4686</v>
      </c>
      <c r="H1622" t="s">
        <v>4687</v>
      </c>
      <c r="I1622">
        <v>26804</v>
      </c>
      <c r="J1622">
        <v>54730</v>
      </c>
      <c r="K1622" t="s">
        <v>2424</v>
      </c>
      <c r="L1622" t="str">
        <f>SUBSTITUTE(K1622,"'","")</f>
        <v>320252750374791842</v>
      </c>
      <c r="M1622">
        <v>54820</v>
      </c>
    </row>
    <row r="1623" spans="1:13" x14ac:dyDescent="0.4">
      <c r="A1623" s="1">
        <v>45932</v>
      </c>
      <c r="B1623" t="s">
        <v>4683</v>
      </c>
      <c r="C1623" t="s">
        <v>6326</v>
      </c>
      <c r="D1623">
        <v>64100</v>
      </c>
      <c r="E1623" t="s">
        <v>213</v>
      </c>
      <c r="F1623">
        <v>21.4</v>
      </c>
      <c r="G1623" t="s">
        <v>4686</v>
      </c>
      <c r="H1623" t="s">
        <v>4687</v>
      </c>
      <c r="I1623">
        <v>25929</v>
      </c>
      <c r="J1623">
        <v>52980</v>
      </c>
      <c r="K1623" t="s">
        <v>218</v>
      </c>
      <c r="L1623" t="str">
        <f>SUBSTITUTE(K1623,"'","")</f>
        <v>320252750389565190</v>
      </c>
      <c r="M1623">
        <v>64100</v>
      </c>
    </row>
    <row r="1624" spans="1:13" x14ac:dyDescent="0.4">
      <c r="A1624" s="1">
        <v>45932</v>
      </c>
      <c r="B1624" t="s">
        <v>4683</v>
      </c>
      <c r="C1624" t="s">
        <v>5422</v>
      </c>
      <c r="D1624">
        <v>54820</v>
      </c>
      <c r="E1624" t="s">
        <v>219</v>
      </c>
      <c r="F1624">
        <v>19.989999999999998</v>
      </c>
      <c r="G1624" t="s">
        <v>4686</v>
      </c>
      <c r="H1624" t="s">
        <v>4687</v>
      </c>
      <c r="I1624">
        <v>25896</v>
      </c>
      <c r="J1624">
        <v>52914</v>
      </c>
      <c r="K1624" t="s">
        <v>221</v>
      </c>
      <c r="L1624" t="str">
        <f>SUBSTITUTE(K1624,"'","")</f>
        <v>320252750394745396</v>
      </c>
      <c r="M1624">
        <v>54820</v>
      </c>
    </row>
    <row r="1625" spans="1:13" x14ac:dyDescent="0.4">
      <c r="A1625" s="1">
        <v>45932</v>
      </c>
      <c r="B1625" t="s">
        <v>4683</v>
      </c>
      <c r="C1625" t="s">
        <v>5426</v>
      </c>
      <c r="D1625">
        <v>54820</v>
      </c>
      <c r="E1625" t="s">
        <v>2408</v>
      </c>
      <c r="F1625">
        <v>45</v>
      </c>
      <c r="G1625" t="s">
        <v>4686</v>
      </c>
      <c r="H1625" t="s">
        <v>4687</v>
      </c>
      <c r="I1625">
        <v>27087</v>
      </c>
      <c r="J1625">
        <v>55296</v>
      </c>
      <c r="K1625" t="s">
        <v>2412</v>
      </c>
      <c r="L1625" t="str">
        <f>SUBSTITUTE(K1625,"'","")</f>
        <v>320252760407419673</v>
      </c>
      <c r="M1625">
        <v>54820</v>
      </c>
    </row>
    <row r="1626" spans="1:13" x14ac:dyDescent="0.4">
      <c r="A1626" s="1">
        <v>45932</v>
      </c>
      <c r="B1626" t="s">
        <v>4683</v>
      </c>
      <c r="C1626" t="s">
        <v>6383</v>
      </c>
      <c r="D1626">
        <v>64200</v>
      </c>
      <c r="E1626" t="s">
        <v>222</v>
      </c>
      <c r="F1626">
        <v>79</v>
      </c>
      <c r="G1626" t="s">
        <v>4686</v>
      </c>
      <c r="H1626" t="s">
        <v>4687</v>
      </c>
      <c r="I1626">
        <v>25868</v>
      </c>
      <c r="J1626">
        <v>52858</v>
      </c>
      <c r="K1626" t="s">
        <v>225</v>
      </c>
      <c r="L1626" t="str">
        <f>SUBSTITUTE(K1626,"'","")</f>
        <v>320252760418962076</v>
      </c>
      <c r="M1626">
        <v>64200</v>
      </c>
    </row>
    <row r="1627" spans="1:13" x14ac:dyDescent="0.4">
      <c r="A1627" s="1">
        <v>45932</v>
      </c>
      <c r="B1627" t="s">
        <v>4683</v>
      </c>
      <c r="C1627" t="s">
        <v>5427</v>
      </c>
      <c r="D1627">
        <v>54820</v>
      </c>
      <c r="E1627" t="s">
        <v>2418</v>
      </c>
      <c r="F1627">
        <v>4.49</v>
      </c>
      <c r="G1627" t="s">
        <v>4686</v>
      </c>
      <c r="H1627" t="s">
        <v>4687</v>
      </c>
      <c r="I1627">
        <v>27088</v>
      </c>
      <c r="J1627">
        <v>55298</v>
      </c>
      <c r="K1627" t="s">
        <v>2422</v>
      </c>
      <c r="L1627" t="str">
        <f>SUBSTITUTE(K1627,"'","")</f>
        <v>320252760422700615</v>
      </c>
      <c r="M1627">
        <v>54820</v>
      </c>
    </row>
    <row r="1628" spans="1:13" x14ac:dyDescent="0.4">
      <c r="A1628" s="1">
        <v>45933</v>
      </c>
      <c r="B1628" t="s">
        <v>4683</v>
      </c>
      <c r="C1628" t="s">
        <v>5428</v>
      </c>
      <c r="D1628">
        <v>54820</v>
      </c>
      <c r="E1628" t="s">
        <v>210</v>
      </c>
      <c r="F1628">
        <v>3.99</v>
      </c>
      <c r="G1628" t="s">
        <v>4686</v>
      </c>
      <c r="H1628" t="s">
        <v>4687</v>
      </c>
      <c r="I1628">
        <v>25897</v>
      </c>
      <c r="J1628">
        <v>52916</v>
      </c>
      <c r="K1628" t="s">
        <v>212</v>
      </c>
      <c r="L1628" t="str">
        <f>SUBSTITUTE(K1628,"'","")</f>
        <v>320252760399134029</v>
      </c>
      <c r="M1628">
        <v>54820</v>
      </c>
    </row>
    <row r="1629" spans="1:13" x14ac:dyDescent="0.4">
      <c r="A1629" s="1">
        <v>45933</v>
      </c>
      <c r="B1629" t="s">
        <v>4683</v>
      </c>
      <c r="C1629" t="s">
        <v>5532</v>
      </c>
      <c r="D1629">
        <v>61100</v>
      </c>
      <c r="E1629" t="s">
        <v>202</v>
      </c>
      <c r="F1629">
        <v>175</v>
      </c>
      <c r="G1629" t="s">
        <v>4686</v>
      </c>
      <c r="H1629" t="s">
        <v>4687</v>
      </c>
      <c r="I1629">
        <v>26037</v>
      </c>
      <c r="J1629">
        <v>53196</v>
      </c>
      <c r="K1629" t="s">
        <v>206</v>
      </c>
      <c r="L1629" t="str">
        <f>SUBSTITUTE(K1629,"'","")</f>
        <v>320252760402474976</v>
      </c>
      <c r="M1629">
        <v>61100</v>
      </c>
    </row>
    <row r="1630" spans="1:13" x14ac:dyDescent="0.4">
      <c r="A1630" s="1">
        <v>45933</v>
      </c>
      <c r="B1630" t="s">
        <v>4683</v>
      </c>
      <c r="C1630" t="s">
        <v>5431</v>
      </c>
      <c r="D1630">
        <v>54820</v>
      </c>
      <c r="E1630" t="s">
        <v>583</v>
      </c>
      <c r="F1630">
        <v>150.34</v>
      </c>
      <c r="G1630" t="s">
        <v>4686</v>
      </c>
      <c r="H1630" t="s">
        <v>4687</v>
      </c>
      <c r="I1630">
        <v>26806</v>
      </c>
      <c r="J1630">
        <v>54734</v>
      </c>
      <c r="K1630" t="s">
        <v>2407</v>
      </c>
      <c r="L1630" t="str">
        <f>SUBSTITUTE(K1630,"'","")</f>
        <v>320252760408073651</v>
      </c>
      <c r="M1630">
        <v>54820</v>
      </c>
    </row>
    <row r="1631" spans="1:13" x14ac:dyDescent="0.4">
      <c r="A1631" s="1">
        <v>45933</v>
      </c>
      <c r="B1631" t="s">
        <v>4683</v>
      </c>
      <c r="C1631" t="s">
        <v>6327</v>
      </c>
      <c r="D1631">
        <v>64100</v>
      </c>
      <c r="E1631" t="s">
        <v>153</v>
      </c>
      <c r="F1631">
        <v>25.84</v>
      </c>
      <c r="G1631" t="s">
        <v>4686</v>
      </c>
      <c r="H1631" t="s">
        <v>4687</v>
      </c>
      <c r="I1631">
        <v>25617</v>
      </c>
      <c r="J1631">
        <v>52356</v>
      </c>
      <c r="K1631" t="s">
        <v>209</v>
      </c>
      <c r="L1631" t="str">
        <f>SUBSTITUTE(K1631,"'","")</f>
        <v>320252760418566308</v>
      </c>
      <c r="M1631">
        <v>64100</v>
      </c>
    </row>
    <row r="1632" spans="1:13" x14ac:dyDescent="0.4">
      <c r="A1632" s="1">
        <v>45933</v>
      </c>
      <c r="B1632" t="s">
        <v>4683</v>
      </c>
      <c r="C1632" t="s">
        <v>5430</v>
      </c>
      <c r="D1632">
        <v>54820</v>
      </c>
      <c r="E1632" t="s">
        <v>583</v>
      </c>
      <c r="F1632">
        <v>145.5</v>
      </c>
      <c r="G1632" t="s">
        <v>4686</v>
      </c>
      <c r="H1632" t="s">
        <v>4687</v>
      </c>
      <c r="I1632">
        <v>26805</v>
      </c>
      <c r="J1632">
        <v>54732</v>
      </c>
      <c r="K1632" t="s">
        <v>2405</v>
      </c>
      <c r="L1632" t="str">
        <f>SUBSTITUTE(K1632,"'","")</f>
        <v>320252770438327264</v>
      </c>
      <c r="M1632">
        <v>54820</v>
      </c>
    </row>
    <row r="1633" spans="1:13" x14ac:dyDescent="0.4">
      <c r="A1633" s="1">
        <v>45933</v>
      </c>
      <c r="B1633" t="s">
        <v>4683</v>
      </c>
      <c r="C1633" t="s">
        <v>6512</v>
      </c>
      <c r="D1633">
        <v>67500</v>
      </c>
      <c r="E1633" t="s">
        <v>2400</v>
      </c>
      <c r="F1633">
        <v>21.39</v>
      </c>
      <c r="G1633" t="s">
        <v>4686</v>
      </c>
      <c r="H1633" t="s">
        <v>4687</v>
      </c>
      <c r="I1633">
        <v>26285</v>
      </c>
      <c r="J1633">
        <v>53692</v>
      </c>
      <c r="K1633" t="s">
        <v>2403</v>
      </c>
      <c r="L1633" t="str">
        <f>SUBSTITUTE(K1633,"'","")</f>
        <v>320252770442091982</v>
      </c>
      <c r="M1633">
        <v>67500</v>
      </c>
    </row>
    <row r="1634" spans="1:13" x14ac:dyDescent="0.4">
      <c r="A1634" s="1">
        <v>45933</v>
      </c>
      <c r="B1634" t="s">
        <v>4683</v>
      </c>
      <c r="C1634" t="s">
        <v>5429</v>
      </c>
      <c r="D1634">
        <v>54820</v>
      </c>
      <c r="E1634" t="s">
        <v>140</v>
      </c>
      <c r="F1634">
        <v>16.32</v>
      </c>
      <c r="G1634" t="s">
        <v>4686</v>
      </c>
      <c r="H1634" t="s">
        <v>4687</v>
      </c>
      <c r="I1634">
        <v>26400</v>
      </c>
      <c r="J1634">
        <v>53922</v>
      </c>
      <c r="K1634" t="s">
        <v>2399</v>
      </c>
      <c r="L1634" t="str">
        <f>SUBSTITUTE(K1634,"'","")</f>
        <v>320252770450172472</v>
      </c>
      <c r="M1634">
        <v>54820</v>
      </c>
    </row>
    <row r="1635" spans="1:13" x14ac:dyDescent="0.4">
      <c r="A1635" s="1">
        <v>45934</v>
      </c>
      <c r="B1635" t="s">
        <v>4683</v>
      </c>
      <c r="C1635" t="s">
        <v>6331</v>
      </c>
      <c r="D1635">
        <v>64100</v>
      </c>
      <c r="E1635" t="s">
        <v>165</v>
      </c>
      <c r="F1635">
        <v>42.8</v>
      </c>
      <c r="G1635" t="s">
        <v>4686</v>
      </c>
      <c r="H1635" t="s">
        <v>4687</v>
      </c>
      <c r="I1635">
        <v>26245</v>
      </c>
      <c r="J1635">
        <v>53612</v>
      </c>
      <c r="K1635" t="s">
        <v>2385</v>
      </c>
      <c r="L1635" t="str">
        <f>SUBSTITUTE(K1635,"'","")</f>
        <v>320252760425274863</v>
      </c>
      <c r="M1635">
        <v>64100</v>
      </c>
    </row>
    <row r="1636" spans="1:13" x14ac:dyDescent="0.4">
      <c r="A1636" s="1">
        <v>45934</v>
      </c>
      <c r="B1636" t="s">
        <v>4683</v>
      </c>
      <c r="C1636" t="s">
        <v>6330</v>
      </c>
      <c r="D1636">
        <v>64100</v>
      </c>
      <c r="E1636" t="s">
        <v>165</v>
      </c>
      <c r="F1636">
        <v>32.07</v>
      </c>
      <c r="G1636" t="s">
        <v>4686</v>
      </c>
      <c r="H1636" t="s">
        <v>4687</v>
      </c>
      <c r="I1636">
        <v>26244</v>
      </c>
      <c r="J1636">
        <v>53610</v>
      </c>
      <c r="K1636" t="s">
        <v>2383</v>
      </c>
      <c r="L1636" t="str">
        <f>SUBSTITUTE(K1636,"'","")</f>
        <v>320252760425286124</v>
      </c>
      <c r="M1636">
        <v>64100</v>
      </c>
    </row>
    <row r="1637" spans="1:13" x14ac:dyDescent="0.4">
      <c r="A1637" s="1">
        <v>45934</v>
      </c>
      <c r="B1637" t="s">
        <v>4683</v>
      </c>
      <c r="C1637" t="s">
        <v>6332</v>
      </c>
      <c r="D1637">
        <v>64100</v>
      </c>
      <c r="E1637" t="s">
        <v>165</v>
      </c>
      <c r="F1637">
        <v>68.48</v>
      </c>
      <c r="G1637" t="s">
        <v>4686</v>
      </c>
      <c r="H1637" t="s">
        <v>4687</v>
      </c>
      <c r="I1637">
        <v>26246</v>
      </c>
      <c r="J1637">
        <v>53614</v>
      </c>
      <c r="K1637" t="s">
        <v>2387</v>
      </c>
      <c r="L1637" t="str">
        <f>SUBSTITUTE(K1637,"'","")</f>
        <v>320252760425287061</v>
      </c>
      <c r="M1637">
        <v>64100</v>
      </c>
    </row>
    <row r="1638" spans="1:13" x14ac:dyDescent="0.4">
      <c r="A1638" s="1">
        <v>45934</v>
      </c>
      <c r="B1638" t="s">
        <v>4683</v>
      </c>
      <c r="C1638" t="s">
        <v>6329</v>
      </c>
      <c r="D1638">
        <v>64100</v>
      </c>
      <c r="E1638" t="s">
        <v>165</v>
      </c>
      <c r="F1638">
        <v>25.68</v>
      </c>
      <c r="G1638" t="s">
        <v>4686</v>
      </c>
      <c r="H1638" t="s">
        <v>4687</v>
      </c>
      <c r="I1638">
        <v>26243</v>
      </c>
      <c r="J1638">
        <v>53608</v>
      </c>
      <c r="K1638" t="s">
        <v>2381</v>
      </c>
      <c r="L1638" t="str">
        <f>SUBSTITUTE(K1638,"'","")</f>
        <v>320252760425287179</v>
      </c>
      <c r="M1638">
        <v>64100</v>
      </c>
    </row>
    <row r="1639" spans="1:13" x14ac:dyDescent="0.4">
      <c r="A1639" s="1">
        <v>45934</v>
      </c>
      <c r="B1639" t="s">
        <v>4683</v>
      </c>
      <c r="C1639" t="s">
        <v>6334</v>
      </c>
      <c r="D1639">
        <v>64100</v>
      </c>
      <c r="E1639" t="s">
        <v>2390</v>
      </c>
      <c r="F1639">
        <v>21.4</v>
      </c>
      <c r="G1639" t="s">
        <v>4686</v>
      </c>
      <c r="H1639" t="s">
        <v>4687</v>
      </c>
      <c r="I1639">
        <v>26713</v>
      </c>
      <c r="J1639">
        <v>54548</v>
      </c>
      <c r="K1639" t="s">
        <v>2392</v>
      </c>
      <c r="L1639" t="str">
        <f>SUBSTITUTE(K1639,"'","")</f>
        <v>320252760425289150</v>
      </c>
      <c r="M1639">
        <v>64100</v>
      </c>
    </row>
    <row r="1640" spans="1:13" x14ac:dyDescent="0.4">
      <c r="A1640" s="1">
        <v>45934</v>
      </c>
      <c r="B1640" t="s">
        <v>4683</v>
      </c>
      <c r="C1640" t="s">
        <v>6333</v>
      </c>
      <c r="D1640">
        <v>64100</v>
      </c>
      <c r="E1640" t="s">
        <v>165</v>
      </c>
      <c r="F1640">
        <v>289.06</v>
      </c>
      <c r="G1640" t="s">
        <v>4686</v>
      </c>
      <c r="H1640" t="s">
        <v>4687</v>
      </c>
      <c r="I1640">
        <v>26247</v>
      </c>
      <c r="J1640">
        <v>53616</v>
      </c>
      <c r="K1640" t="s">
        <v>2389</v>
      </c>
      <c r="L1640" t="str">
        <f>SUBSTITUTE(K1640,"'","")</f>
        <v>320252760425293244</v>
      </c>
      <c r="M1640">
        <v>64100</v>
      </c>
    </row>
    <row r="1641" spans="1:13" x14ac:dyDescent="0.4">
      <c r="A1641" s="1">
        <v>45934</v>
      </c>
      <c r="B1641" t="s">
        <v>4683</v>
      </c>
      <c r="C1641" t="s">
        <v>5432</v>
      </c>
      <c r="D1641">
        <v>54820</v>
      </c>
      <c r="E1641" t="s">
        <v>196</v>
      </c>
      <c r="F1641">
        <v>10.99</v>
      </c>
      <c r="G1641" t="s">
        <v>4686</v>
      </c>
      <c r="H1641" t="s">
        <v>4687</v>
      </c>
      <c r="I1641">
        <v>25886</v>
      </c>
      <c r="J1641">
        <v>52894</v>
      </c>
      <c r="K1641" t="s">
        <v>200</v>
      </c>
      <c r="L1641" t="str">
        <f>SUBSTITUTE(K1641,"'","")</f>
        <v>320252770435570793</v>
      </c>
      <c r="M1641">
        <v>54820</v>
      </c>
    </row>
    <row r="1642" spans="1:13" x14ac:dyDescent="0.4">
      <c r="A1642" s="1">
        <v>45934</v>
      </c>
      <c r="B1642" t="s">
        <v>4683</v>
      </c>
      <c r="C1642" t="s">
        <v>5433</v>
      </c>
      <c r="D1642">
        <v>54820</v>
      </c>
      <c r="E1642" t="s">
        <v>2393</v>
      </c>
      <c r="F1642">
        <v>9.9499999999999993</v>
      </c>
      <c r="G1642" t="s">
        <v>4686</v>
      </c>
      <c r="H1642" t="s">
        <v>4687</v>
      </c>
      <c r="I1642">
        <v>27089</v>
      </c>
      <c r="J1642">
        <v>55300</v>
      </c>
      <c r="K1642" t="s">
        <v>2397</v>
      </c>
      <c r="L1642" t="str">
        <f>SUBSTITUTE(K1642,"'","")</f>
        <v>320252770438009431</v>
      </c>
      <c r="M1642">
        <v>54820</v>
      </c>
    </row>
    <row r="1643" spans="1:13" x14ac:dyDescent="0.4">
      <c r="A1643" s="1">
        <v>45934</v>
      </c>
      <c r="B1643" t="s">
        <v>4683</v>
      </c>
      <c r="C1643" t="s">
        <v>6328</v>
      </c>
      <c r="D1643">
        <v>64100</v>
      </c>
      <c r="E1643" t="s">
        <v>153</v>
      </c>
      <c r="F1643">
        <v>25.84</v>
      </c>
      <c r="G1643" t="s">
        <v>4686</v>
      </c>
      <c r="H1643" t="s">
        <v>4687</v>
      </c>
      <c r="I1643">
        <v>25618</v>
      </c>
      <c r="J1643">
        <v>52358</v>
      </c>
      <c r="K1643" t="s">
        <v>195</v>
      </c>
      <c r="L1643" t="str">
        <f>SUBSTITUTE(K1643,"'","")</f>
        <v>320252770450714760</v>
      </c>
      <c r="M1643">
        <v>64100</v>
      </c>
    </row>
    <row r="1644" spans="1:13" x14ac:dyDescent="0.4">
      <c r="A1644" s="1">
        <v>45935</v>
      </c>
      <c r="B1644" t="s">
        <v>4683</v>
      </c>
      <c r="C1644" t="s">
        <v>6336</v>
      </c>
      <c r="D1644">
        <v>64100</v>
      </c>
      <c r="E1644" t="s">
        <v>517</v>
      </c>
      <c r="F1644">
        <v>4</v>
      </c>
      <c r="G1644" t="s">
        <v>4686</v>
      </c>
      <c r="H1644" t="s">
        <v>4687</v>
      </c>
      <c r="I1644">
        <v>26918</v>
      </c>
      <c r="J1644">
        <v>54958</v>
      </c>
      <c r="K1644" t="s">
        <v>2369</v>
      </c>
      <c r="L1644" t="str">
        <f>SUBSTITUTE(K1644,"'","")</f>
        <v>320252780460443936</v>
      </c>
      <c r="M1644">
        <v>64100</v>
      </c>
    </row>
    <row r="1645" spans="1:13" x14ac:dyDescent="0.4">
      <c r="A1645" s="1">
        <v>45935</v>
      </c>
      <c r="B1645" t="s">
        <v>4683</v>
      </c>
      <c r="C1645" t="s">
        <v>6335</v>
      </c>
      <c r="D1645">
        <v>64100</v>
      </c>
      <c r="E1645" t="s">
        <v>2365</v>
      </c>
      <c r="F1645">
        <v>300</v>
      </c>
      <c r="G1645" t="s">
        <v>4686</v>
      </c>
      <c r="H1645" t="s">
        <v>4687</v>
      </c>
      <c r="I1645">
        <v>26917</v>
      </c>
      <c r="J1645">
        <v>54956</v>
      </c>
      <c r="K1645" t="s">
        <v>2367</v>
      </c>
      <c r="L1645" t="str">
        <f>SUBSTITUTE(K1645,"'","")</f>
        <v>320252780461392466</v>
      </c>
      <c r="M1645">
        <v>64100</v>
      </c>
    </row>
    <row r="1646" spans="1:13" x14ac:dyDescent="0.4">
      <c r="A1646" s="1">
        <v>45935</v>
      </c>
      <c r="B1646" t="s">
        <v>4683</v>
      </c>
      <c r="C1646" t="s">
        <v>5844</v>
      </c>
      <c r="D1646">
        <v>61130</v>
      </c>
      <c r="E1646" t="s">
        <v>478</v>
      </c>
      <c r="F1646">
        <v>61.37</v>
      </c>
      <c r="G1646" t="s">
        <v>4686</v>
      </c>
      <c r="H1646" t="s">
        <v>4687</v>
      </c>
      <c r="I1646">
        <v>26888</v>
      </c>
      <c r="J1646">
        <v>54898</v>
      </c>
      <c r="K1646" t="s">
        <v>2375</v>
      </c>
      <c r="L1646" t="str">
        <f>SUBSTITUTE(K1646,"'","")</f>
        <v>320252780462364788</v>
      </c>
      <c r="M1646">
        <v>61130</v>
      </c>
    </row>
    <row r="1647" spans="1:13" x14ac:dyDescent="0.4">
      <c r="A1647" s="1">
        <v>45935</v>
      </c>
      <c r="B1647" t="s">
        <v>4683</v>
      </c>
      <c r="C1647" t="s">
        <v>5845</v>
      </c>
      <c r="D1647">
        <v>61130</v>
      </c>
      <c r="E1647" t="s">
        <v>478</v>
      </c>
      <c r="F1647">
        <v>65.44</v>
      </c>
      <c r="G1647" t="s">
        <v>4686</v>
      </c>
      <c r="H1647" t="s">
        <v>4687</v>
      </c>
      <c r="I1647">
        <v>26889</v>
      </c>
      <c r="J1647">
        <v>54900</v>
      </c>
      <c r="K1647" t="s">
        <v>2377</v>
      </c>
      <c r="L1647" t="str">
        <f>SUBSTITUTE(K1647,"'","")</f>
        <v>320252780462861052</v>
      </c>
      <c r="M1647">
        <v>61130</v>
      </c>
    </row>
    <row r="1648" spans="1:13" x14ac:dyDescent="0.4">
      <c r="A1648" s="1">
        <v>45935</v>
      </c>
      <c r="B1648" t="s">
        <v>4683</v>
      </c>
      <c r="C1648" t="s">
        <v>5437</v>
      </c>
      <c r="D1648">
        <v>54820</v>
      </c>
      <c r="E1648" t="s">
        <v>583</v>
      </c>
      <c r="F1648">
        <v>434.88</v>
      </c>
      <c r="G1648" t="s">
        <v>4686</v>
      </c>
      <c r="H1648" t="s">
        <v>4687</v>
      </c>
      <c r="I1648">
        <v>26807</v>
      </c>
      <c r="J1648">
        <v>54736</v>
      </c>
      <c r="K1648" t="s">
        <v>2373</v>
      </c>
      <c r="L1648" t="str">
        <f>SUBSTITUTE(K1648,"'","")</f>
        <v>320252780465296680</v>
      </c>
      <c r="M1648">
        <v>54820</v>
      </c>
    </row>
    <row r="1649" spans="1:13" x14ac:dyDescent="0.4">
      <c r="A1649" s="1">
        <v>45935</v>
      </c>
      <c r="B1649" t="s">
        <v>4683</v>
      </c>
      <c r="C1649" t="s">
        <v>5435</v>
      </c>
      <c r="D1649">
        <v>54820</v>
      </c>
      <c r="E1649" t="s">
        <v>191</v>
      </c>
      <c r="F1649">
        <v>19.989999999999998</v>
      </c>
      <c r="G1649" t="s">
        <v>4686</v>
      </c>
      <c r="H1649" t="s">
        <v>4687</v>
      </c>
      <c r="I1649">
        <v>25898</v>
      </c>
      <c r="J1649">
        <v>52918</v>
      </c>
      <c r="K1649" t="s">
        <v>193</v>
      </c>
      <c r="L1649" t="str">
        <f>SUBSTITUTE(K1649,"'","")</f>
        <v>320252780481961186</v>
      </c>
      <c r="M1649">
        <v>54820</v>
      </c>
    </row>
    <row r="1650" spans="1:13" x14ac:dyDescent="0.4">
      <c r="A1650" s="1">
        <v>45935</v>
      </c>
      <c r="B1650" t="s">
        <v>4683</v>
      </c>
      <c r="C1650" t="s">
        <v>5436</v>
      </c>
      <c r="D1650">
        <v>54820</v>
      </c>
      <c r="E1650" t="s">
        <v>2240</v>
      </c>
      <c r="F1650">
        <v>20.45</v>
      </c>
      <c r="G1650" t="s">
        <v>4686</v>
      </c>
      <c r="H1650" t="s">
        <v>4687</v>
      </c>
      <c r="I1650">
        <v>26153</v>
      </c>
      <c r="J1650">
        <v>53428</v>
      </c>
      <c r="K1650" t="s">
        <v>2379</v>
      </c>
      <c r="L1650" t="str">
        <f>SUBSTITUTE(K1650,"'","")</f>
        <v>320252790500187600</v>
      </c>
      <c r="M1650">
        <v>54820</v>
      </c>
    </row>
    <row r="1651" spans="1:13" x14ac:dyDescent="0.4">
      <c r="A1651" s="1">
        <v>45935</v>
      </c>
      <c r="B1651" t="s">
        <v>4683</v>
      </c>
      <c r="C1651" t="s">
        <v>5438</v>
      </c>
      <c r="D1651">
        <v>54820</v>
      </c>
      <c r="E1651" t="s">
        <v>2077</v>
      </c>
      <c r="F1651">
        <v>9.74</v>
      </c>
      <c r="G1651" t="s">
        <v>4686</v>
      </c>
      <c r="H1651" t="s">
        <v>4687</v>
      </c>
      <c r="I1651">
        <v>27090</v>
      </c>
      <c r="J1651">
        <v>55302</v>
      </c>
      <c r="K1651" t="s">
        <v>2371</v>
      </c>
      <c r="L1651" t="str">
        <f>SUBSTITUTE(K1651,"'","")</f>
        <v>320252790500382274</v>
      </c>
      <c r="M1651">
        <v>54820</v>
      </c>
    </row>
    <row r="1652" spans="1:13" x14ac:dyDescent="0.4">
      <c r="A1652" s="1">
        <v>45935</v>
      </c>
      <c r="B1652" t="s">
        <v>4683</v>
      </c>
      <c r="C1652" t="s">
        <v>5434</v>
      </c>
      <c r="D1652">
        <v>54820</v>
      </c>
      <c r="E1652" t="s">
        <v>140</v>
      </c>
      <c r="F1652">
        <v>130.6</v>
      </c>
      <c r="G1652" t="s">
        <v>4686</v>
      </c>
      <c r="H1652" t="s">
        <v>4687</v>
      </c>
      <c r="I1652">
        <v>25712</v>
      </c>
      <c r="J1652">
        <v>52546</v>
      </c>
      <c r="K1652" t="s">
        <v>190</v>
      </c>
      <c r="L1652" t="str">
        <f>SUBSTITUTE(K1652,"'","")</f>
        <v>320252800515953987</v>
      </c>
      <c r="M1652">
        <v>54820</v>
      </c>
    </row>
    <row r="1653" spans="1:13" x14ac:dyDescent="0.4">
      <c r="A1653" s="1">
        <v>45936</v>
      </c>
      <c r="B1653" t="s">
        <v>4683</v>
      </c>
      <c r="C1653" t="s">
        <v>5441</v>
      </c>
      <c r="D1653">
        <v>54820</v>
      </c>
      <c r="E1653" t="s">
        <v>2344</v>
      </c>
      <c r="F1653">
        <v>9.42</v>
      </c>
      <c r="G1653" t="s">
        <v>4686</v>
      </c>
      <c r="H1653" t="s">
        <v>4687</v>
      </c>
      <c r="I1653">
        <v>26275</v>
      </c>
      <c r="J1653">
        <v>53672</v>
      </c>
      <c r="K1653" t="s">
        <v>2346</v>
      </c>
      <c r="L1653" t="str">
        <f>SUBSTITUTE(K1653,"'","")</f>
        <v>320252790485201184</v>
      </c>
      <c r="M1653">
        <v>54820</v>
      </c>
    </row>
    <row r="1654" spans="1:13" x14ac:dyDescent="0.4">
      <c r="A1654" s="1">
        <v>45936</v>
      </c>
      <c r="B1654" t="s">
        <v>4683</v>
      </c>
      <c r="C1654" t="s">
        <v>6340</v>
      </c>
      <c r="D1654">
        <v>64100</v>
      </c>
      <c r="E1654" t="s">
        <v>2327</v>
      </c>
      <c r="F1654">
        <v>50</v>
      </c>
      <c r="G1654" t="s">
        <v>4686</v>
      </c>
      <c r="H1654" t="s">
        <v>4687</v>
      </c>
      <c r="I1654">
        <v>26928</v>
      </c>
      <c r="J1654">
        <v>54978</v>
      </c>
      <c r="K1654" t="s">
        <v>2331</v>
      </c>
      <c r="L1654" t="str">
        <f>SUBSTITUTE(K1654,"'","")</f>
        <v>320252790485358796</v>
      </c>
      <c r="M1654">
        <v>64100</v>
      </c>
    </row>
    <row r="1655" spans="1:13" x14ac:dyDescent="0.4">
      <c r="A1655" s="1">
        <v>45936</v>
      </c>
      <c r="B1655" t="s">
        <v>4683</v>
      </c>
      <c r="C1655" t="s">
        <v>6443</v>
      </c>
      <c r="D1655">
        <v>65700</v>
      </c>
      <c r="E1655" t="s">
        <v>2354</v>
      </c>
      <c r="F1655">
        <v>115</v>
      </c>
      <c r="G1655" t="s">
        <v>4686</v>
      </c>
      <c r="H1655" t="s">
        <v>4687</v>
      </c>
      <c r="I1655">
        <v>26294</v>
      </c>
      <c r="J1655">
        <v>53710</v>
      </c>
      <c r="K1655" t="s">
        <v>2358</v>
      </c>
      <c r="L1655" t="str">
        <f>SUBSTITUTE(K1655,"'","")</f>
        <v>320252790486979298</v>
      </c>
      <c r="M1655">
        <v>65700</v>
      </c>
    </row>
    <row r="1656" spans="1:13" x14ac:dyDescent="0.4">
      <c r="A1656" s="1">
        <v>45936</v>
      </c>
      <c r="B1656" t="s">
        <v>4683</v>
      </c>
      <c r="C1656" t="s">
        <v>6339</v>
      </c>
      <c r="D1656">
        <v>64100</v>
      </c>
      <c r="E1656" t="s">
        <v>2336</v>
      </c>
      <c r="F1656">
        <v>21.4</v>
      </c>
      <c r="G1656" t="s">
        <v>4686</v>
      </c>
      <c r="H1656" t="s">
        <v>4687</v>
      </c>
      <c r="I1656">
        <v>26926</v>
      </c>
      <c r="J1656">
        <v>54974</v>
      </c>
      <c r="K1656" t="s">
        <v>2339</v>
      </c>
      <c r="L1656" t="str">
        <f>SUBSTITUTE(K1656,"'","")</f>
        <v>320252790488172217</v>
      </c>
      <c r="M1656">
        <v>64100</v>
      </c>
    </row>
    <row r="1657" spans="1:13" x14ac:dyDescent="0.4">
      <c r="A1657" s="1">
        <v>45936</v>
      </c>
      <c r="B1657" t="s">
        <v>4683</v>
      </c>
      <c r="C1657" t="s">
        <v>5446</v>
      </c>
      <c r="D1657">
        <v>54820</v>
      </c>
      <c r="E1657" t="s">
        <v>2181</v>
      </c>
      <c r="F1657">
        <v>48.24</v>
      </c>
      <c r="G1657" t="s">
        <v>4686</v>
      </c>
      <c r="H1657" t="s">
        <v>4687</v>
      </c>
      <c r="I1657">
        <v>27092</v>
      </c>
      <c r="J1657">
        <v>55306</v>
      </c>
      <c r="K1657" t="s">
        <v>2326</v>
      </c>
      <c r="L1657" t="str">
        <f>SUBSTITUTE(K1657,"'","")</f>
        <v>320252790489458329</v>
      </c>
      <c r="M1657">
        <v>54820</v>
      </c>
    </row>
    <row r="1658" spans="1:13" x14ac:dyDescent="0.4">
      <c r="A1658" s="1">
        <v>45936</v>
      </c>
      <c r="B1658" t="s">
        <v>4683</v>
      </c>
      <c r="C1658" t="s">
        <v>6337</v>
      </c>
      <c r="D1658">
        <v>64100</v>
      </c>
      <c r="E1658" t="s">
        <v>184</v>
      </c>
      <c r="F1658">
        <v>25.68</v>
      </c>
      <c r="G1658" t="s">
        <v>4686</v>
      </c>
      <c r="H1658" t="s">
        <v>4687</v>
      </c>
      <c r="I1658">
        <v>25922</v>
      </c>
      <c r="J1658">
        <v>52966</v>
      </c>
      <c r="K1658" t="s">
        <v>187</v>
      </c>
      <c r="L1658" t="str">
        <f>SUBSTITUTE(K1658,"'","")</f>
        <v>320252790490451565</v>
      </c>
      <c r="M1658">
        <v>64100</v>
      </c>
    </row>
    <row r="1659" spans="1:13" x14ac:dyDescent="0.4">
      <c r="A1659" s="1">
        <v>45936</v>
      </c>
      <c r="B1659" t="s">
        <v>4683</v>
      </c>
      <c r="C1659" t="s">
        <v>5444</v>
      </c>
      <c r="D1659">
        <v>54820</v>
      </c>
      <c r="E1659" t="s">
        <v>583</v>
      </c>
      <c r="F1659">
        <v>80.78</v>
      </c>
      <c r="G1659" t="s">
        <v>4686</v>
      </c>
      <c r="H1659" t="s">
        <v>4687</v>
      </c>
      <c r="I1659">
        <v>26808</v>
      </c>
      <c r="J1659">
        <v>54738</v>
      </c>
      <c r="K1659" t="s">
        <v>2362</v>
      </c>
      <c r="L1659" t="str">
        <f>SUBSTITUTE(K1659,"'","")</f>
        <v>320252790493481805</v>
      </c>
      <c r="M1659">
        <v>54820</v>
      </c>
    </row>
    <row r="1660" spans="1:13" x14ac:dyDescent="0.4">
      <c r="A1660" s="1">
        <v>45936</v>
      </c>
      <c r="B1660" t="s">
        <v>4683</v>
      </c>
      <c r="C1660" t="s">
        <v>5442</v>
      </c>
      <c r="D1660">
        <v>54820</v>
      </c>
      <c r="E1660" t="s">
        <v>2332</v>
      </c>
      <c r="F1660">
        <v>7.6</v>
      </c>
      <c r="G1660" t="s">
        <v>4686</v>
      </c>
      <c r="H1660" t="s">
        <v>4687</v>
      </c>
      <c r="I1660">
        <v>26325</v>
      </c>
      <c r="J1660">
        <v>53772</v>
      </c>
      <c r="K1660" t="s">
        <v>2334</v>
      </c>
      <c r="L1660" t="str">
        <f>SUBSTITUTE(K1660,"'","")</f>
        <v>320252790494238236</v>
      </c>
      <c r="M1660">
        <v>54820</v>
      </c>
    </row>
    <row r="1661" spans="1:13" x14ac:dyDescent="0.4">
      <c r="A1661" s="1">
        <v>45936</v>
      </c>
      <c r="B1661" t="s">
        <v>4683</v>
      </c>
      <c r="C1661" t="s">
        <v>5445</v>
      </c>
      <c r="D1661">
        <v>54820</v>
      </c>
      <c r="E1661" t="s">
        <v>2321</v>
      </c>
      <c r="F1661">
        <v>25.68</v>
      </c>
      <c r="G1661" t="s">
        <v>4686</v>
      </c>
      <c r="H1661" t="s">
        <v>4687</v>
      </c>
      <c r="I1661">
        <v>27091</v>
      </c>
      <c r="J1661">
        <v>55304</v>
      </c>
      <c r="K1661" t="s">
        <v>2324</v>
      </c>
      <c r="L1661" t="str">
        <f>SUBSTITUTE(K1661,"'","")</f>
        <v>320252800517519618</v>
      </c>
      <c r="M1661">
        <v>54820</v>
      </c>
    </row>
    <row r="1662" spans="1:13" x14ac:dyDescent="0.4">
      <c r="A1662" s="1">
        <v>45936</v>
      </c>
      <c r="B1662" t="s">
        <v>4683</v>
      </c>
      <c r="C1662" t="s">
        <v>5443</v>
      </c>
      <c r="D1662">
        <v>54820</v>
      </c>
      <c r="E1662" t="s">
        <v>2347</v>
      </c>
      <c r="F1662">
        <v>100</v>
      </c>
      <c r="G1662" t="s">
        <v>4686</v>
      </c>
      <c r="H1662" t="s">
        <v>4687</v>
      </c>
      <c r="I1662">
        <v>26721</v>
      </c>
      <c r="J1662">
        <v>54564</v>
      </c>
      <c r="K1662" t="s">
        <v>2351</v>
      </c>
      <c r="L1662" t="str">
        <f>SUBSTITUTE(K1662,"'","")</f>
        <v>320252800522235016</v>
      </c>
      <c r="M1662">
        <v>54820</v>
      </c>
    </row>
    <row r="1663" spans="1:13" x14ac:dyDescent="0.4">
      <c r="A1663" s="1">
        <v>45936</v>
      </c>
      <c r="B1663" t="s">
        <v>4683</v>
      </c>
      <c r="C1663" t="s">
        <v>5439</v>
      </c>
      <c r="D1663">
        <v>54820</v>
      </c>
      <c r="E1663" t="s">
        <v>179</v>
      </c>
      <c r="F1663">
        <v>84.91</v>
      </c>
      <c r="G1663" t="s">
        <v>4686</v>
      </c>
      <c r="H1663" t="s">
        <v>4687</v>
      </c>
      <c r="I1663">
        <v>25713</v>
      </c>
      <c r="J1663">
        <v>52548</v>
      </c>
      <c r="K1663" t="s">
        <v>181</v>
      </c>
      <c r="L1663" t="str">
        <f>SUBSTITUTE(K1663,"'","")</f>
        <v>320252800524555826</v>
      </c>
      <c r="M1663">
        <v>54820</v>
      </c>
    </row>
    <row r="1664" spans="1:13" x14ac:dyDescent="0.4">
      <c r="A1664" s="1">
        <v>45936</v>
      </c>
      <c r="B1664" t="s">
        <v>4683</v>
      </c>
      <c r="C1664" t="s">
        <v>5940</v>
      </c>
      <c r="D1664">
        <v>61131</v>
      </c>
      <c r="E1664" t="s">
        <v>145</v>
      </c>
      <c r="F1664">
        <v>37.61</v>
      </c>
      <c r="G1664" t="s">
        <v>4686</v>
      </c>
      <c r="H1664" t="s">
        <v>4687</v>
      </c>
      <c r="I1664">
        <v>25756</v>
      </c>
      <c r="J1664">
        <v>52634</v>
      </c>
      <c r="K1664" t="s">
        <v>183</v>
      </c>
      <c r="L1664" t="str">
        <f>SUBSTITUTE(K1664,"'","")</f>
        <v>320252800524941061</v>
      </c>
      <c r="M1664">
        <v>61131</v>
      </c>
    </row>
    <row r="1665" spans="1:13" x14ac:dyDescent="0.4">
      <c r="A1665" s="1">
        <v>45936</v>
      </c>
      <c r="B1665" t="s">
        <v>4683</v>
      </c>
      <c r="C1665" t="s">
        <v>5440</v>
      </c>
      <c r="D1665">
        <v>54820</v>
      </c>
      <c r="E1665" t="s">
        <v>2240</v>
      </c>
      <c r="F1665">
        <v>52.31</v>
      </c>
      <c r="G1665" t="s">
        <v>4686</v>
      </c>
      <c r="H1665" t="s">
        <v>4687</v>
      </c>
      <c r="I1665">
        <v>26154</v>
      </c>
      <c r="J1665">
        <v>53430</v>
      </c>
      <c r="K1665" t="s">
        <v>2364</v>
      </c>
      <c r="L1665" t="str">
        <f>SUBSTITUTE(K1665,"'","")</f>
        <v>320252800525025395</v>
      </c>
      <c r="M1665">
        <v>54820</v>
      </c>
    </row>
    <row r="1666" spans="1:13" x14ac:dyDescent="0.4">
      <c r="A1666" s="1">
        <v>45936</v>
      </c>
      <c r="B1666" t="s">
        <v>4683</v>
      </c>
      <c r="C1666" t="s">
        <v>6444</v>
      </c>
      <c r="D1666">
        <v>65700</v>
      </c>
      <c r="E1666" t="s">
        <v>2340</v>
      </c>
      <c r="F1666">
        <v>18.079999999999998</v>
      </c>
      <c r="G1666" t="s">
        <v>4686</v>
      </c>
      <c r="H1666" t="s">
        <v>4687</v>
      </c>
      <c r="I1666">
        <v>26424</v>
      </c>
      <c r="J1666">
        <v>53970</v>
      </c>
      <c r="K1666" t="s">
        <v>2343</v>
      </c>
      <c r="L1666" t="str">
        <f>SUBSTITUTE(K1666,"'","")</f>
        <v>320252800531961035</v>
      </c>
      <c r="M1666">
        <v>65700</v>
      </c>
    </row>
    <row r="1667" spans="1:13" x14ac:dyDescent="0.4">
      <c r="A1667" s="1">
        <v>45936</v>
      </c>
      <c r="B1667" t="s">
        <v>4683</v>
      </c>
      <c r="C1667" t="s">
        <v>5447</v>
      </c>
      <c r="D1667">
        <v>54820</v>
      </c>
      <c r="E1667" t="s">
        <v>2077</v>
      </c>
      <c r="F1667">
        <v>9.74</v>
      </c>
      <c r="G1667" t="s">
        <v>4686</v>
      </c>
      <c r="H1667" t="s">
        <v>4687</v>
      </c>
      <c r="I1667">
        <v>27093</v>
      </c>
      <c r="J1667">
        <v>55308</v>
      </c>
      <c r="K1667" t="s">
        <v>2360</v>
      </c>
      <c r="L1667" t="str">
        <f>SUBSTITUTE(K1667,"'","")</f>
        <v>320252800534238563</v>
      </c>
      <c r="M1667">
        <v>54820</v>
      </c>
    </row>
    <row r="1668" spans="1:13" x14ac:dyDescent="0.4">
      <c r="A1668" s="1">
        <v>45936</v>
      </c>
      <c r="B1668" t="s">
        <v>4683</v>
      </c>
      <c r="C1668" t="s">
        <v>6338</v>
      </c>
      <c r="D1668">
        <v>64100</v>
      </c>
      <c r="E1668" t="s">
        <v>2072</v>
      </c>
      <c r="F1668">
        <v>53.81</v>
      </c>
      <c r="G1668" t="s">
        <v>4686</v>
      </c>
      <c r="H1668" t="s">
        <v>4687</v>
      </c>
      <c r="I1668">
        <v>26921</v>
      </c>
      <c r="J1668">
        <v>54964</v>
      </c>
      <c r="K1668" t="s">
        <v>2353</v>
      </c>
      <c r="L1668" t="str">
        <f>SUBSTITUTE(K1668,"'","")</f>
        <v>320252800535077539</v>
      </c>
      <c r="M1668">
        <v>64100</v>
      </c>
    </row>
    <row r="1669" spans="1:13" x14ac:dyDescent="0.4">
      <c r="A1669" s="1">
        <v>45937</v>
      </c>
      <c r="B1669" t="s">
        <v>4683</v>
      </c>
      <c r="C1669" t="s">
        <v>5449</v>
      </c>
      <c r="D1669">
        <v>54820</v>
      </c>
      <c r="E1669" t="s">
        <v>2190</v>
      </c>
      <c r="F1669">
        <v>7.26</v>
      </c>
      <c r="G1669" t="s">
        <v>4686</v>
      </c>
      <c r="H1669" t="s">
        <v>4687</v>
      </c>
      <c r="I1669">
        <v>27094</v>
      </c>
      <c r="J1669">
        <v>55310</v>
      </c>
      <c r="K1669" t="s">
        <v>2320</v>
      </c>
      <c r="L1669" t="str">
        <f>SUBSTITUTE(K1669,"'","")</f>
        <v>320252800519361754</v>
      </c>
      <c r="M1669">
        <v>54820</v>
      </c>
    </row>
    <row r="1670" spans="1:13" x14ac:dyDescent="0.4">
      <c r="A1670" s="1">
        <v>45937</v>
      </c>
      <c r="B1670" t="s">
        <v>4683</v>
      </c>
      <c r="C1670" t="s">
        <v>6341</v>
      </c>
      <c r="D1670">
        <v>64100</v>
      </c>
      <c r="E1670" t="s">
        <v>165</v>
      </c>
      <c r="F1670">
        <v>21.38</v>
      </c>
      <c r="G1670" t="s">
        <v>4686</v>
      </c>
      <c r="H1670" t="s">
        <v>4687</v>
      </c>
      <c r="I1670">
        <v>25619</v>
      </c>
      <c r="J1670">
        <v>52360</v>
      </c>
      <c r="K1670" t="s">
        <v>168</v>
      </c>
      <c r="L1670" t="str">
        <f>SUBSTITUTE(K1670,"'","")</f>
        <v>320252800535302567</v>
      </c>
      <c r="M1670">
        <v>64100</v>
      </c>
    </row>
    <row r="1671" spans="1:13" x14ac:dyDescent="0.4">
      <c r="A1671" s="1">
        <v>45937</v>
      </c>
      <c r="B1671" t="s">
        <v>4683</v>
      </c>
      <c r="C1671" t="s">
        <v>6043</v>
      </c>
      <c r="D1671">
        <v>61215</v>
      </c>
      <c r="E1671" t="s">
        <v>175</v>
      </c>
      <c r="F1671">
        <v>630</v>
      </c>
      <c r="G1671" t="s">
        <v>4686</v>
      </c>
      <c r="H1671" t="s">
        <v>4687</v>
      </c>
      <c r="I1671">
        <v>25992</v>
      </c>
      <c r="J1671">
        <v>53106</v>
      </c>
      <c r="K1671" t="s">
        <v>178</v>
      </c>
      <c r="L1671" t="str">
        <f>SUBSTITUTE(K1671,"'","")</f>
        <v>320252810554114382</v>
      </c>
      <c r="M1671">
        <v>61215</v>
      </c>
    </row>
    <row r="1672" spans="1:13" x14ac:dyDescent="0.4">
      <c r="A1672" s="1">
        <v>45937</v>
      </c>
      <c r="B1672" t="s">
        <v>4683</v>
      </c>
      <c r="C1672" t="s">
        <v>6343</v>
      </c>
      <c r="D1672">
        <v>64100</v>
      </c>
      <c r="E1672" t="s">
        <v>2311</v>
      </c>
      <c r="F1672">
        <v>44.86</v>
      </c>
      <c r="G1672" t="s">
        <v>4686</v>
      </c>
      <c r="H1672" t="s">
        <v>4687</v>
      </c>
      <c r="I1672">
        <v>26447</v>
      </c>
      <c r="J1672">
        <v>54016</v>
      </c>
      <c r="K1672" t="s">
        <v>2316</v>
      </c>
      <c r="L1672" t="str">
        <f>SUBSTITUTE(K1672,"'","")</f>
        <v>320252810557088383</v>
      </c>
      <c r="M1672">
        <v>64100</v>
      </c>
    </row>
    <row r="1673" spans="1:13" x14ac:dyDescent="0.4">
      <c r="A1673" s="1">
        <v>45937</v>
      </c>
      <c r="B1673" t="s">
        <v>4683</v>
      </c>
      <c r="C1673" t="s">
        <v>6342</v>
      </c>
      <c r="D1673">
        <v>64100</v>
      </c>
      <c r="E1673" t="s">
        <v>169</v>
      </c>
      <c r="F1673">
        <v>21.39</v>
      </c>
      <c r="G1673" t="s">
        <v>4686</v>
      </c>
      <c r="H1673" t="s">
        <v>4687</v>
      </c>
      <c r="I1673">
        <v>25809</v>
      </c>
      <c r="J1673">
        <v>52740</v>
      </c>
      <c r="K1673" t="s">
        <v>173</v>
      </c>
      <c r="L1673" t="str">
        <f>SUBSTITUTE(K1673,"'","")</f>
        <v>320252820573736904</v>
      </c>
      <c r="M1673">
        <v>64100</v>
      </c>
    </row>
    <row r="1674" spans="1:13" x14ac:dyDescent="0.4">
      <c r="A1674" s="1">
        <v>45937</v>
      </c>
      <c r="B1674" t="s">
        <v>4683</v>
      </c>
      <c r="C1674" t="s">
        <v>5448</v>
      </c>
      <c r="D1674">
        <v>54820</v>
      </c>
      <c r="E1674" t="s">
        <v>2158</v>
      </c>
      <c r="F1674">
        <v>200</v>
      </c>
      <c r="G1674" t="s">
        <v>4686</v>
      </c>
      <c r="H1674" t="s">
        <v>4687</v>
      </c>
      <c r="I1674">
        <v>26184</v>
      </c>
      <c r="J1674">
        <v>53490</v>
      </c>
      <c r="K1674" t="s">
        <v>2318</v>
      </c>
      <c r="L1674" t="str">
        <f>SUBSTITUTE(K1674,"'","")</f>
        <v>320252820590959891</v>
      </c>
      <c r="M1674">
        <v>54820</v>
      </c>
    </row>
    <row r="1675" spans="1:13" x14ac:dyDescent="0.4">
      <c r="A1675" s="1">
        <v>45938</v>
      </c>
      <c r="B1675" t="s">
        <v>4683</v>
      </c>
      <c r="C1675" t="s">
        <v>6534</v>
      </c>
      <c r="D1675">
        <v>80100</v>
      </c>
      <c r="E1675" t="s">
        <v>2303</v>
      </c>
      <c r="F1675">
        <v>848.33</v>
      </c>
      <c r="G1675" t="s">
        <v>4686</v>
      </c>
      <c r="H1675" t="s">
        <v>4687</v>
      </c>
      <c r="I1675">
        <v>26351</v>
      </c>
      <c r="J1675">
        <v>53824</v>
      </c>
      <c r="K1675" t="s">
        <v>2304</v>
      </c>
      <c r="L1675" t="str">
        <f>SUBSTITUTE(K1675,"'","")</f>
        <v>151009060000511106</v>
      </c>
      <c r="M1675">
        <v>80100</v>
      </c>
    </row>
    <row r="1676" spans="1:13" x14ac:dyDescent="0.4">
      <c r="A1676" s="1">
        <v>45938</v>
      </c>
      <c r="B1676" t="s">
        <v>4683</v>
      </c>
      <c r="C1676" t="s">
        <v>5451</v>
      </c>
      <c r="D1676">
        <v>54820</v>
      </c>
      <c r="E1676" t="s">
        <v>977</v>
      </c>
      <c r="F1676">
        <v>20</v>
      </c>
      <c r="G1676" t="s">
        <v>4686</v>
      </c>
      <c r="H1676" t="s">
        <v>4687</v>
      </c>
      <c r="I1676">
        <v>26511</v>
      </c>
      <c r="J1676">
        <v>54144</v>
      </c>
      <c r="K1676" t="s">
        <v>2302</v>
      </c>
      <c r="L1676" t="str">
        <f>SUBSTITUTE(K1676,"'","")</f>
        <v>320252810540470673</v>
      </c>
      <c r="M1676">
        <v>54820</v>
      </c>
    </row>
    <row r="1677" spans="1:13" x14ac:dyDescent="0.4">
      <c r="A1677" s="1">
        <v>45938</v>
      </c>
      <c r="B1677" t="s">
        <v>4683</v>
      </c>
      <c r="C1677" t="s">
        <v>5847</v>
      </c>
      <c r="D1677">
        <v>61130</v>
      </c>
      <c r="E1677" t="s">
        <v>478</v>
      </c>
      <c r="F1677">
        <v>25.39</v>
      </c>
      <c r="G1677" t="s">
        <v>4686</v>
      </c>
      <c r="H1677" t="s">
        <v>4687</v>
      </c>
      <c r="I1677">
        <v>26891</v>
      </c>
      <c r="J1677">
        <v>54904</v>
      </c>
      <c r="K1677" t="s">
        <v>2308</v>
      </c>
      <c r="L1677" t="str">
        <f>SUBSTITUTE(K1677,"'","")</f>
        <v>320252810542545672</v>
      </c>
      <c r="M1677">
        <v>61130</v>
      </c>
    </row>
    <row r="1678" spans="1:13" x14ac:dyDescent="0.4">
      <c r="A1678" s="1">
        <v>45938</v>
      </c>
      <c r="B1678" t="s">
        <v>4683</v>
      </c>
      <c r="C1678" t="s">
        <v>5846</v>
      </c>
      <c r="D1678">
        <v>61130</v>
      </c>
      <c r="E1678" t="s">
        <v>478</v>
      </c>
      <c r="F1678">
        <v>5.07</v>
      </c>
      <c r="G1678" t="s">
        <v>4686</v>
      </c>
      <c r="H1678" t="s">
        <v>4687</v>
      </c>
      <c r="I1678">
        <v>26890</v>
      </c>
      <c r="J1678">
        <v>54902</v>
      </c>
      <c r="K1678" t="s">
        <v>2306</v>
      </c>
      <c r="L1678" t="str">
        <f>SUBSTITUTE(K1678,"'","")</f>
        <v>320252810542550007</v>
      </c>
      <c r="M1678">
        <v>61130</v>
      </c>
    </row>
    <row r="1679" spans="1:13" x14ac:dyDescent="0.4">
      <c r="A1679" s="1">
        <v>45938</v>
      </c>
      <c r="B1679" t="s">
        <v>4683</v>
      </c>
      <c r="C1679" t="s">
        <v>5450</v>
      </c>
      <c r="D1679">
        <v>54820</v>
      </c>
      <c r="E1679" t="s">
        <v>2240</v>
      </c>
      <c r="F1679">
        <v>131.58000000000001</v>
      </c>
      <c r="G1679" t="s">
        <v>4686</v>
      </c>
      <c r="H1679" t="s">
        <v>4687</v>
      </c>
      <c r="I1679">
        <v>26155</v>
      </c>
      <c r="J1679">
        <v>53432</v>
      </c>
      <c r="K1679" t="s">
        <v>2310</v>
      </c>
      <c r="L1679" t="str">
        <f>SUBSTITUTE(K1679,"'","")</f>
        <v>320252820582219145</v>
      </c>
      <c r="M1679">
        <v>54820</v>
      </c>
    </row>
    <row r="1680" spans="1:13" x14ac:dyDescent="0.4">
      <c r="A1680" s="1">
        <v>45939</v>
      </c>
      <c r="B1680" t="s">
        <v>4683</v>
      </c>
      <c r="C1680" t="s">
        <v>5454</v>
      </c>
      <c r="D1680">
        <v>54820</v>
      </c>
      <c r="E1680" t="s">
        <v>2291</v>
      </c>
      <c r="F1680">
        <v>133.53</v>
      </c>
      <c r="G1680" t="s">
        <v>4686</v>
      </c>
      <c r="H1680" t="s">
        <v>4687</v>
      </c>
      <c r="I1680">
        <v>26810</v>
      </c>
      <c r="J1680">
        <v>54742</v>
      </c>
      <c r="K1680" t="s">
        <v>2293</v>
      </c>
      <c r="L1680" t="str">
        <f>SUBSTITUTE(K1680,"'","")</f>
        <v>320252820571907581</v>
      </c>
      <c r="M1680">
        <v>54820</v>
      </c>
    </row>
    <row r="1681" spans="1:13" x14ac:dyDescent="0.4">
      <c r="A1681" s="1">
        <v>45939</v>
      </c>
      <c r="B1681" t="s">
        <v>4683</v>
      </c>
      <c r="C1681" t="s">
        <v>5456</v>
      </c>
      <c r="D1681">
        <v>54820</v>
      </c>
      <c r="E1681" t="s">
        <v>2285</v>
      </c>
      <c r="F1681">
        <v>1.06</v>
      </c>
      <c r="G1681" t="s">
        <v>4686</v>
      </c>
      <c r="H1681" t="s">
        <v>4687</v>
      </c>
      <c r="I1681">
        <v>26843</v>
      </c>
      <c r="J1681">
        <v>54808</v>
      </c>
      <c r="K1681" t="s">
        <v>2288</v>
      </c>
      <c r="L1681" t="str">
        <f>SUBSTITUTE(K1681,"'","")</f>
        <v>320252820572172300</v>
      </c>
      <c r="M1681">
        <v>54820</v>
      </c>
    </row>
    <row r="1682" spans="1:13" x14ac:dyDescent="0.4">
      <c r="A1682" s="1">
        <v>45939</v>
      </c>
      <c r="B1682" t="s">
        <v>4683</v>
      </c>
      <c r="C1682" t="s">
        <v>5453</v>
      </c>
      <c r="D1682">
        <v>54820</v>
      </c>
      <c r="E1682" t="s">
        <v>2279</v>
      </c>
      <c r="F1682">
        <v>42.3</v>
      </c>
      <c r="G1682" t="s">
        <v>4686</v>
      </c>
      <c r="H1682" t="s">
        <v>4687</v>
      </c>
      <c r="I1682">
        <v>26809</v>
      </c>
      <c r="J1682">
        <v>54740</v>
      </c>
      <c r="K1682" t="s">
        <v>2282</v>
      </c>
      <c r="L1682" t="str">
        <f>SUBSTITUTE(K1682,"'","")</f>
        <v>320252820574639379</v>
      </c>
      <c r="M1682">
        <v>54820</v>
      </c>
    </row>
    <row r="1683" spans="1:13" x14ac:dyDescent="0.4">
      <c r="A1683" s="1">
        <v>45939</v>
      </c>
      <c r="B1683" t="s">
        <v>4683</v>
      </c>
      <c r="C1683" t="s">
        <v>5457</v>
      </c>
      <c r="D1683">
        <v>54820</v>
      </c>
      <c r="E1683" t="s">
        <v>2190</v>
      </c>
      <c r="F1683">
        <v>9.06</v>
      </c>
      <c r="G1683" t="s">
        <v>4686</v>
      </c>
      <c r="H1683" t="s">
        <v>4687</v>
      </c>
      <c r="I1683">
        <v>27095</v>
      </c>
      <c r="J1683">
        <v>55312</v>
      </c>
      <c r="K1683" t="s">
        <v>2295</v>
      </c>
      <c r="L1683" t="str">
        <f>SUBSTITUTE(K1683,"'","")</f>
        <v>320252820575642756</v>
      </c>
      <c r="M1683">
        <v>54820</v>
      </c>
    </row>
    <row r="1684" spans="1:13" x14ac:dyDescent="0.4">
      <c r="A1684" s="1">
        <v>45939</v>
      </c>
      <c r="B1684" t="s">
        <v>4683</v>
      </c>
      <c r="C1684" t="s">
        <v>5458</v>
      </c>
      <c r="D1684">
        <v>54820</v>
      </c>
      <c r="E1684" t="s">
        <v>2296</v>
      </c>
      <c r="F1684">
        <v>105.95</v>
      </c>
      <c r="G1684" t="s">
        <v>4686</v>
      </c>
      <c r="H1684" t="s">
        <v>4687</v>
      </c>
      <c r="I1684">
        <v>27096</v>
      </c>
      <c r="J1684">
        <v>55314</v>
      </c>
      <c r="K1684" t="s">
        <v>2300</v>
      </c>
      <c r="L1684" t="str">
        <f>SUBSTITUTE(K1684,"'","")</f>
        <v>320252820577330523</v>
      </c>
      <c r="M1684">
        <v>54820</v>
      </c>
    </row>
    <row r="1685" spans="1:13" x14ac:dyDescent="0.4">
      <c r="A1685" s="1">
        <v>45939</v>
      </c>
      <c r="B1685" t="s">
        <v>4683</v>
      </c>
      <c r="C1685" t="s">
        <v>6344</v>
      </c>
      <c r="D1685">
        <v>64100</v>
      </c>
      <c r="E1685" t="s">
        <v>153</v>
      </c>
      <c r="F1685">
        <v>160.69</v>
      </c>
      <c r="G1685" t="s">
        <v>4686</v>
      </c>
      <c r="H1685" t="s">
        <v>4687</v>
      </c>
      <c r="I1685">
        <v>25620</v>
      </c>
      <c r="J1685">
        <v>52362</v>
      </c>
      <c r="K1685" t="s">
        <v>157</v>
      </c>
      <c r="L1685" t="str">
        <f>SUBSTITUTE(K1685,"'","")</f>
        <v>320252820578288346</v>
      </c>
      <c r="M1685">
        <v>64100</v>
      </c>
    </row>
    <row r="1686" spans="1:13" x14ac:dyDescent="0.4">
      <c r="A1686" s="1">
        <v>45939</v>
      </c>
      <c r="B1686" t="s">
        <v>4683</v>
      </c>
      <c r="C1686" t="s">
        <v>6345</v>
      </c>
      <c r="D1686">
        <v>64100</v>
      </c>
      <c r="E1686" t="s">
        <v>153</v>
      </c>
      <c r="F1686">
        <v>216</v>
      </c>
      <c r="G1686" t="s">
        <v>4686</v>
      </c>
      <c r="H1686" t="s">
        <v>4687</v>
      </c>
      <c r="I1686">
        <v>25621</v>
      </c>
      <c r="J1686">
        <v>52364</v>
      </c>
      <c r="K1686" t="s">
        <v>159</v>
      </c>
      <c r="L1686" t="str">
        <f>SUBSTITUTE(K1686,"'","")</f>
        <v>320252820578358266</v>
      </c>
      <c r="M1686">
        <v>64100</v>
      </c>
    </row>
    <row r="1687" spans="1:13" x14ac:dyDescent="0.4">
      <c r="A1687" s="1">
        <v>45939</v>
      </c>
      <c r="B1687" t="s">
        <v>4683</v>
      </c>
      <c r="C1687" t="s">
        <v>5455</v>
      </c>
      <c r="D1687">
        <v>54820</v>
      </c>
      <c r="E1687" t="s">
        <v>1300</v>
      </c>
      <c r="F1687">
        <v>28.74</v>
      </c>
      <c r="G1687" t="s">
        <v>4686</v>
      </c>
      <c r="H1687" t="s">
        <v>4687</v>
      </c>
      <c r="I1687">
        <v>26824</v>
      </c>
      <c r="J1687">
        <v>54770</v>
      </c>
      <c r="K1687" t="s">
        <v>2290</v>
      </c>
      <c r="L1687" t="str">
        <f>SUBSTITUTE(K1687,"'","")</f>
        <v>320252830613714212</v>
      </c>
      <c r="M1687">
        <v>54820</v>
      </c>
    </row>
    <row r="1688" spans="1:13" x14ac:dyDescent="0.4">
      <c r="A1688" s="1">
        <v>45939</v>
      </c>
      <c r="B1688" t="s">
        <v>4683</v>
      </c>
      <c r="C1688" t="s">
        <v>5452</v>
      </c>
      <c r="D1688">
        <v>54820</v>
      </c>
      <c r="E1688" t="s">
        <v>2142</v>
      </c>
      <c r="F1688">
        <v>24.03</v>
      </c>
      <c r="G1688" t="s">
        <v>4686</v>
      </c>
      <c r="H1688" t="s">
        <v>4687</v>
      </c>
      <c r="I1688">
        <v>26610</v>
      </c>
      <c r="J1688">
        <v>54342</v>
      </c>
      <c r="K1688" t="s">
        <v>2284</v>
      </c>
      <c r="L1688" t="str">
        <f>SUBSTITUTE(K1688,"'","")</f>
        <v>320252830613768773</v>
      </c>
      <c r="M1688">
        <v>54820</v>
      </c>
    </row>
    <row r="1689" spans="1:13" x14ac:dyDescent="0.4">
      <c r="A1689" s="1">
        <v>45939</v>
      </c>
      <c r="B1689" t="s">
        <v>4683</v>
      </c>
      <c r="C1689" t="s">
        <v>6346</v>
      </c>
      <c r="D1689">
        <v>64100</v>
      </c>
      <c r="E1689" t="s">
        <v>160</v>
      </c>
      <c r="F1689">
        <v>21.4</v>
      </c>
      <c r="G1689" t="s">
        <v>4686</v>
      </c>
      <c r="H1689" t="s">
        <v>4687</v>
      </c>
      <c r="I1689">
        <v>25908</v>
      </c>
      <c r="J1689">
        <v>52938</v>
      </c>
      <c r="K1689" t="s">
        <v>163</v>
      </c>
      <c r="L1689" t="str">
        <f>SUBSTITUTE(K1689,"'","")</f>
        <v>320252830616486591</v>
      </c>
      <c r="M1689">
        <v>64100</v>
      </c>
    </row>
    <row r="1690" spans="1:13" x14ac:dyDescent="0.4">
      <c r="A1690" s="1">
        <v>45940</v>
      </c>
      <c r="B1690" t="s">
        <v>4683</v>
      </c>
      <c r="C1690" t="s">
        <v>5459</v>
      </c>
      <c r="D1690">
        <v>54820</v>
      </c>
      <c r="E1690" t="s">
        <v>2181</v>
      </c>
      <c r="F1690">
        <v>4.26</v>
      </c>
      <c r="G1690" t="s">
        <v>4686</v>
      </c>
      <c r="H1690" t="s">
        <v>4687</v>
      </c>
      <c r="I1690">
        <v>27097</v>
      </c>
      <c r="J1690">
        <v>55316</v>
      </c>
      <c r="K1690" t="s">
        <v>2271</v>
      </c>
      <c r="L1690" t="str">
        <f>SUBSTITUTE(K1690,"'","")</f>
        <v>320252840632578020</v>
      </c>
      <c r="M1690">
        <v>54820</v>
      </c>
    </row>
    <row r="1691" spans="1:13" x14ac:dyDescent="0.4">
      <c r="A1691" s="1">
        <v>45940</v>
      </c>
      <c r="B1691" t="s">
        <v>4683</v>
      </c>
      <c r="C1691" t="s">
        <v>6513</v>
      </c>
      <c r="D1691">
        <v>67500</v>
      </c>
      <c r="E1691" t="s">
        <v>2272</v>
      </c>
      <c r="F1691">
        <v>307.66000000000003</v>
      </c>
      <c r="G1691" t="s">
        <v>4686</v>
      </c>
      <c r="H1691" t="s">
        <v>4687</v>
      </c>
      <c r="I1691">
        <v>26925</v>
      </c>
      <c r="J1691">
        <v>54972</v>
      </c>
      <c r="K1691" t="s">
        <v>2275</v>
      </c>
      <c r="L1691" t="str">
        <f>SUBSTITUTE(K1691,"'","")</f>
        <v>320252840641165736</v>
      </c>
      <c r="M1691">
        <v>67500</v>
      </c>
    </row>
    <row r="1692" spans="1:13" x14ac:dyDescent="0.4">
      <c r="A1692" s="1">
        <v>45940</v>
      </c>
      <c r="B1692" t="s">
        <v>4683</v>
      </c>
      <c r="C1692" t="s">
        <v>5460</v>
      </c>
      <c r="D1692">
        <v>54820</v>
      </c>
      <c r="E1692" t="s">
        <v>2077</v>
      </c>
      <c r="F1692">
        <v>25</v>
      </c>
      <c r="G1692" t="s">
        <v>4686</v>
      </c>
      <c r="H1692" t="s">
        <v>4687</v>
      </c>
      <c r="I1692">
        <v>27098</v>
      </c>
      <c r="J1692">
        <v>55318</v>
      </c>
      <c r="K1692" t="s">
        <v>2278</v>
      </c>
      <c r="L1692" t="str">
        <f>SUBSTITUTE(K1692,"'","")</f>
        <v>320252840648261668</v>
      </c>
      <c r="M1692">
        <v>54820</v>
      </c>
    </row>
    <row r="1693" spans="1:13" x14ac:dyDescent="0.4">
      <c r="A1693" s="1">
        <v>45941</v>
      </c>
      <c r="B1693" t="s">
        <v>4683</v>
      </c>
      <c r="C1693" t="s">
        <v>5463</v>
      </c>
      <c r="D1693">
        <v>54820</v>
      </c>
      <c r="E1693" t="s">
        <v>2181</v>
      </c>
      <c r="F1693">
        <v>9.99</v>
      </c>
      <c r="G1693" t="s">
        <v>4686</v>
      </c>
      <c r="H1693" t="s">
        <v>4687</v>
      </c>
      <c r="I1693">
        <v>27099</v>
      </c>
      <c r="J1693">
        <v>55320</v>
      </c>
      <c r="K1693" t="s">
        <v>2264</v>
      </c>
      <c r="L1693" t="str">
        <f>SUBSTITUTE(K1693,"'","")</f>
        <v>320252840634019258</v>
      </c>
      <c r="M1693">
        <v>54820</v>
      </c>
    </row>
    <row r="1694" spans="1:13" x14ac:dyDescent="0.4">
      <c r="A1694" s="1">
        <v>45941</v>
      </c>
      <c r="B1694" t="s">
        <v>4683</v>
      </c>
      <c r="C1694" t="s">
        <v>5462</v>
      </c>
      <c r="D1694">
        <v>54820</v>
      </c>
      <c r="E1694" t="s">
        <v>583</v>
      </c>
      <c r="F1694">
        <v>109.56</v>
      </c>
      <c r="G1694" t="s">
        <v>4686</v>
      </c>
      <c r="H1694" t="s">
        <v>4687</v>
      </c>
      <c r="I1694">
        <v>26811</v>
      </c>
      <c r="J1694">
        <v>54744</v>
      </c>
      <c r="K1694" t="s">
        <v>2269</v>
      </c>
      <c r="L1694" t="str">
        <f>SUBSTITUTE(K1694,"'","")</f>
        <v>320252840637856581</v>
      </c>
      <c r="M1694">
        <v>54820</v>
      </c>
    </row>
    <row r="1695" spans="1:13" x14ac:dyDescent="0.4">
      <c r="A1695" s="1">
        <v>45941</v>
      </c>
      <c r="B1695" t="s">
        <v>4683</v>
      </c>
      <c r="C1695" t="s">
        <v>6348</v>
      </c>
      <c r="D1695">
        <v>64100</v>
      </c>
      <c r="E1695" t="s">
        <v>2259</v>
      </c>
      <c r="F1695">
        <v>21.39</v>
      </c>
      <c r="G1695" t="s">
        <v>4686</v>
      </c>
      <c r="H1695" t="s">
        <v>4687</v>
      </c>
      <c r="I1695">
        <v>26342</v>
      </c>
      <c r="J1695">
        <v>53806</v>
      </c>
      <c r="K1695" t="s">
        <v>2262</v>
      </c>
      <c r="L1695" t="str">
        <f>SUBSTITUTE(K1695,"'","")</f>
        <v>320252850665257425</v>
      </c>
      <c r="M1695">
        <v>64100</v>
      </c>
    </row>
    <row r="1696" spans="1:13" x14ac:dyDescent="0.4">
      <c r="A1696" s="1">
        <v>45941</v>
      </c>
      <c r="B1696" t="s">
        <v>4683</v>
      </c>
      <c r="C1696" t="s">
        <v>6349</v>
      </c>
      <c r="D1696">
        <v>64100</v>
      </c>
      <c r="E1696" t="s">
        <v>2265</v>
      </c>
      <c r="F1696">
        <v>36.9</v>
      </c>
      <c r="G1696" t="s">
        <v>4686</v>
      </c>
      <c r="H1696" t="s">
        <v>4687</v>
      </c>
      <c r="I1696">
        <v>26343</v>
      </c>
      <c r="J1696">
        <v>53808</v>
      </c>
      <c r="K1696" t="s">
        <v>2267</v>
      </c>
      <c r="L1696" t="str">
        <f>SUBSTITUTE(K1696,"'","")</f>
        <v>320252850665257519</v>
      </c>
      <c r="M1696">
        <v>64100</v>
      </c>
    </row>
    <row r="1697" spans="1:13" x14ac:dyDescent="0.4">
      <c r="A1697" s="1">
        <v>45941</v>
      </c>
      <c r="B1697" t="s">
        <v>4683</v>
      </c>
      <c r="C1697" t="s">
        <v>5941</v>
      </c>
      <c r="D1697">
        <v>61131</v>
      </c>
      <c r="E1697" t="s">
        <v>145</v>
      </c>
      <c r="F1697">
        <v>2.25</v>
      </c>
      <c r="G1697" t="s">
        <v>4686</v>
      </c>
      <c r="H1697" t="s">
        <v>4687</v>
      </c>
      <c r="I1697">
        <v>25757</v>
      </c>
      <c r="J1697">
        <v>52636</v>
      </c>
      <c r="K1697" t="s">
        <v>147</v>
      </c>
      <c r="L1697" t="str">
        <f>SUBSTITUTE(K1697,"'","")</f>
        <v>320252850665558920</v>
      </c>
      <c r="M1697">
        <v>61131</v>
      </c>
    </row>
    <row r="1698" spans="1:13" x14ac:dyDescent="0.4">
      <c r="A1698" s="1">
        <v>45941</v>
      </c>
      <c r="B1698" t="s">
        <v>4683</v>
      </c>
      <c r="C1698" t="s">
        <v>6347</v>
      </c>
      <c r="D1698">
        <v>64100</v>
      </c>
      <c r="E1698" t="s">
        <v>148</v>
      </c>
      <c r="F1698">
        <v>29.96</v>
      </c>
      <c r="G1698" t="s">
        <v>4686</v>
      </c>
      <c r="H1698" t="s">
        <v>4687</v>
      </c>
      <c r="I1698">
        <v>26091</v>
      </c>
      <c r="J1698">
        <v>53304</v>
      </c>
      <c r="K1698" t="s">
        <v>152</v>
      </c>
      <c r="L1698" t="str">
        <f>SUBSTITUTE(K1698,"'","")</f>
        <v>320252850676841603</v>
      </c>
      <c r="M1698">
        <v>64100</v>
      </c>
    </row>
    <row r="1699" spans="1:13" x14ac:dyDescent="0.4">
      <c r="A1699" s="1">
        <v>45941</v>
      </c>
      <c r="B1699" t="s">
        <v>4683</v>
      </c>
      <c r="C1699" t="s">
        <v>5461</v>
      </c>
      <c r="D1699">
        <v>54820</v>
      </c>
      <c r="E1699" t="s">
        <v>140</v>
      </c>
      <c r="F1699">
        <v>71.3</v>
      </c>
      <c r="G1699" t="s">
        <v>4686</v>
      </c>
      <c r="H1699" t="s">
        <v>4687</v>
      </c>
      <c r="I1699">
        <v>25714</v>
      </c>
      <c r="J1699">
        <v>52550</v>
      </c>
      <c r="K1699" t="s">
        <v>144</v>
      </c>
      <c r="L1699" t="str">
        <f>SUBSTITUTE(K1699,"'","")</f>
        <v>320252860697034777</v>
      </c>
      <c r="M1699">
        <v>54820</v>
      </c>
    </row>
    <row r="1700" spans="1:13" x14ac:dyDescent="0.4">
      <c r="A1700" s="1">
        <v>45942</v>
      </c>
      <c r="B1700" t="s">
        <v>4683</v>
      </c>
      <c r="C1700" t="s">
        <v>5466</v>
      </c>
      <c r="D1700">
        <v>54820</v>
      </c>
      <c r="E1700" t="s">
        <v>2181</v>
      </c>
      <c r="F1700">
        <v>17.09</v>
      </c>
      <c r="G1700" t="s">
        <v>4686</v>
      </c>
      <c r="H1700" t="s">
        <v>4687</v>
      </c>
      <c r="I1700">
        <v>27100</v>
      </c>
      <c r="J1700">
        <v>55322</v>
      </c>
      <c r="K1700" t="s">
        <v>2245</v>
      </c>
      <c r="L1700" t="str">
        <f>SUBSTITUTE(K1700,"'","")</f>
        <v>320252850658893344</v>
      </c>
      <c r="M1700">
        <v>54820</v>
      </c>
    </row>
    <row r="1701" spans="1:13" x14ac:dyDescent="0.4">
      <c r="A1701" s="1">
        <v>45942</v>
      </c>
      <c r="B1701" t="s">
        <v>4683</v>
      </c>
      <c r="C1701" t="s">
        <v>5465</v>
      </c>
      <c r="D1701">
        <v>54820</v>
      </c>
      <c r="E1701" t="s">
        <v>583</v>
      </c>
      <c r="F1701">
        <v>203.47</v>
      </c>
      <c r="G1701" t="s">
        <v>4686</v>
      </c>
      <c r="H1701" t="s">
        <v>4687</v>
      </c>
      <c r="I1701">
        <v>26812</v>
      </c>
      <c r="J1701">
        <v>54746</v>
      </c>
      <c r="K1701" t="s">
        <v>2252</v>
      </c>
      <c r="L1701" t="str">
        <f>SUBSTITUTE(K1701,"'","")</f>
        <v>320252850659856617</v>
      </c>
      <c r="M1701">
        <v>54820</v>
      </c>
    </row>
    <row r="1702" spans="1:13" x14ac:dyDescent="0.4">
      <c r="A1702" s="1">
        <v>45942</v>
      </c>
      <c r="B1702" t="s">
        <v>4683</v>
      </c>
      <c r="C1702" t="s">
        <v>5848</v>
      </c>
      <c r="D1702">
        <v>61130</v>
      </c>
      <c r="E1702" t="s">
        <v>478</v>
      </c>
      <c r="F1702">
        <v>28.88</v>
      </c>
      <c r="G1702" t="s">
        <v>4686</v>
      </c>
      <c r="H1702" t="s">
        <v>4687</v>
      </c>
      <c r="I1702">
        <v>26892</v>
      </c>
      <c r="J1702">
        <v>54906</v>
      </c>
      <c r="K1702" t="s">
        <v>2254</v>
      </c>
      <c r="L1702" t="str">
        <f>SUBSTITUTE(K1702,"'","")</f>
        <v>320252850660225681</v>
      </c>
      <c r="M1702">
        <v>61130</v>
      </c>
    </row>
    <row r="1703" spans="1:13" x14ac:dyDescent="0.4">
      <c r="A1703" s="1">
        <v>45942</v>
      </c>
      <c r="B1703" t="s">
        <v>4683</v>
      </c>
      <c r="C1703" t="s">
        <v>5849</v>
      </c>
      <c r="D1703">
        <v>61130</v>
      </c>
      <c r="E1703" t="s">
        <v>478</v>
      </c>
      <c r="F1703">
        <v>30.79</v>
      </c>
      <c r="G1703" t="s">
        <v>4686</v>
      </c>
      <c r="H1703" t="s">
        <v>4687</v>
      </c>
      <c r="I1703">
        <v>26893</v>
      </c>
      <c r="J1703">
        <v>54908</v>
      </c>
      <c r="K1703" t="s">
        <v>2256</v>
      </c>
      <c r="L1703" t="str">
        <f>SUBSTITUTE(K1703,"'","")</f>
        <v>320252850660879658</v>
      </c>
      <c r="M1703">
        <v>61130</v>
      </c>
    </row>
    <row r="1704" spans="1:13" x14ac:dyDescent="0.4">
      <c r="A1704" s="1">
        <v>45942</v>
      </c>
      <c r="B1704" t="s">
        <v>4683</v>
      </c>
      <c r="C1704" t="s">
        <v>6350</v>
      </c>
      <c r="D1704">
        <v>64100</v>
      </c>
      <c r="E1704" t="s">
        <v>127</v>
      </c>
      <c r="F1704">
        <v>16.04</v>
      </c>
      <c r="G1704" t="s">
        <v>4686</v>
      </c>
      <c r="H1704" t="s">
        <v>4687</v>
      </c>
      <c r="I1704">
        <v>25543</v>
      </c>
      <c r="J1704">
        <v>52208</v>
      </c>
      <c r="K1704" t="s">
        <v>132</v>
      </c>
      <c r="L1704" t="str">
        <f>SUBSTITUTE(K1704,"'","")</f>
        <v>320252850669380148</v>
      </c>
      <c r="M1704">
        <v>64100</v>
      </c>
    </row>
    <row r="1705" spans="1:13" x14ac:dyDescent="0.4">
      <c r="A1705" s="1">
        <v>45942</v>
      </c>
      <c r="B1705" t="s">
        <v>4683</v>
      </c>
      <c r="C1705" t="s">
        <v>5850</v>
      </c>
      <c r="D1705">
        <v>61130</v>
      </c>
      <c r="E1705" t="s">
        <v>478</v>
      </c>
      <c r="F1705">
        <v>40.51</v>
      </c>
      <c r="G1705" t="s">
        <v>4686</v>
      </c>
      <c r="H1705" t="s">
        <v>4687</v>
      </c>
      <c r="I1705">
        <v>26894</v>
      </c>
      <c r="J1705">
        <v>54910</v>
      </c>
      <c r="K1705" t="s">
        <v>2258</v>
      </c>
      <c r="L1705" t="str">
        <f>SUBSTITUTE(K1705,"'","")</f>
        <v>320252860692077222</v>
      </c>
      <c r="M1705">
        <v>61130</v>
      </c>
    </row>
    <row r="1706" spans="1:13" x14ac:dyDescent="0.4">
      <c r="A1706" s="1">
        <v>45942</v>
      </c>
      <c r="B1706" t="s">
        <v>4683</v>
      </c>
      <c r="C1706" t="s">
        <v>6044</v>
      </c>
      <c r="D1706">
        <v>61215</v>
      </c>
      <c r="E1706" t="s">
        <v>136</v>
      </c>
      <c r="F1706">
        <v>318.61</v>
      </c>
      <c r="G1706" t="s">
        <v>4686</v>
      </c>
      <c r="H1706" t="s">
        <v>4687</v>
      </c>
      <c r="I1706">
        <v>25993</v>
      </c>
      <c r="J1706">
        <v>53108</v>
      </c>
      <c r="K1706" t="s">
        <v>139</v>
      </c>
      <c r="L1706" t="str">
        <f>SUBSTITUTE(K1706,"'","")</f>
        <v>320252860703375222</v>
      </c>
      <c r="M1706">
        <v>61215</v>
      </c>
    </row>
    <row r="1707" spans="1:13" x14ac:dyDescent="0.4">
      <c r="A1707" s="1">
        <v>45942</v>
      </c>
      <c r="B1707" t="s">
        <v>4683</v>
      </c>
      <c r="C1707" t="s">
        <v>5464</v>
      </c>
      <c r="D1707">
        <v>54820</v>
      </c>
      <c r="E1707" t="s">
        <v>2246</v>
      </c>
      <c r="F1707">
        <v>11.99</v>
      </c>
      <c r="G1707" t="s">
        <v>4686</v>
      </c>
      <c r="H1707" t="s">
        <v>4687</v>
      </c>
      <c r="I1707">
        <v>26326</v>
      </c>
      <c r="J1707">
        <v>53774</v>
      </c>
      <c r="K1707" t="s">
        <v>2250</v>
      </c>
      <c r="L1707" t="str">
        <f>SUBSTITUTE(K1707,"'","")</f>
        <v>320252860705220326</v>
      </c>
      <c r="M1707">
        <v>54820</v>
      </c>
    </row>
    <row r="1708" spans="1:13" x14ac:dyDescent="0.4">
      <c r="A1708" s="1">
        <v>45943</v>
      </c>
      <c r="B1708" t="s">
        <v>4683</v>
      </c>
      <c r="C1708" t="s">
        <v>5533</v>
      </c>
      <c r="D1708">
        <v>61100</v>
      </c>
      <c r="E1708" t="s">
        <v>2231</v>
      </c>
      <c r="F1708">
        <v>106.99</v>
      </c>
      <c r="G1708" t="s">
        <v>4686</v>
      </c>
      <c r="H1708" t="s">
        <v>4687</v>
      </c>
      <c r="I1708">
        <v>26257</v>
      </c>
      <c r="J1708">
        <v>53636</v>
      </c>
      <c r="K1708" t="s">
        <v>2235</v>
      </c>
      <c r="L1708" t="str">
        <f>SUBSTITUTE(K1708,"'","")</f>
        <v>320252860688157696</v>
      </c>
      <c r="M1708">
        <v>61100</v>
      </c>
    </row>
    <row r="1709" spans="1:13" x14ac:dyDescent="0.4">
      <c r="A1709" s="1">
        <v>45943</v>
      </c>
      <c r="B1709" t="s">
        <v>4683</v>
      </c>
      <c r="C1709" t="s">
        <v>5852</v>
      </c>
      <c r="D1709">
        <v>61130</v>
      </c>
      <c r="E1709" t="s">
        <v>478</v>
      </c>
      <c r="F1709">
        <v>44.11</v>
      </c>
      <c r="G1709" t="s">
        <v>4686</v>
      </c>
      <c r="H1709" t="s">
        <v>4687</v>
      </c>
      <c r="I1709">
        <v>26896</v>
      </c>
      <c r="J1709">
        <v>54914</v>
      </c>
      <c r="K1709" t="s">
        <v>2239</v>
      </c>
      <c r="L1709" t="str">
        <f>SUBSTITUTE(K1709,"'","")</f>
        <v>320252860693142969</v>
      </c>
      <c r="M1709">
        <v>61130</v>
      </c>
    </row>
    <row r="1710" spans="1:13" x14ac:dyDescent="0.4">
      <c r="A1710" s="1">
        <v>45943</v>
      </c>
      <c r="B1710" t="s">
        <v>4683</v>
      </c>
      <c r="C1710" t="s">
        <v>5851</v>
      </c>
      <c r="D1710">
        <v>61130</v>
      </c>
      <c r="E1710" t="s">
        <v>478</v>
      </c>
      <c r="F1710">
        <v>33.61</v>
      </c>
      <c r="G1710" t="s">
        <v>4686</v>
      </c>
      <c r="H1710" t="s">
        <v>4687</v>
      </c>
      <c r="I1710">
        <v>26895</v>
      </c>
      <c r="J1710">
        <v>54912</v>
      </c>
      <c r="K1710" t="s">
        <v>2237</v>
      </c>
      <c r="L1710" t="str">
        <f>SUBSTITUTE(K1710,"'","")</f>
        <v>320252860693258090</v>
      </c>
      <c r="M1710">
        <v>61130</v>
      </c>
    </row>
    <row r="1711" spans="1:13" x14ac:dyDescent="0.4">
      <c r="A1711" s="1">
        <v>45943</v>
      </c>
      <c r="B1711" t="s">
        <v>4683</v>
      </c>
      <c r="C1711" t="s">
        <v>6045</v>
      </c>
      <c r="D1711">
        <v>61215</v>
      </c>
      <c r="E1711" t="s">
        <v>122</v>
      </c>
      <c r="F1711" s="5">
        <v>1764.46</v>
      </c>
      <c r="G1711" t="s">
        <v>4686</v>
      </c>
      <c r="H1711" t="s">
        <v>4687</v>
      </c>
      <c r="I1711">
        <v>25994</v>
      </c>
      <c r="J1711">
        <v>53110</v>
      </c>
      <c r="K1711" t="s">
        <v>125</v>
      </c>
      <c r="L1711" t="str">
        <f>SUBSTITUTE(K1711,"'","")</f>
        <v>320252860695536053</v>
      </c>
      <c r="M1711">
        <v>61215</v>
      </c>
    </row>
    <row r="1712" spans="1:13" x14ac:dyDescent="0.4">
      <c r="A1712" s="1">
        <v>45943</v>
      </c>
      <c r="B1712" t="s">
        <v>4683</v>
      </c>
      <c r="C1712" t="s">
        <v>5468</v>
      </c>
      <c r="D1712">
        <v>54820</v>
      </c>
      <c r="E1712" t="s">
        <v>2240</v>
      </c>
      <c r="F1712">
        <v>48.56</v>
      </c>
      <c r="G1712" t="s">
        <v>4686</v>
      </c>
      <c r="H1712" t="s">
        <v>4687</v>
      </c>
      <c r="I1712">
        <v>26156</v>
      </c>
      <c r="J1712">
        <v>53434</v>
      </c>
      <c r="K1712" t="s">
        <v>2243</v>
      </c>
      <c r="L1712" t="str">
        <f>SUBSTITUTE(K1712,"'","")</f>
        <v>320252870722143491</v>
      </c>
      <c r="M1712">
        <v>54820</v>
      </c>
    </row>
    <row r="1713" spans="1:13" x14ac:dyDescent="0.4">
      <c r="A1713" s="1">
        <v>45943</v>
      </c>
      <c r="B1713" t="s">
        <v>4683</v>
      </c>
      <c r="C1713" t="s">
        <v>5469</v>
      </c>
      <c r="D1713">
        <v>54820</v>
      </c>
      <c r="E1713" t="s">
        <v>2142</v>
      </c>
      <c r="F1713">
        <v>15.49</v>
      </c>
      <c r="G1713" t="s">
        <v>4686</v>
      </c>
      <c r="H1713" t="s">
        <v>4687</v>
      </c>
      <c r="I1713">
        <v>26611</v>
      </c>
      <c r="J1713">
        <v>54344</v>
      </c>
      <c r="K1713" t="s">
        <v>2230</v>
      </c>
      <c r="L1713" t="str">
        <f>SUBSTITUTE(K1713,"'","")</f>
        <v>320252870722233675</v>
      </c>
      <c r="M1713">
        <v>54820</v>
      </c>
    </row>
    <row r="1714" spans="1:13" x14ac:dyDescent="0.4">
      <c r="A1714" s="1">
        <v>45943</v>
      </c>
      <c r="B1714" t="s">
        <v>4683</v>
      </c>
      <c r="C1714" t="s">
        <v>5467</v>
      </c>
      <c r="D1714">
        <v>54820</v>
      </c>
      <c r="E1714" t="s">
        <v>119</v>
      </c>
      <c r="F1714">
        <v>9.99</v>
      </c>
      <c r="G1714" t="s">
        <v>4686</v>
      </c>
      <c r="H1714" t="s">
        <v>4687</v>
      </c>
      <c r="I1714">
        <v>25899</v>
      </c>
      <c r="J1714">
        <v>52920</v>
      </c>
      <c r="K1714" t="s">
        <v>121</v>
      </c>
      <c r="L1714" t="str">
        <f>SUBSTITUTE(K1714,"'","")</f>
        <v>320252870726270033</v>
      </c>
      <c r="M1714">
        <v>54820</v>
      </c>
    </row>
    <row r="1715" spans="1:13" x14ac:dyDescent="0.4">
      <c r="A1715" s="1">
        <v>45944</v>
      </c>
      <c r="B1715" t="s">
        <v>4683</v>
      </c>
      <c r="C1715" t="s">
        <v>5473</v>
      </c>
      <c r="D1715">
        <v>54820</v>
      </c>
      <c r="E1715" t="s">
        <v>2222</v>
      </c>
      <c r="F1715">
        <v>20.18</v>
      </c>
      <c r="G1715" t="s">
        <v>4686</v>
      </c>
      <c r="H1715" t="s">
        <v>4687</v>
      </c>
      <c r="I1715">
        <v>26457</v>
      </c>
      <c r="J1715">
        <v>54036</v>
      </c>
      <c r="K1715" t="s">
        <v>2225</v>
      </c>
      <c r="L1715" t="str">
        <f>SUBSTITUTE(K1715,"'","")</f>
        <v>320252870713322525</v>
      </c>
      <c r="M1715">
        <v>54820</v>
      </c>
    </row>
    <row r="1716" spans="1:13" x14ac:dyDescent="0.4">
      <c r="A1716" s="1">
        <v>45944</v>
      </c>
      <c r="B1716" t="s">
        <v>4683</v>
      </c>
      <c r="C1716" t="s">
        <v>5471</v>
      </c>
      <c r="D1716">
        <v>54820</v>
      </c>
      <c r="E1716" t="s">
        <v>2217</v>
      </c>
      <c r="F1716">
        <v>50.67</v>
      </c>
      <c r="G1716" t="s">
        <v>4686</v>
      </c>
      <c r="H1716" t="s">
        <v>4687</v>
      </c>
      <c r="I1716">
        <v>26276</v>
      </c>
      <c r="J1716">
        <v>53674</v>
      </c>
      <c r="K1716" t="s">
        <v>2220</v>
      </c>
      <c r="L1716" t="str">
        <f>SUBSTITUTE(K1716,"'","")</f>
        <v>320252870713334912</v>
      </c>
      <c r="M1716">
        <v>54820</v>
      </c>
    </row>
    <row r="1717" spans="1:13" x14ac:dyDescent="0.4">
      <c r="A1717" s="1">
        <v>45944</v>
      </c>
      <c r="B1717" t="s">
        <v>4683</v>
      </c>
      <c r="C1717" t="s">
        <v>6514</v>
      </c>
      <c r="D1717">
        <v>67500</v>
      </c>
      <c r="E1717" t="s">
        <v>106</v>
      </c>
      <c r="F1717">
        <v>95.63</v>
      </c>
      <c r="G1717" t="s">
        <v>4686</v>
      </c>
      <c r="H1717" t="s">
        <v>4687</v>
      </c>
      <c r="I1717">
        <v>25877</v>
      </c>
      <c r="J1717">
        <v>52876</v>
      </c>
      <c r="K1717" t="s">
        <v>109</v>
      </c>
      <c r="L1717" t="str">
        <f>SUBSTITUTE(K1717,"'","")</f>
        <v>320252870716376398</v>
      </c>
      <c r="M1717">
        <v>67500</v>
      </c>
    </row>
    <row r="1718" spans="1:13" x14ac:dyDescent="0.4">
      <c r="A1718" s="1">
        <v>45944</v>
      </c>
      <c r="B1718" t="s">
        <v>4683</v>
      </c>
      <c r="C1718" t="s">
        <v>6515</v>
      </c>
      <c r="D1718">
        <v>67500</v>
      </c>
      <c r="E1718" t="s">
        <v>111</v>
      </c>
      <c r="F1718">
        <v>190</v>
      </c>
      <c r="G1718" t="s">
        <v>4686</v>
      </c>
      <c r="H1718" t="s">
        <v>4687</v>
      </c>
      <c r="I1718">
        <v>26080</v>
      </c>
      <c r="J1718">
        <v>53282</v>
      </c>
      <c r="K1718" t="s">
        <v>115</v>
      </c>
      <c r="L1718" t="str">
        <f>SUBSTITUTE(K1718,"'","")</f>
        <v>320252870717349213</v>
      </c>
      <c r="M1718">
        <v>67500</v>
      </c>
    </row>
    <row r="1719" spans="1:13" x14ac:dyDescent="0.4">
      <c r="A1719" s="1">
        <v>45944</v>
      </c>
      <c r="B1719" t="s">
        <v>4683</v>
      </c>
      <c r="C1719" t="s">
        <v>6516</v>
      </c>
      <c r="D1719">
        <v>67500</v>
      </c>
      <c r="E1719" t="s">
        <v>111</v>
      </c>
      <c r="F1719">
        <v>600</v>
      </c>
      <c r="G1719" t="s">
        <v>4686</v>
      </c>
      <c r="H1719" t="s">
        <v>4687</v>
      </c>
      <c r="I1719">
        <v>26081</v>
      </c>
      <c r="J1719">
        <v>53284</v>
      </c>
      <c r="K1719" t="s">
        <v>118</v>
      </c>
      <c r="L1719" t="str">
        <f>SUBSTITUTE(K1719,"'","")</f>
        <v>320252870717388119</v>
      </c>
      <c r="M1719">
        <v>67500</v>
      </c>
    </row>
    <row r="1720" spans="1:13" x14ac:dyDescent="0.4">
      <c r="A1720" s="1">
        <v>45944</v>
      </c>
      <c r="B1720" t="s">
        <v>4683</v>
      </c>
      <c r="C1720" t="s">
        <v>5474</v>
      </c>
      <c r="D1720">
        <v>54820</v>
      </c>
      <c r="E1720" t="s">
        <v>2190</v>
      </c>
      <c r="F1720">
        <v>9.06</v>
      </c>
      <c r="G1720" t="s">
        <v>4686</v>
      </c>
      <c r="H1720" t="s">
        <v>4687</v>
      </c>
      <c r="I1720">
        <v>27101</v>
      </c>
      <c r="J1720">
        <v>55324</v>
      </c>
      <c r="K1720" t="s">
        <v>2216</v>
      </c>
      <c r="L1720" t="str">
        <f>SUBSTITUTE(K1720,"'","")</f>
        <v>320252870717425544</v>
      </c>
      <c r="M1720">
        <v>54820</v>
      </c>
    </row>
    <row r="1721" spans="1:13" x14ac:dyDescent="0.4">
      <c r="A1721" s="1">
        <v>45944</v>
      </c>
      <c r="B1721" t="s">
        <v>4683</v>
      </c>
      <c r="C1721" t="s">
        <v>5470</v>
      </c>
      <c r="D1721">
        <v>54820</v>
      </c>
      <c r="E1721" t="s">
        <v>103</v>
      </c>
      <c r="F1721">
        <v>3.99</v>
      </c>
      <c r="G1721" t="s">
        <v>4686</v>
      </c>
      <c r="H1721" t="s">
        <v>4687</v>
      </c>
      <c r="I1721">
        <v>25900</v>
      </c>
      <c r="J1721">
        <v>52922</v>
      </c>
      <c r="K1721" t="s">
        <v>105</v>
      </c>
      <c r="L1721" t="str">
        <f>SUBSTITUTE(K1721,"'","")</f>
        <v>320252870736291450</v>
      </c>
      <c r="M1721">
        <v>54820</v>
      </c>
    </row>
    <row r="1722" spans="1:13" x14ac:dyDescent="0.4">
      <c r="A1722" s="1">
        <v>45944</v>
      </c>
      <c r="B1722" t="s">
        <v>4683</v>
      </c>
      <c r="C1722" t="s">
        <v>5472</v>
      </c>
      <c r="D1722">
        <v>54820</v>
      </c>
      <c r="E1722" t="s">
        <v>140</v>
      </c>
      <c r="F1722">
        <v>67.650000000000006</v>
      </c>
      <c r="G1722" t="s">
        <v>4686</v>
      </c>
      <c r="H1722" t="s">
        <v>4687</v>
      </c>
      <c r="I1722">
        <v>26401</v>
      </c>
      <c r="J1722">
        <v>53924</v>
      </c>
      <c r="K1722" t="s">
        <v>2214</v>
      </c>
      <c r="L1722" t="str">
        <f>SUBSTITUTE(K1722,"'","")</f>
        <v>320252880748328905</v>
      </c>
      <c r="M1722">
        <v>54820</v>
      </c>
    </row>
    <row r="1723" spans="1:13" x14ac:dyDescent="0.4">
      <c r="A1723" s="1">
        <v>45944</v>
      </c>
      <c r="B1723" t="s">
        <v>4683</v>
      </c>
      <c r="C1723" t="s">
        <v>6352</v>
      </c>
      <c r="D1723">
        <v>64100</v>
      </c>
      <c r="E1723" t="s">
        <v>91</v>
      </c>
      <c r="F1723">
        <v>199</v>
      </c>
      <c r="G1723" t="s">
        <v>4686</v>
      </c>
      <c r="H1723" t="s">
        <v>4687</v>
      </c>
      <c r="I1723">
        <v>26092</v>
      </c>
      <c r="J1723">
        <v>53306</v>
      </c>
      <c r="K1723" t="s">
        <v>95</v>
      </c>
      <c r="L1723" t="str">
        <f>SUBSTITUTE(K1723,"'","")</f>
        <v>320252880755794215</v>
      </c>
      <c r="M1723">
        <v>64100</v>
      </c>
    </row>
    <row r="1724" spans="1:13" x14ac:dyDescent="0.4">
      <c r="A1724" s="1">
        <v>45944</v>
      </c>
      <c r="B1724" t="s">
        <v>4683</v>
      </c>
      <c r="C1724" t="s">
        <v>6445</v>
      </c>
      <c r="D1724">
        <v>65700</v>
      </c>
      <c r="E1724" t="s">
        <v>83</v>
      </c>
      <c r="F1724">
        <v>109.47</v>
      </c>
      <c r="G1724" t="s">
        <v>4686</v>
      </c>
      <c r="H1724" t="s">
        <v>4687</v>
      </c>
      <c r="I1724">
        <v>25553</v>
      </c>
      <c r="J1724">
        <v>52228</v>
      </c>
      <c r="K1724" t="s">
        <v>89</v>
      </c>
      <c r="L1724" t="str">
        <f>SUBSTITUTE(K1724,"'","")</f>
        <v>320252880756013817</v>
      </c>
      <c r="M1724">
        <v>65700</v>
      </c>
    </row>
    <row r="1725" spans="1:13" x14ac:dyDescent="0.4">
      <c r="A1725" s="1">
        <v>45944</v>
      </c>
      <c r="B1725" t="s">
        <v>4683</v>
      </c>
      <c r="C1725" t="s">
        <v>6351</v>
      </c>
      <c r="D1725">
        <v>64100</v>
      </c>
      <c r="E1725" t="s">
        <v>97</v>
      </c>
      <c r="F1725">
        <v>473.81</v>
      </c>
      <c r="G1725" t="s">
        <v>4686</v>
      </c>
      <c r="H1725" t="s">
        <v>4687</v>
      </c>
      <c r="I1725">
        <v>25914</v>
      </c>
      <c r="J1725">
        <v>52950</v>
      </c>
      <c r="K1725" t="s">
        <v>101</v>
      </c>
      <c r="L1725" t="str">
        <f>SUBSTITUTE(K1725,"'","")</f>
        <v>320252880757011722</v>
      </c>
      <c r="M1725">
        <v>64100</v>
      </c>
    </row>
    <row r="1726" spans="1:13" x14ac:dyDescent="0.4">
      <c r="A1726" s="1">
        <v>45944</v>
      </c>
      <c r="B1726" t="s">
        <v>4683</v>
      </c>
      <c r="C1726" t="s">
        <v>5475</v>
      </c>
      <c r="D1726">
        <v>54820</v>
      </c>
      <c r="E1726" t="s">
        <v>2226</v>
      </c>
      <c r="F1726">
        <v>126.9</v>
      </c>
      <c r="G1726" t="s">
        <v>4686</v>
      </c>
      <c r="H1726" t="s">
        <v>4687</v>
      </c>
      <c r="I1726">
        <v>27102</v>
      </c>
      <c r="J1726">
        <v>55326</v>
      </c>
      <c r="K1726" t="s">
        <v>2228</v>
      </c>
      <c r="L1726" t="str">
        <f>SUBSTITUTE(K1726,"'","")</f>
        <v>320252880760792916</v>
      </c>
      <c r="M1726">
        <v>54820</v>
      </c>
    </row>
    <row r="1727" spans="1:13" x14ac:dyDescent="0.4">
      <c r="A1727" s="1">
        <v>45945</v>
      </c>
      <c r="B1727" t="s">
        <v>4683</v>
      </c>
      <c r="C1727" t="s">
        <v>5477</v>
      </c>
      <c r="D1727">
        <v>54820</v>
      </c>
      <c r="E1727" t="s">
        <v>2204</v>
      </c>
      <c r="F1727">
        <v>103.54</v>
      </c>
      <c r="G1727" t="s">
        <v>4686</v>
      </c>
      <c r="H1727" t="s">
        <v>4687</v>
      </c>
      <c r="I1727">
        <v>26813</v>
      </c>
      <c r="J1727">
        <v>54748</v>
      </c>
      <c r="K1727" t="s">
        <v>2207</v>
      </c>
      <c r="L1727" t="str">
        <f>SUBSTITUTE(K1727,"'","")</f>
        <v>320252880741027235</v>
      </c>
      <c r="M1727">
        <v>54820</v>
      </c>
    </row>
    <row r="1728" spans="1:13" x14ac:dyDescent="0.4">
      <c r="A1728" s="1">
        <v>45945</v>
      </c>
      <c r="B1728" t="s">
        <v>4683</v>
      </c>
      <c r="C1728" t="s">
        <v>5478</v>
      </c>
      <c r="D1728">
        <v>54820</v>
      </c>
      <c r="E1728" t="s">
        <v>2181</v>
      </c>
      <c r="F1728">
        <v>7.48</v>
      </c>
      <c r="G1728" t="s">
        <v>4686</v>
      </c>
      <c r="H1728" t="s">
        <v>4687</v>
      </c>
      <c r="I1728">
        <v>27103</v>
      </c>
      <c r="J1728">
        <v>55328</v>
      </c>
      <c r="K1728" t="s">
        <v>2203</v>
      </c>
      <c r="L1728" t="str">
        <f>SUBSTITUTE(K1728,"'","")</f>
        <v>320252880741944962</v>
      </c>
      <c r="M1728">
        <v>54820</v>
      </c>
    </row>
    <row r="1729" spans="1:13" x14ac:dyDescent="0.4">
      <c r="A1729" s="1">
        <v>45945</v>
      </c>
      <c r="B1729" t="s">
        <v>4683</v>
      </c>
      <c r="C1729" t="s">
        <v>6405</v>
      </c>
      <c r="D1729">
        <v>65600</v>
      </c>
      <c r="E1729" t="s">
        <v>2208</v>
      </c>
      <c r="F1729">
        <v>239</v>
      </c>
      <c r="G1729" t="s">
        <v>4686</v>
      </c>
      <c r="H1729" t="s">
        <v>4687</v>
      </c>
      <c r="I1729">
        <v>26910</v>
      </c>
      <c r="J1729">
        <v>54942</v>
      </c>
      <c r="K1729" t="s">
        <v>2212</v>
      </c>
      <c r="L1729" t="str">
        <f>SUBSTITUTE(K1729,"'","")</f>
        <v>320252880762960371</v>
      </c>
      <c r="M1729">
        <v>65600</v>
      </c>
    </row>
    <row r="1730" spans="1:13" x14ac:dyDescent="0.4">
      <c r="A1730" s="1">
        <v>45945</v>
      </c>
      <c r="B1730" t="s">
        <v>4683</v>
      </c>
      <c r="C1730" t="s">
        <v>6353</v>
      </c>
      <c r="D1730">
        <v>64100</v>
      </c>
      <c r="E1730" t="s">
        <v>78</v>
      </c>
      <c r="F1730">
        <v>10</v>
      </c>
      <c r="G1730" t="s">
        <v>4686</v>
      </c>
      <c r="H1730" t="s">
        <v>4687</v>
      </c>
      <c r="I1730">
        <v>25578</v>
      </c>
      <c r="J1730">
        <v>52278</v>
      </c>
      <c r="K1730" t="s">
        <v>82</v>
      </c>
      <c r="L1730" t="str">
        <f>SUBSTITUTE(K1730,"'","")</f>
        <v>320252890777574526</v>
      </c>
      <c r="M1730">
        <v>64100</v>
      </c>
    </row>
    <row r="1731" spans="1:13" x14ac:dyDescent="0.4">
      <c r="A1731" s="1">
        <v>45945</v>
      </c>
      <c r="B1731" t="s">
        <v>4683</v>
      </c>
      <c r="C1731" t="s">
        <v>5476</v>
      </c>
      <c r="D1731">
        <v>54820</v>
      </c>
      <c r="E1731" t="s">
        <v>140</v>
      </c>
      <c r="F1731">
        <v>46.82</v>
      </c>
      <c r="G1731" t="s">
        <v>4686</v>
      </c>
      <c r="H1731" t="s">
        <v>4687</v>
      </c>
      <c r="I1731">
        <v>26402</v>
      </c>
      <c r="J1731">
        <v>53926</v>
      </c>
      <c r="K1731" t="s">
        <v>2201</v>
      </c>
      <c r="L1731" t="str">
        <f>SUBSTITUTE(K1731,"'","")</f>
        <v>320252890778648478</v>
      </c>
      <c r="M1731">
        <v>54820</v>
      </c>
    </row>
    <row r="1732" spans="1:13" x14ac:dyDescent="0.4">
      <c r="A1732" s="1">
        <v>45945</v>
      </c>
      <c r="B1732" t="s">
        <v>4683</v>
      </c>
      <c r="C1732" t="s">
        <v>5942</v>
      </c>
      <c r="D1732">
        <v>61131</v>
      </c>
      <c r="E1732" t="s">
        <v>75</v>
      </c>
      <c r="F1732">
        <v>9.15</v>
      </c>
      <c r="G1732" t="s">
        <v>4686</v>
      </c>
      <c r="H1732" t="s">
        <v>4687</v>
      </c>
      <c r="I1732">
        <v>25758</v>
      </c>
      <c r="J1732">
        <v>52638</v>
      </c>
      <c r="K1732" t="s">
        <v>77</v>
      </c>
      <c r="L1732" t="str">
        <f>SUBSTITUTE(K1732,"'","")</f>
        <v>320252890781298252</v>
      </c>
      <c r="M1732">
        <v>61131</v>
      </c>
    </row>
    <row r="1733" spans="1:13" x14ac:dyDescent="0.4">
      <c r="A1733" s="1">
        <v>45946</v>
      </c>
      <c r="B1733" t="s">
        <v>4683</v>
      </c>
      <c r="C1733" t="s">
        <v>5479</v>
      </c>
      <c r="D1733">
        <v>54820</v>
      </c>
      <c r="E1733" t="s">
        <v>2125</v>
      </c>
      <c r="F1733">
        <v>27.99</v>
      </c>
      <c r="G1733" t="s">
        <v>4686</v>
      </c>
      <c r="H1733" t="s">
        <v>4687</v>
      </c>
      <c r="I1733">
        <v>26538</v>
      </c>
      <c r="J1733">
        <v>54198</v>
      </c>
      <c r="K1733" t="s">
        <v>2195</v>
      </c>
      <c r="L1733" t="str">
        <f>SUBSTITUTE(K1733,"'","")</f>
        <v>320252890772331540</v>
      </c>
      <c r="M1733">
        <v>54820</v>
      </c>
    </row>
    <row r="1734" spans="1:13" x14ac:dyDescent="0.4">
      <c r="A1734" s="1">
        <v>45946</v>
      </c>
      <c r="B1734" t="s">
        <v>4683</v>
      </c>
      <c r="C1734" t="s">
        <v>5483</v>
      </c>
      <c r="D1734">
        <v>54820</v>
      </c>
      <c r="E1734" t="s">
        <v>2190</v>
      </c>
      <c r="F1734">
        <v>6.99</v>
      </c>
      <c r="G1734" t="s">
        <v>4686</v>
      </c>
      <c r="H1734" t="s">
        <v>4687</v>
      </c>
      <c r="I1734">
        <v>27105</v>
      </c>
      <c r="J1734">
        <v>55332</v>
      </c>
      <c r="K1734" t="s">
        <v>2193</v>
      </c>
      <c r="L1734" t="str">
        <f>SUBSTITUTE(K1734,"'","")</f>
        <v>320252890773577902</v>
      </c>
      <c r="M1734">
        <v>54820</v>
      </c>
    </row>
    <row r="1735" spans="1:13" x14ac:dyDescent="0.4">
      <c r="A1735" s="1">
        <v>45946</v>
      </c>
      <c r="B1735" t="s">
        <v>4683</v>
      </c>
      <c r="C1735" t="s">
        <v>5481</v>
      </c>
      <c r="D1735">
        <v>54820</v>
      </c>
      <c r="E1735" t="s">
        <v>583</v>
      </c>
      <c r="F1735">
        <v>87.98</v>
      </c>
      <c r="G1735" t="s">
        <v>4686</v>
      </c>
      <c r="H1735" t="s">
        <v>4687</v>
      </c>
      <c r="I1735">
        <v>26815</v>
      </c>
      <c r="J1735">
        <v>54752</v>
      </c>
      <c r="K1735" t="s">
        <v>2197</v>
      </c>
      <c r="L1735" t="str">
        <f>SUBSTITUTE(K1735,"'","")</f>
        <v>320252890774927399</v>
      </c>
      <c r="M1735">
        <v>54820</v>
      </c>
    </row>
    <row r="1736" spans="1:13" x14ac:dyDescent="0.4">
      <c r="A1736" s="1">
        <v>45946</v>
      </c>
      <c r="B1736" t="s">
        <v>4683</v>
      </c>
      <c r="C1736" t="s">
        <v>5480</v>
      </c>
      <c r="D1736">
        <v>54820</v>
      </c>
      <c r="E1736" t="s">
        <v>2085</v>
      </c>
      <c r="F1736">
        <v>32.07</v>
      </c>
      <c r="G1736" t="s">
        <v>4686</v>
      </c>
      <c r="H1736" t="s">
        <v>4687</v>
      </c>
      <c r="I1736">
        <v>26714</v>
      </c>
      <c r="J1736">
        <v>54550</v>
      </c>
      <c r="K1736" t="s">
        <v>2199</v>
      </c>
      <c r="L1736" t="str">
        <f>SUBSTITUTE(K1736,"'","")</f>
        <v>320252900810298702</v>
      </c>
      <c r="M1736">
        <v>54820</v>
      </c>
    </row>
    <row r="1737" spans="1:13" x14ac:dyDescent="0.4">
      <c r="A1737" s="1">
        <v>45946</v>
      </c>
      <c r="B1737" t="s">
        <v>4683</v>
      </c>
      <c r="C1737" t="s">
        <v>5482</v>
      </c>
      <c r="D1737">
        <v>54820</v>
      </c>
      <c r="E1737" t="s">
        <v>2181</v>
      </c>
      <c r="F1737">
        <v>28.82</v>
      </c>
      <c r="G1737" t="s">
        <v>4686</v>
      </c>
      <c r="H1737" t="s">
        <v>4687</v>
      </c>
      <c r="I1737">
        <v>27104</v>
      </c>
      <c r="J1737">
        <v>55330</v>
      </c>
      <c r="K1737" t="s">
        <v>2185</v>
      </c>
      <c r="L1737" t="str">
        <f>SUBSTITUTE(K1737,"'","")</f>
        <v>320252900817561351</v>
      </c>
      <c r="M1737">
        <v>54820</v>
      </c>
    </row>
    <row r="1738" spans="1:13" x14ac:dyDescent="0.4">
      <c r="A1738" s="1">
        <v>45946</v>
      </c>
      <c r="B1738" t="s">
        <v>4683</v>
      </c>
      <c r="C1738" t="s">
        <v>6046</v>
      </c>
      <c r="D1738">
        <v>61215</v>
      </c>
      <c r="E1738" t="s">
        <v>2186</v>
      </c>
      <c r="F1738">
        <v>350</v>
      </c>
      <c r="G1738" t="s">
        <v>4686</v>
      </c>
      <c r="H1738" t="s">
        <v>4687</v>
      </c>
      <c r="I1738">
        <v>26814</v>
      </c>
      <c r="J1738">
        <v>54750</v>
      </c>
      <c r="K1738" t="s">
        <v>2189</v>
      </c>
      <c r="L1738" t="str">
        <f>SUBSTITUTE(K1738,"'","")</f>
        <v>320252910846731782</v>
      </c>
      <c r="M1738">
        <v>61215</v>
      </c>
    </row>
    <row r="1739" spans="1:13" x14ac:dyDescent="0.4">
      <c r="A1739" s="1">
        <v>45947</v>
      </c>
      <c r="B1739" t="s">
        <v>4683</v>
      </c>
      <c r="C1739" t="s">
        <v>5484</v>
      </c>
      <c r="D1739">
        <v>54820</v>
      </c>
      <c r="E1739" t="s">
        <v>65</v>
      </c>
      <c r="F1739">
        <v>5.99</v>
      </c>
      <c r="G1739" t="s">
        <v>4686</v>
      </c>
      <c r="H1739" t="s">
        <v>4687</v>
      </c>
      <c r="I1739">
        <v>25901</v>
      </c>
      <c r="J1739">
        <v>52924</v>
      </c>
      <c r="K1739" t="s">
        <v>67</v>
      </c>
      <c r="L1739" t="str">
        <f>SUBSTITUTE(K1739,"'","")</f>
        <v>320252900797526572</v>
      </c>
      <c r="M1739">
        <v>54820</v>
      </c>
    </row>
    <row r="1740" spans="1:13" x14ac:dyDescent="0.4">
      <c r="A1740" s="1">
        <v>45947</v>
      </c>
      <c r="B1740" t="s">
        <v>4683</v>
      </c>
      <c r="C1740" t="s">
        <v>5494</v>
      </c>
      <c r="D1740">
        <v>54820</v>
      </c>
      <c r="E1740" t="s">
        <v>2062</v>
      </c>
      <c r="F1740">
        <v>127.5</v>
      </c>
      <c r="G1740" t="s">
        <v>4686</v>
      </c>
      <c r="H1740" t="s">
        <v>4687</v>
      </c>
      <c r="I1740">
        <v>27110</v>
      </c>
      <c r="J1740">
        <v>55342</v>
      </c>
      <c r="K1740" t="s">
        <v>2180</v>
      </c>
      <c r="L1740" t="str">
        <f>SUBSTITUTE(K1740,"'","")</f>
        <v>320252900798236588</v>
      </c>
      <c r="M1740">
        <v>54820</v>
      </c>
    </row>
    <row r="1741" spans="1:13" x14ac:dyDescent="0.4">
      <c r="A1741" s="1">
        <v>45947</v>
      </c>
      <c r="B1741" t="s">
        <v>4683</v>
      </c>
      <c r="C1741" t="s">
        <v>5853</v>
      </c>
      <c r="D1741">
        <v>61130</v>
      </c>
      <c r="E1741" t="s">
        <v>478</v>
      </c>
      <c r="F1741">
        <v>34.57</v>
      </c>
      <c r="G1741" t="s">
        <v>4686</v>
      </c>
      <c r="H1741" t="s">
        <v>4687</v>
      </c>
      <c r="I1741">
        <v>26897</v>
      </c>
      <c r="J1741">
        <v>54916</v>
      </c>
      <c r="K1741" t="s">
        <v>2178</v>
      </c>
      <c r="L1741" t="str">
        <f>SUBSTITUTE(K1741,"'","")</f>
        <v>320252900804363451</v>
      </c>
      <c r="M1741">
        <v>61130</v>
      </c>
    </row>
    <row r="1742" spans="1:13" x14ac:dyDescent="0.4">
      <c r="A1742" s="1">
        <v>45947</v>
      </c>
      <c r="B1742" t="s">
        <v>4683</v>
      </c>
      <c r="C1742" t="s">
        <v>5493</v>
      </c>
      <c r="D1742">
        <v>54820</v>
      </c>
      <c r="E1742" t="s">
        <v>2171</v>
      </c>
      <c r="F1742">
        <v>21.14</v>
      </c>
      <c r="G1742" t="s">
        <v>4686</v>
      </c>
      <c r="H1742" t="s">
        <v>4687</v>
      </c>
      <c r="I1742">
        <v>27109</v>
      </c>
      <c r="J1742">
        <v>55340</v>
      </c>
      <c r="K1742" t="s">
        <v>2174</v>
      </c>
      <c r="L1742" t="str">
        <f>SUBSTITUTE(K1742,"'","")</f>
        <v>320252900808754345</v>
      </c>
      <c r="M1742">
        <v>54820</v>
      </c>
    </row>
    <row r="1743" spans="1:13" x14ac:dyDescent="0.4">
      <c r="A1743" s="1">
        <v>45947</v>
      </c>
      <c r="B1743" t="s">
        <v>4683</v>
      </c>
      <c r="C1743" t="s">
        <v>5488</v>
      </c>
      <c r="D1743">
        <v>54820</v>
      </c>
      <c r="E1743" t="s">
        <v>583</v>
      </c>
      <c r="F1743">
        <v>69.58</v>
      </c>
      <c r="G1743" t="s">
        <v>4686</v>
      </c>
      <c r="H1743" t="s">
        <v>4687</v>
      </c>
      <c r="I1743">
        <v>26817</v>
      </c>
      <c r="J1743">
        <v>54756</v>
      </c>
      <c r="K1743" t="s">
        <v>2176</v>
      </c>
      <c r="L1743" t="str">
        <f>SUBSTITUTE(K1743,"'","")</f>
        <v>320252910836508478</v>
      </c>
      <c r="M1743">
        <v>54820</v>
      </c>
    </row>
    <row r="1744" spans="1:13" x14ac:dyDescent="0.4">
      <c r="A1744" s="1">
        <v>45947</v>
      </c>
      <c r="B1744" t="s">
        <v>4683</v>
      </c>
      <c r="C1744" t="s">
        <v>5492</v>
      </c>
      <c r="D1744">
        <v>54820</v>
      </c>
      <c r="E1744" t="s">
        <v>2168</v>
      </c>
      <c r="F1744">
        <v>7.25</v>
      </c>
      <c r="G1744" t="s">
        <v>4686</v>
      </c>
      <c r="H1744" t="s">
        <v>4687</v>
      </c>
      <c r="I1744">
        <v>27108</v>
      </c>
      <c r="J1744">
        <v>55338</v>
      </c>
      <c r="K1744" t="s">
        <v>2170</v>
      </c>
      <c r="L1744" t="str">
        <f>SUBSTITUTE(K1744,"'","")</f>
        <v>320252910839741876</v>
      </c>
      <c r="M1744">
        <v>54820</v>
      </c>
    </row>
    <row r="1745" spans="1:13" x14ac:dyDescent="0.4">
      <c r="A1745" s="1">
        <v>45947</v>
      </c>
      <c r="B1745" t="s">
        <v>4683</v>
      </c>
      <c r="C1745" t="s">
        <v>5487</v>
      </c>
      <c r="D1745">
        <v>54820</v>
      </c>
      <c r="E1745" t="s">
        <v>2162</v>
      </c>
      <c r="F1745">
        <v>66.290000000000006</v>
      </c>
      <c r="G1745" t="s">
        <v>4686</v>
      </c>
      <c r="H1745" t="s">
        <v>4687</v>
      </c>
      <c r="I1745">
        <v>26816</v>
      </c>
      <c r="J1745">
        <v>54754</v>
      </c>
      <c r="K1745" t="s">
        <v>2164</v>
      </c>
      <c r="L1745" t="str">
        <f>SUBSTITUTE(K1745,"'","")</f>
        <v>320252910840883305</v>
      </c>
      <c r="M1745">
        <v>54820</v>
      </c>
    </row>
    <row r="1746" spans="1:13" x14ac:dyDescent="0.4">
      <c r="A1746" s="1">
        <v>45947</v>
      </c>
      <c r="B1746" t="s">
        <v>4683</v>
      </c>
      <c r="C1746" t="s">
        <v>5491</v>
      </c>
      <c r="D1746">
        <v>54820</v>
      </c>
      <c r="E1746" t="s">
        <v>2165</v>
      </c>
      <c r="F1746">
        <v>34.5</v>
      </c>
      <c r="G1746" t="s">
        <v>4686</v>
      </c>
      <c r="H1746" t="s">
        <v>4687</v>
      </c>
      <c r="I1746">
        <v>27107</v>
      </c>
      <c r="J1746">
        <v>55336</v>
      </c>
      <c r="K1746" t="s">
        <v>2167</v>
      </c>
      <c r="L1746" t="str">
        <f>SUBSTITUTE(K1746,"'","")</f>
        <v>320252910840945238</v>
      </c>
      <c r="M1746">
        <v>54820</v>
      </c>
    </row>
    <row r="1747" spans="1:13" x14ac:dyDescent="0.4">
      <c r="A1747" s="1">
        <v>45947</v>
      </c>
      <c r="B1747" t="s">
        <v>4683</v>
      </c>
      <c r="C1747" t="s">
        <v>5943</v>
      </c>
      <c r="D1747">
        <v>61131</v>
      </c>
      <c r="E1747" t="s">
        <v>27</v>
      </c>
      <c r="F1747">
        <v>9.15</v>
      </c>
      <c r="G1747" t="s">
        <v>4686</v>
      </c>
      <c r="H1747" t="s">
        <v>4687</v>
      </c>
      <c r="I1747">
        <v>25759</v>
      </c>
      <c r="J1747">
        <v>52640</v>
      </c>
      <c r="K1747" t="s">
        <v>63</v>
      </c>
      <c r="L1747" t="str">
        <f>SUBSTITUTE(K1747,"'","")</f>
        <v>320252910841999576</v>
      </c>
      <c r="M1747">
        <v>61131</v>
      </c>
    </row>
    <row r="1748" spans="1:13" x14ac:dyDescent="0.4">
      <c r="A1748" s="1">
        <v>45947</v>
      </c>
      <c r="B1748" t="s">
        <v>4683</v>
      </c>
      <c r="C1748" t="s">
        <v>5489</v>
      </c>
      <c r="D1748">
        <v>54820</v>
      </c>
      <c r="E1748" t="s">
        <v>1300</v>
      </c>
      <c r="F1748">
        <v>4.2699999999999996</v>
      </c>
      <c r="G1748" t="s">
        <v>4686</v>
      </c>
      <c r="H1748" t="s">
        <v>4687</v>
      </c>
      <c r="I1748">
        <v>26825</v>
      </c>
      <c r="J1748">
        <v>54772</v>
      </c>
      <c r="K1748" t="s">
        <v>2153</v>
      </c>
      <c r="L1748" t="str">
        <f>SUBSTITUTE(K1748,"'","")</f>
        <v>320252910842274395</v>
      </c>
      <c r="M1748">
        <v>54820</v>
      </c>
    </row>
    <row r="1749" spans="1:13" x14ac:dyDescent="0.4">
      <c r="A1749" s="1">
        <v>45947</v>
      </c>
      <c r="B1749" t="s">
        <v>4683</v>
      </c>
      <c r="C1749" t="s">
        <v>5486</v>
      </c>
      <c r="D1749">
        <v>54820</v>
      </c>
      <c r="E1749" t="s">
        <v>2142</v>
      </c>
      <c r="F1749">
        <v>11.75</v>
      </c>
      <c r="G1749" t="s">
        <v>4686</v>
      </c>
      <c r="H1749" t="s">
        <v>4687</v>
      </c>
      <c r="I1749">
        <v>26612</v>
      </c>
      <c r="J1749">
        <v>54346</v>
      </c>
      <c r="K1749" t="s">
        <v>2145</v>
      </c>
      <c r="L1749" t="str">
        <f>SUBSTITUTE(K1749,"'","")</f>
        <v>320252910842332921</v>
      </c>
      <c r="M1749">
        <v>54820</v>
      </c>
    </row>
    <row r="1750" spans="1:13" x14ac:dyDescent="0.4">
      <c r="A1750" s="1">
        <v>45947</v>
      </c>
      <c r="B1750" t="s">
        <v>4683</v>
      </c>
      <c r="C1750" t="s">
        <v>6517</v>
      </c>
      <c r="D1750">
        <v>67500</v>
      </c>
      <c r="E1750" t="s">
        <v>2146</v>
      </c>
      <c r="F1750">
        <v>41.72</v>
      </c>
      <c r="G1750" t="s">
        <v>4686</v>
      </c>
      <c r="H1750" t="s">
        <v>4687</v>
      </c>
      <c r="I1750">
        <v>26438</v>
      </c>
      <c r="J1750">
        <v>53998</v>
      </c>
      <c r="K1750" t="s">
        <v>2151</v>
      </c>
      <c r="L1750" t="str">
        <f>SUBSTITUTE(K1750,"'","")</f>
        <v>320252910845409315</v>
      </c>
      <c r="M1750">
        <v>67500</v>
      </c>
    </row>
    <row r="1751" spans="1:13" x14ac:dyDescent="0.4">
      <c r="A1751" s="1">
        <v>45947</v>
      </c>
      <c r="B1751" t="s">
        <v>4683</v>
      </c>
      <c r="C1751" t="s">
        <v>5490</v>
      </c>
      <c r="D1751">
        <v>54820</v>
      </c>
      <c r="E1751" t="s">
        <v>2154</v>
      </c>
      <c r="F1751">
        <v>13.04</v>
      </c>
      <c r="G1751" t="s">
        <v>4686</v>
      </c>
      <c r="H1751" t="s">
        <v>4687</v>
      </c>
      <c r="I1751">
        <v>27106</v>
      </c>
      <c r="J1751">
        <v>55334</v>
      </c>
      <c r="K1751" t="s">
        <v>2157</v>
      </c>
      <c r="L1751" t="str">
        <f>SUBSTITUTE(K1751,"'","")</f>
        <v>320252910847237855</v>
      </c>
      <c r="M1751">
        <v>54820</v>
      </c>
    </row>
    <row r="1752" spans="1:13" x14ac:dyDescent="0.4">
      <c r="A1752" s="1">
        <v>45947</v>
      </c>
      <c r="B1752" t="s">
        <v>4683</v>
      </c>
      <c r="C1752" t="s">
        <v>5485</v>
      </c>
      <c r="D1752">
        <v>54820</v>
      </c>
      <c r="E1752" t="s">
        <v>2158</v>
      </c>
      <c r="F1752">
        <v>200</v>
      </c>
      <c r="G1752" t="s">
        <v>4686</v>
      </c>
      <c r="H1752" t="s">
        <v>4687</v>
      </c>
      <c r="I1752">
        <v>26185</v>
      </c>
      <c r="J1752">
        <v>53492</v>
      </c>
      <c r="K1752" t="s">
        <v>2161</v>
      </c>
      <c r="L1752" t="str">
        <f>SUBSTITUTE(K1752,"'","")</f>
        <v>320252920879248815</v>
      </c>
      <c r="M1752">
        <v>54820</v>
      </c>
    </row>
    <row r="1753" spans="1:13" x14ac:dyDescent="0.4">
      <c r="A1753" s="1">
        <v>45948</v>
      </c>
      <c r="B1753" t="s">
        <v>4683</v>
      </c>
      <c r="C1753" t="s">
        <v>5854</v>
      </c>
      <c r="D1753">
        <v>61130</v>
      </c>
      <c r="E1753" t="s">
        <v>478</v>
      </c>
      <c r="F1753">
        <v>125.51</v>
      </c>
      <c r="G1753" t="s">
        <v>4686</v>
      </c>
      <c r="H1753" t="s">
        <v>4687</v>
      </c>
      <c r="I1753">
        <v>26898</v>
      </c>
      <c r="J1753">
        <v>54918</v>
      </c>
      <c r="K1753" t="s">
        <v>2141</v>
      </c>
      <c r="L1753" t="str">
        <f>SUBSTITUTE(K1753,"'","")</f>
        <v>320252910835305100</v>
      </c>
      <c r="M1753">
        <v>61130</v>
      </c>
    </row>
    <row r="1754" spans="1:13" x14ac:dyDescent="0.4">
      <c r="A1754" s="1">
        <v>45949</v>
      </c>
      <c r="B1754" t="s">
        <v>4683</v>
      </c>
      <c r="C1754" t="s">
        <v>6066</v>
      </c>
      <c r="D1754">
        <v>63100</v>
      </c>
      <c r="E1754" t="s">
        <v>57</v>
      </c>
      <c r="F1754">
        <v>65.42</v>
      </c>
      <c r="G1754" t="s">
        <v>4686</v>
      </c>
      <c r="H1754" t="s">
        <v>4687</v>
      </c>
      <c r="I1754">
        <v>25669</v>
      </c>
      <c r="J1754">
        <v>52460</v>
      </c>
      <c r="K1754" t="s">
        <v>60</v>
      </c>
      <c r="L1754" t="str">
        <f>SUBSTITUTE(K1754,"'","")</f>
        <v>320252920857020974</v>
      </c>
      <c r="M1754">
        <v>63100</v>
      </c>
    </row>
    <row r="1755" spans="1:13" x14ac:dyDescent="0.4">
      <c r="A1755" s="1">
        <v>45949</v>
      </c>
      <c r="B1755" t="s">
        <v>4683</v>
      </c>
      <c r="C1755" t="s">
        <v>5495</v>
      </c>
      <c r="D1755">
        <v>54820</v>
      </c>
      <c r="E1755" t="s">
        <v>51</v>
      </c>
      <c r="F1755">
        <v>86</v>
      </c>
      <c r="G1755" t="s">
        <v>4686</v>
      </c>
      <c r="H1755" t="s">
        <v>4687</v>
      </c>
      <c r="I1755">
        <v>26072</v>
      </c>
      <c r="J1755">
        <v>53266</v>
      </c>
      <c r="K1755" t="s">
        <v>55</v>
      </c>
      <c r="L1755" t="str">
        <f>SUBSTITUTE(K1755,"'","")</f>
        <v>320252930905172692</v>
      </c>
      <c r="M1755">
        <v>54820</v>
      </c>
    </row>
    <row r="1756" spans="1:13" x14ac:dyDescent="0.4">
      <c r="A1756" s="1">
        <v>45949</v>
      </c>
      <c r="B1756" t="s">
        <v>4683</v>
      </c>
      <c r="C1756" t="s">
        <v>5497</v>
      </c>
      <c r="D1756">
        <v>54820</v>
      </c>
      <c r="E1756" t="s">
        <v>2136</v>
      </c>
      <c r="F1756">
        <v>71.61</v>
      </c>
      <c r="G1756" t="s">
        <v>4686</v>
      </c>
      <c r="H1756" t="s">
        <v>4687</v>
      </c>
      <c r="I1756">
        <v>27111</v>
      </c>
      <c r="J1756">
        <v>55344</v>
      </c>
      <c r="K1756" t="s">
        <v>2139</v>
      </c>
      <c r="L1756" t="str">
        <f>SUBSTITUTE(K1756,"'","")</f>
        <v>320252930906057400</v>
      </c>
      <c r="M1756">
        <v>54820</v>
      </c>
    </row>
    <row r="1757" spans="1:13" x14ac:dyDescent="0.4">
      <c r="A1757" s="1">
        <v>45949</v>
      </c>
      <c r="B1757" t="s">
        <v>4683</v>
      </c>
      <c r="C1757" t="s">
        <v>5496</v>
      </c>
      <c r="D1757">
        <v>54820</v>
      </c>
      <c r="E1757" t="s">
        <v>140</v>
      </c>
      <c r="F1757">
        <v>5.39</v>
      </c>
      <c r="G1757" t="s">
        <v>4686</v>
      </c>
      <c r="H1757" t="s">
        <v>4687</v>
      </c>
      <c r="I1757">
        <v>26403</v>
      </c>
      <c r="J1757">
        <v>53928</v>
      </c>
      <c r="K1757" t="s">
        <v>2135</v>
      </c>
      <c r="L1757" t="str">
        <f>SUBSTITUTE(K1757,"'","")</f>
        <v>320252940926609558</v>
      </c>
      <c r="M1757">
        <v>54820</v>
      </c>
    </row>
    <row r="1758" spans="1:13" x14ac:dyDescent="0.4">
      <c r="A1758" s="1">
        <v>45950</v>
      </c>
      <c r="B1758" t="s">
        <v>4683</v>
      </c>
      <c r="C1758" t="s">
        <v>5503</v>
      </c>
      <c r="D1758">
        <v>54820</v>
      </c>
      <c r="E1758" t="s">
        <v>2121</v>
      </c>
      <c r="F1758">
        <v>49</v>
      </c>
      <c r="G1758" t="s">
        <v>4686</v>
      </c>
      <c r="H1758" t="s">
        <v>4687</v>
      </c>
      <c r="I1758">
        <v>27114</v>
      </c>
      <c r="J1758">
        <v>55350</v>
      </c>
      <c r="K1758" t="s">
        <v>2124</v>
      </c>
      <c r="L1758" t="str">
        <f>SUBSTITUTE(K1758,"'","")</f>
        <v>320252930885232863</v>
      </c>
      <c r="M1758">
        <v>54820</v>
      </c>
    </row>
    <row r="1759" spans="1:13" x14ac:dyDescent="0.4">
      <c r="A1759" s="1">
        <v>45950</v>
      </c>
      <c r="B1759" t="s">
        <v>4683</v>
      </c>
      <c r="C1759" t="s">
        <v>5500</v>
      </c>
      <c r="D1759">
        <v>54820</v>
      </c>
      <c r="E1759" t="s">
        <v>2125</v>
      </c>
      <c r="F1759">
        <v>13.9</v>
      </c>
      <c r="G1759" t="s">
        <v>4686</v>
      </c>
      <c r="H1759" t="s">
        <v>4687</v>
      </c>
      <c r="I1759">
        <v>26539</v>
      </c>
      <c r="J1759">
        <v>54200</v>
      </c>
      <c r="K1759" t="s">
        <v>2128</v>
      </c>
      <c r="L1759" t="str">
        <f>SUBSTITUTE(K1759,"'","")</f>
        <v>320252930891364838</v>
      </c>
      <c r="M1759">
        <v>54820</v>
      </c>
    </row>
    <row r="1760" spans="1:13" x14ac:dyDescent="0.4">
      <c r="A1760" s="1">
        <v>45950</v>
      </c>
      <c r="B1760" t="s">
        <v>4683</v>
      </c>
      <c r="C1760" t="s">
        <v>5555</v>
      </c>
      <c r="D1760">
        <v>61110</v>
      </c>
      <c r="E1760" t="s">
        <v>44</v>
      </c>
      <c r="F1760">
        <v>808.61</v>
      </c>
      <c r="G1760" t="s">
        <v>4686</v>
      </c>
      <c r="H1760" t="s">
        <v>4687</v>
      </c>
      <c r="I1760">
        <v>25917</v>
      </c>
      <c r="J1760">
        <v>52956</v>
      </c>
      <c r="K1760" t="s">
        <v>49</v>
      </c>
      <c r="L1760" t="str">
        <f>SUBSTITUTE(K1760,"'","")</f>
        <v>320252930895065300</v>
      </c>
      <c r="M1760">
        <v>61110</v>
      </c>
    </row>
    <row r="1761" spans="1:13" x14ac:dyDescent="0.4">
      <c r="A1761" s="1">
        <v>45950</v>
      </c>
      <c r="B1761" t="s">
        <v>4683</v>
      </c>
      <c r="C1761" t="s">
        <v>5499</v>
      </c>
      <c r="D1761">
        <v>54820</v>
      </c>
      <c r="E1761" t="s">
        <v>140</v>
      </c>
      <c r="F1761">
        <v>48.96</v>
      </c>
      <c r="G1761" t="s">
        <v>4686</v>
      </c>
      <c r="H1761" t="s">
        <v>4687</v>
      </c>
      <c r="I1761">
        <v>26404</v>
      </c>
      <c r="J1761">
        <v>53930</v>
      </c>
      <c r="K1761" t="s">
        <v>2116</v>
      </c>
      <c r="L1761" t="str">
        <f>SUBSTITUTE(K1761,"'","")</f>
        <v>320252940922046717</v>
      </c>
      <c r="M1761">
        <v>54820</v>
      </c>
    </row>
    <row r="1762" spans="1:13" x14ac:dyDescent="0.4">
      <c r="A1762" s="1">
        <v>45950</v>
      </c>
      <c r="B1762" t="s">
        <v>4683</v>
      </c>
      <c r="C1762" t="s">
        <v>5502</v>
      </c>
      <c r="D1762">
        <v>54820</v>
      </c>
      <c r="E1762" t="s">
        <v>2117</v>
      </c>
      <c r="F1762">
        <v>99.83</v>
      </c>
      <c r="G1762" t="s">
        <v>4686</v>
      </c>
      <c r="H1762" t="s">
        <v>4687</v>
      </c>
      <c r="I1762">
        <v>27113</v>
      </c>
      <c r="J1762">
        <v>55348</v>
      </c>
      <c r="K1762" t="s">
        <v>2120</v>
      </c>
      <c r="L1762" t="str">
        <f>SUBSTITUTE(K1762,"'","")</f>
        <v>320252940925637364</v>
      </c>
      <c r="M1762">
        <v>54820</v>
      </c>
    </row>
    <row r="1763" spans="1:13" x14ac:dyDescent="0.4">
      <c r="A1763" s="1">
        <v>45950</v>
      </c>
      <c r="B1763" t="s">
        <v>4683</v>
      </c>
      <c r="C1763" t="s">
        <v>5501</v>
      </c>
      <c r="D1763">
        <v>54820</v>
      </c>
      <c r="E1763" t="s">
        <v>2110</v>
      </c>
      <c r="F1763">
        <v>70.540000000000006</v>
      </c>
      <c r="G1763" t="s">
        <v>4686</v>
      </c>
      <c r="H1763" t="s">
        <v>4687</v>
      </c>
      <c r="I1763">
        <v>27112</v>
      </c>
      <c r="J1763">
        <v>55346</v>
      </c>
      <c r="K1763" t="s">
        <v>2113</v>
      </c>
      <c r="L1763" t="str">
        <f>SUBSTITUTE(K1763,"'","")</f>
        <v>320252940925676931</v>
      </c>
      <c r="M1763">
        <v>54820</v>
      </c>
    </row>
    <row r="1764" spans="1:13" x14ac:dyDescent="0.4">
      <c r="A1764" s="1">
        <v>45950</v>
      </c>
      <c r="B1764" t="s">
        <v>4683</v>
      </c>
      <c r="C1764" t="s">
        <v>5498</v>
      </c>
      <c r="D1764">
        <v>54820</v>
      </c>
      <c r="E1764" t="s">
        <v>2129</v>
      </c>
      <c r="F1764" s="5">
        <v>2060</v>
      </c>
      <c r="G1764" t="s">
        <v>4686</v>
      </c>
      <c r="H1764" t="s">
        <v>4687</v>
      </c>
      <c r="I1764">
        <v>26117</v>
      </c>
      <c r="J1764">
        <v>53356</v>
      </c>
      <c r="K1764" t="s">
        <v>2133</v>
      </c>
      <c r="L1764" t="str">
        <f>SUBSTITUTE(K1764,"'","")</f>
        <v>320252960988424406</v>
      </c>
      <c r="M1764">
        <v>54820</v>
      </c>
    </row>
    <row r="1765" spans="1:13" x14ac:dyDescent="0.4">
      <c r="A1765" s="1">
        <v>45951</v>
      </c>
      <c r="B1765" t="s">
        <v>4683</v>
      </c>
      <c r="C1765" t="s">
        <v>6354</v>
      </c>
      <c r="D1765">
        <v>64100</v>
      </c>
      <c r="E1765" t="s">
        <v>2089</v>
      </c>
      <c r="F1765">
        <v>15</v>
      </c>
      <c r="G1765" t="s">
        <v>4686</v>
      </c>
      <c r="H1765" t="s">
        <v>4687</v>
      </c>
      <c r="I1765">
        <v>26667</v>
      </c>
      <c r="J1765">
        <v>54456</v>
      </c>
      <c r="K1765" t="s">
        <v>2093</v>
      </c>
      <c r="L1765" t="str">
        <f>SUBSTITUTE(K1765,"'","")</f>
        <v>320252940913118061</v>
      </c>
      <c r="M1765">
        <v>64100</v>
      </c>
    </row>
    <row r="1766" spans="1:13" x14ac:dyDescent="0.4">
      <c r="A1766" s="1">
        <v>45951</v>
      </c>
      <c r="B1766" t="s">
        <v>4683</v>
      </c>
      <c r="C1766" t="s">
        <v>6356</v>
      </c>
      <c r="D1766">
        <v>64100</v>
      </c>
      <c r="E1766" t="s">
        <v>2072</v>
      </c>
      <c r="F1766">
        <v>38.130000000000003</v>
      </c>
      <c r="G1766" t="s">
        <v>4686</v>
      </c>
      <c r="H1766" t="s">
        <v>4687</v>
      </c>
      <c r="I1766">
        <v>26923</v>
      </c>
      <c r="J1766">
        <v>54968</v>
      </c>
      <c r="K1766" t="s">
        <v>2102</v>
      </c>
      <c r="L1766" t="str">
        <f>SUBSTITUTE(K1766,"'","")</f>
        <v>320252940914561414</v>
      </c>
      <c r="M1766">
        <v>64100</v>
      </c>
    </row>
    <row r="1767" spans="1:13" x14ac:dyDescent="0.4">
      <c r="A1767" s="1">
        <v>45951</v>
      </c>
      <c r="B1767" t="s">
        <v>4683</v>
      </c>
      <c r="C1767" t="s">
        <v>5855</v>
      </c>
      <c r="D1767">
        <v>61130</v>
      </c>
      <c r="E1767" t="s">
        <v>478</v>
      </c>
      <c r="F1767">
        <v>25.1</v>
      </c>
      <c r="G1767" t="s">
        <v>4686</v>
      </c>
      <c r="H1767" t="s">
        <v>4687</v>
      </c>
      <c r="I1767">
        <v>26899</v>
      </c>
      <c r="J1767">
        <v>54920</v>
      </c>
      <c r="K1767" t="s">
        <v>2109</v>
      </c>
      <c r="L1767" t="str">
        <f>SUBSTITUTE(K1767,"'","")</f>
        <v>320252940914681544</v>
      </c>
      <c r="M1767">
        <v>61130</v>
      </c>
    </row>
    <row r="1768" spans="1:13" x14ac:dyDescent="0.4">
      <c r="A1768" s="1">
        <v>45951</v>
      </c>
      <c r="B1768" t="s">
        <v>4683</v>
      </c>
      <c r="C1768" t="s">
        <v>6355</v>
      </c>
      <c r="D1768">
        <v>64100</v>
      </c>
      <c r="E1768" t="s">
        <v>2072</v>
      </c>
      <c r="F1768">
        <v>26.75</v>
      </c>
      <c r="G1768" t="s">
        <v>4686</v>
      </c>
      <c r="H1768" t="s">
        <v>4687</v>
      </c>
      <c r="I1768">
        <v>26922</v>
      </c>
      <c r="J1768">
        <v>54966</v>
      </c>
      <c r="K1768" t="s">
        <v>2100</v>
      </c>
      <c r="L1768" t="str">
        <f>SUBSTITUTE(K1768,"'","")</f>
        <v>320252940934366500</v>
      </c>
      <c r="M1768">
        <v>64100</v>
      </c>
    </row>
    <row r="1769" spans="1:13" x14ac:dyDescent="0.4">
      <c r="A1769" s="1">
        <v>45951</v>
      </c>
      <c r="B1769" t="s">
        <v>4683</v>
      </c>
      <c r="C1769" t="s">
        <v>5504</v>
      </c>
      <c r="D1769">
        <v>54820</v>
      </c>
      <c r="E1769" t="s">
        <v>2094</v>
      </c>
      <c r="F1769">
        <v>7.55</v>
      </c>
      <c r="G1769" t="s">
        <v>4686</v>
      </c>
      <c r="H1769" t="s">
        <v>4687</v>
      </c>
      <c r="I1769">
        <v>27115</v>
      </c>
      <c r="J1769">
        <v>55352</v>
      </c>
      <c r="K1769" t="s">
        <v>2098</v>
      </c>
      <c r="L1769" t="str">
        <f>SUBSTITUTE(K1769,"'","")</f>
        <v>320252950948513294</v>
      </c>
      <c r="M1769">
        <v>54820</v>
      </c>
    </row>
    <row r="1770" spans="1:13" x14ac:dyDescent="0.4">
      <c r="A1770" s="1">
        <v>45951</v>
      </c>
      <c r="B1770" t="s">
        <v>4683</v>
      </c>
      <c r="C1770" t="s">
        <v>5944</v>
      </c>
      <c r="D1770">
        <v>61131</v>
      </c>
      <c r="E1770" t="s">
        <v>38</v>
      </c>
      <c r="F1770">
        <v>914.8</v>
      </c>
      <c r="G1770" t="s">
        <v>4686</v>
      </c>
      <c r="H1770" t="s">
        <v>4687</v>
      </c>
      <c r="I1770">
        <v>25638</v>
      </c>
      <c r="J1770">
        <v>52398</v>
      </c>
      <c r="K1770" t="s">
        <v>42</v>
      </c>
      <c r="L1770" t="str">
        <f>SUBSTITUTE(K1770,"'","")</f>
        <v>320252950957686941</v>
      </c>
      <c r="M1770">
        <v>61131</v>
      </c>
    </row>
    <row r="1771" spans="1:13" x14ac:dyDescent="0.4">
      <c r="A1771" s="1">
        <v>45951</v>
      </c>
      <c r="B1771" t="s">
        <v>4683</v>
      </c>
      <c r="C1771" t="s">
        <v>5505</v>
      </c>
      <c r="D1771">
        <v>54820</v>
      </c>
      <c r="E1771" t="s">
        <v>2103</v>
      </c>
      <c r="F1771">
        <v>22.46</v>
      </c>
      <c r="G1771" t="s">
        <v>4686</v>
      </c>
      <c r="H1771" t="s">
        <v>4687</v>
      </c>
      <c r="I1771">
        <v>27116</v>
      </c>
      <c r="J1771">
        <v>55354</v>
      </c>
      <c r="K1771" t="s">
        <v>2107</v>
      </c>
      <c r="L1771" t="str">
        <f>SUBSTITUTE(K1771,"'","")</f>
        <v>320252950959796483</v>
      </c>
      <c r="M1771">
        <v>54820</v>
      </c>
    </row>
    <row r="1772" spans="1:13" x14ac:dyDescent="0.4">
      <c r="A1772" s="1">
        <v>45952</v>
      </c>
      <c r="B1772" t="s">
        <v>4683</v>
      </c>
      <c r="C1772" t="s">
        <v>6358</v>
      </c>
      <c r="D1772">
        <v>64100</v>
      </c>
      <c r="E1772" t="s">
        <v>2072</v>
      </c>
      <c r="F1772">
        <v>42.8</v>
      </c>
      <c r="G1772" t="s">
        <v>4686</v>
      </c>
      <c r="H1772" t="s">
        <v>4687</v>
      </c>
      <c r="I1772">
        <v>26924</v>
      </c>
      <c r="J1772">
        <v>54970</v>
      </c>
      <c r="K1772" t="s">
        <v>2076</v>
      </c>
      <c r="L1772" t="str">
        <f>SUBSTITUTE(K1772,"'","")</f>
        <v>320252950940697457</v>
      </c>
      <c r="M1772">
        <v>64100</v>
      </c>
    </row>
    <row r="1773" spans="1:13" x14ac:dyDescent="0.4">
      <c r="A1773" s="1">
        <v>45952</v>
      </c>
      <c r="B1773" t="s">
        <v>4683</v>
      </c>
      <c r="C1773" t="s">
        <v>6357</v>
      </c>
      <c r="D1773">
        <v>64100</v>
      </c>
      <c r="E1773" t="s">
        <v>32</v>
      </c>
      <c r="F1773">
        <v>21.4</v>
      </c>
      <c r="G1773" t="s">
        <v>4686</v>
      </c>
      <c r="H1773" t="s">
        <v>4687</v>
      </c>
      <c r="I1773">
        <v>25568</v>
      </c>
      <c r="J1773">
        <v>52258</v>
      </c>
      <c r="K1773" t="s">
        <v>36</v>
      </c>
      <c r="L1773" t="str">
        <f>SUBSTITUTE(K1773,"'","")</f>
        <v>320252950944651462</v>
      </c>
      <c r="M1773">
        <v>64100</v>
      </c>
    </row>
    <row r="1774" spans="1:13" x14ac:dyDescent="0.4">
      <c r="A1774" s="1">
        <v>45952</v>
      </c>
      <c r="B1774" t="s">
        <v>4683</v>
      </c>
      <c r="C1774" t="s">
        <v>5856</v>
      </c>
      <c r="D1774">
        <v>61130</v>
      </c>
      <c r="E1774" t="s">
        <v>478</v>
      </c>
      <c r="F1774">
        <v>104.06</v>
      </c>
      <c r="G1774" t="s">
        <v>4686</v>
      </c>
      <c r="H1774" t="s">
        <v>4687</v>
      </c>
      <c r="I1774">
        <v>26900</v>
      </c>
      <c r="J1774">
        <v>54922</v>
      </c>
      <c r="K1774" t="s">
        <v>2084</v>
      </c>
      <c r="L1774" t="str">
        <f>SUBSTITUTE(K1774,"'","")</f>
        <v>320252950945784809</v>
      </c>
      <c r="M1774">
        <v>61130</v>
      </c>
    </row>
    <row r="1775" spans="1:13" x14ac:dyDescent="0.4">
      <c r="A1775" s="1">
        <v>45952</v>
      </c>
      <c r="B1775" t="s">
        <v>4683</v>
      </c>
      <c r="C1775" t="s">
        <v>5507</v>
      </c>
      <c r="D1775">
        <v>54820</v>
      </c>
      <c r="E1775" t="s">
        <v>583</v>
      </c>
      <c r="F1775">
        <v>153.53</v>
      </c>
      <c r="G1775" t="s">
        <v>4686</v>
      </c>
      <c r="H1775" t="s">
        <v>4687</v>
      </c>
      <c r="I1775">
        <v>26818</v>
      </c>
      <c r="J1775">
        <v>54758</v>
      </c>
      <c r="K1775" t="s">
        <v>2082</v>
      </c>
      <c r="L1775" t="str">
        <f>SUBSTITUTE(K1775,"'","")</f>
        <v>320252950947058533</v>
      </c>
      <c r="M1775">
        <v>54820</v>
      </c>
    </row>
    <row r="1776" spans="1:13" x14ac:dyDescent="0.4">
      <c r="A1776" s="1">
        <v>45952</v>
      </c>
      <c r="B1776" t="s">
        <v>4683</v>
      </c>
      <c r="C1776" t="s">
        <v>5508</v>
      </c>
      <c r="D1776">
        <v>54820</v>
      </c>
      <c r="E1776" t="s">
        <v>1300</v>
      </c>
      <c r="F1776">
        <v>18.23</v>
      </c>
      <c r="G1776" t="s">
        <v>4686</v>
      </c>
      <c r="H1776" t="s">
        <v>4687</v>
      </c>
      <c r="I1776">
        <v>26826</v>
      </c>
      <c r="J1776">
        <v>54774</v>
      </c>
      <c r="K1776" t="s">
        <v>2071</v>
      </c>
      <c r="L1776" t="str">
        <f>SUBSTITUTE(K1776,"'","")</f>
        <v>320252960979763555</v>
      </c>
      <c r="M1776">
        <v>54820</v>
      </c>
    </row>
    <row r="1777" spans="1:13" x14ac:dyDescent="0.4">
      <c r="A1777" s="1">
        <v>45952</v>
      </c>
      <c r="B1777" t="s">
        <v>4683</v>
      </c>
      <c r="C1777" t="s">
        <v>5945</v>
      </c>
      <c r="D1777">
        <v>61131</v>
      </c>
      <c r="E1777" t="s">
        <v>27</v>
      </c>
      <c r="F1777">
        <v>9.15</v>
      </c>
      <c r="G1777" t="s">
        <v>4686</v>
      </c>
      <c r="H1777" t="s">
        <v>4687</v>
      </c>
      <c r="I1777">
        <v>25760</v>
      </c>
      <c r="J1777">
        <v>52642</v>
      </c>
      <c r="K1777" t="s">
        <v>30</v>
      </c>
      <c r="L1777" t="str">
        <f>SUBSTITUTE(K1777,"'","")</f>
        <v>320252960980482192</v>
      </c>
      <c r="M1777">
        <v>61131</v>
      </c>
    </row>
    <row r="1778" spans="1:13" x14ac:dyDescent="0.4">
      <c r="A1778" s="1">
        <v>45952</v>
      </c>
      <c r="B1778" t="s">
        <v>4683</v>
      </c>
      <c r="C1778" t="s">
        <v>5506</v>
      </c>
      <c r="D1778">
        <v>54820</v>
      </c>
      <c r="E1778" t="s">
        <v>2085</v>
      </c>
      <c r="F1778">
        <v>95.47</v>
      </c>
      <c r="G1778" t="s">
        <v>4686</v>
      </c>
      <c r="H1778" t="s">
        <v>4687</v>
      </c>
      <c r="I1778">
        <v>26715</v>
      </c>
      <c r="J1778">
        <v>54552</v>
      </c>
      <c r="K1778" t="s">
        <v>2088</v>
      </c>
      <c r="L1778" t="str">
        <f>SUBSTITUTE(K1778,"'","")</f>
        <v>320252960981084975</v>
      </c>
      <c r="M1778">
        <v>54820</v>
      </c>
    </row>
    <row r="1779" spans="1:13" x14ac:dyDescent="0.4">
      <c r="A1779" s="1">
        <v>45952</v>
      </c>
      <c r="B1779" t="s">
        <v>4683</v>
      </c>
      <c r="C1779" t="s">
        <v>5509</v>
      </c>
      <c r="D1779">
        <v>54820</v>
      </c>
      <c r="E1779" t="s">
        <v>2077</v>
      </c>
      <c r="F1779">
        <v>25</v>
      </c>
      <c r="G1779" t="s">
        <v>4686</v>
      </c>
      <c r="H1779" t="s">
        <v>4687</v>
      </c>
      <c r="I1779">
        <v>27117</v>
      </c>
      <c r="J1779">
        <v>55356</v>
      </c>
      <c r="K1779" t="s">
        <v>2080</v>
      </c>
      <c r="L1779" t="str">
        <f>SUBSTITUTE(K1779,"'","")</f>
        <v>320252960983460931</v>
      </c>
      <c r="M1779">
        <v>54820</v>
      </c>
    </row>
    <row r="1780" spans="1:13" x14ac:dyDescent="0.4">
      <c r="A1780" s="1">
        <v>45953</v>
      </c>
      <c r="B1780" t="s">
        <v>4683</v>
      </c>
      <c r="C1780" t="s">
        <v>5510</v>
      </c>
      <c r="D1780">
        <v>54820</v>
      </c>
      <c r="E1780" t="s">
        <v>179</v>
      </c>
      <c r="F1780">
        <v>37.46</v>
      </c>
      <c r="G1780" t="s">
        <v>4686</v>
      </c>
      <c r="H1780" t="s">
        <v>4687</v>
      </c>
      <c r="I1780">
        <v>26405</v>
      </c>
      <c r="J1780">
        <v>53932</v>
      </c>
      <c r="K1780" t="s">
        <v>2067</v>
      </c>
      <c r="L1780" t="str">
        <f>SUBSTITUTE(K1780,"'","")</f>
        <v>320252960969132547</v>
      </c>
      <c r="M1780">
        <v>54820</v>
      </c>
    </row>
    <row r="1781" spans="1:13" x14ac:dyDescent="0.4">
      <c r="A1781" s="1">
        <v>45953</v>
      </c>
      <c r="B1781" t="s">
        <v>4683</v>
      </c>
      <c r="C1781" t="s">
        <v>5857</v>
      </c>
      <c r="D1781">
        <v>61130</v>
      </c>
      <c r="E1781" t="s">
        <v>478</v>
      </c>
      <c r="F1781">
        <v>55.51</v>
      </c>
      <c r="G1781" t="s">
        <v>4686</v>
      </c>
      <c r="H1781" t="s">
        <v>4687</v>
      </c>
      <c r="I1781">
        <v>26901</v>
      </c>
      <c r="J1781">
        <v>54924</v>
      </c>
      <c r="K1781" t="s">
        <v>2069</v>
      </c>
      <c r="L1781" t="str">
        <f>SUBSTITUTE(K1781,"'","")</f>
        <v>320252970001584493</v>
      </c>
      <c r="M1781">
        <v>61130</v>
      </c>
    </row>
    <row r="1782" spans="1:13" x14ac:dyDescent="0.4">
      <c r="A1782" s="1">
        <v>45954</v>
      </c>
      <c r="B1782" t="s">
        <v>4683</v>
      </c>
      <c r="C1782" t="s">
        <v>6535</v>
      </c>
      <c r="D1782">
        <v>80100</v>
      </c>
      <c r="E1782" t="s">
        <v>19</v>
      </c>
      <c r="F1782">
        <v>240.99</v>
      </c>
      <c r="G1782" t="s">
        <v>4686</v>
      </c>
      <c r="H1782" t="s">
        <v>4687</v>
      </c>
      <c r="I1782">
        <v>25912</v>
      </c>
      <c r="J1782">
        <v>52946</v>
      </c>
      <c r="K1782" t="s">
        <v>20</v>
      </c>
      <c r="L1782" t="str">
        <f>SUBSTITUTE(K1782,"'","")</f>
        <v>151025060000077188</v>
      </c>
      <c r="M1782">
        <v>80100</v>
      </c>
    </row>
    <row r="1783" spans="1:13" x14ac:dyDescent="0.4">
      <c r="A1783" s="1">
        <v>45954</v>
      </c>
      <c r="B1783" t="s">
        <v>4683</v>
      </c>
      <c r="C1783" t="s">
        <v>5860</v>
      </c>
      <c r="D1783">
        <v>61130</v>
      </c>
      <c r="E1783" t="s">
        <v>478</v>
      </c>
      <c r="F1783">
        <v>38.54</v>
      </c>
      <c r="G1783" t="s">
        <v>4686</v>
      </c>
      <c r="H1783" t="s">
        <v>4687</v>
      </c>
      <c r="I1783">
        <v>26904</v>
      </c>
      <c r="J1783">
        <v>54930</v>
      </c>
      <c r="K1783" t="s">
        <v>2059</v>
      </c>
      <c r="L1783" t="str">
        <f>SUBSTITUTE(K1783,"'","")</f>
        <v>320252970000876454</v>
      </c>
      <c r="M1783">
        <v>61130</v>
      </c>
    </row>
    <row r="1784" spans="1:13" x14ac:dyDescent="0.4">
      <c r="A1784" s="1">
        <v>45954</v>
      </c>
      <c r="B1784" t="s">
        <v>4683</v>
      </c>
      <c r="C1784" t="s">
        <v>5859</v>
      </c>
      <c r="D1784">
        <v>61130</v>
      </c>
      <c r="E1784" t="s">
        <v>478</v>
      </c>
      <c r="F1784">
        <v>20.81</v>
      </c>
      <c r="G1784" t="s">
        <v>4686</v>
      </c>
      <c r="H1784" t="s">
        <v>4687</v>
      </c>
      <c r="I1784">
        <v>26903</v>
      </c>
      <c r="J1784">
        <v>54928</v>
      </c>
      <c r="K1784" t="s">
        <v>2057</v>
      </c>
      <c r="L1784" t="str">
        <f>SUBSTITUTE(K1784,"'","")</f>
        <v>320252970018730329</v>
      </c>
      <c r="M1784">
        <v>61130</v>
      </c>
    </row>
    <row r="1785" spans="1:13" x14ac:dyDescent="0.4">
      <c r="A1785" s="1">
        <v>45954</v>
      </c>
      <c r="B1785" t="s">
        <v>4683</v>
      </c>
      <c r="C1785" t="s">
        <v>5512</v>
      </c>
      <c r="D1785">
        <v>54820</v>
      </c>
      <c r="E1785" t="s">
        <v>2062</v>
      </c>
      <c r="F1785">
        <v>127.5</v>
      </c>
      <c r="G1785" t="s">
        <v>4686</v>
      </c>
      <c r="H1785" t="s">
        <v>4687</v>
      </c>
      <c r="I1785">
        <v>27118</v>
      </c>
      <c r="J1785">
        <v>55358</v>
      </c>
      <c r="K1785" t="s">
        <v>2065</v>
      </c>
      <c r="L1785" t="str">
        <f>SUBSTITUTE(K1785,"'","")</f>
        <v>320252970996268454</v>
      </c>
      <c r="M1785">
        <v>54820</v>
      </c>
    </row>
    <row r="1786" spans="1:13" x14ac:dyDescent="0.4">
      <c r="A1786" s="1">
        <v>45954</v>
      </c>
      <c r="B1786" t="s">
        <v>4683</v>
      </c>
      <c r="C1786" t="s">
        <v>5861</v>
      </c>
      <c r="D1786">
        <v>61130</v>
      </c>
      <c r="E1786" t="s">
        <v>478</v>
      </c>
      <c r="F1786">
        <v>50.19</v>
      </c>
      <c r="G1786" t="s">
        <v>4686</v>
      </c>
      <c r="H1786" t="s">
        <v>4687</v>
      </c>
      <c r="I1786">
        <v>26905</v>
      </c>
      <c r="J1786">
        <v>54932</v>
      </c>
      <c r="K1786" t="s">
        <v>2061</v>
      </c>
      <c r="L1786" t="str">
        <f>SUBSTITUTE(K1786,"'","")</f>
        <v>320252970997142413</v>
      </c>
      <c r="M1786">
        <v>61130</v>
      </c>
    </row>
    <row r="1787" spans="1:13" x14ac:dyDescent="0.4">
      <c r="A1787" s="1">
        <v>45954</v>
      </c>
      <c r="B1787" t="s">
        <v>4683</v>
      </c>
      <c r="C1787" t="s">
        <v>5858</v>
      </c>
      <c r="D1787">
        <v>61130</v>
      </c>
      <c r="E1787" t="s">
        <v>478</v>
      </c>
      <c r="F1787">
        <v>7.7</v>
      </c>
      <c r="G1787" t="s">
        <v>4686</v>
      </c>
      <c r="H1787" t="s">
        <v>4687</v>
      </c>
      <c r="I1787">
        <v>26902</v>
      </c>
      <c r="J1787">
        <v>54926</v>
      </c>
      <c r="K1787" t="s">
        <v>2055</v>
      </c>
      <c r="L1787" t="str">
        <f>SUBSTITUTE(K1787,"'","")</f>
        <v>320252970997935456</v>
      </c>
      <c r="M1787">
        <v>61130</v>
      </c>
    </row>
    <row r="1788" spans="1:13" x14ac:dyDescent="0.4">
      <c r="A1788" s="1">
        <v>45954</v>
      </c>
      <c r="B1788" t="s">
        <v>4683</v>
      </c>
      <c r="C1788" t="s">
        <v>5511</v>
      </c>
      <c r="D1788">
        <v>54820</v>
      </c>
      <c r="E1788" t="s">
        <v>24</v>
      </c>
      <c r="F1788">
        <v>2.99</v>
      </c>
      <c r="G1788" t="s">
        <v>4686</v>
      </c>
      <c r="H1788" t="s">
        <v>4687</v>
      </c>
      <c r="I1788">
        <v>25902</v>
      </c>
      <c r="J1788">
        <v>52926</v>
      </c>
      <c r="K1788" t="s">
        <v>26</v>
      </c>
      <c r="L1788" t="str">
        <f>SUBSTITUTE(K1788,"'","")</f>
        <v>320252980048196154</v>
      </c>
      <c r="M1788">
        <v>54820</v>
      </c>
    </row>
    <row r="1789" spans="1:13" x14ac:dyDescent="0.4">
      <c r="A1789" s="1">
        <v>45955</v>
      </c>
      <c r="B1789" t="s">
        <v>4683</v>
      </c>
      <c r="C1789" t="s">
        <v>5513</v>
      </c>
      <c r="D1789">
        <v>54820</v>
      </c>
      <c r="E1789" t="s">
        <v>11</v>
      </c>
      <c r="F1789">
        <v>14.99</v>
      </c>
      <c r="G1789" t="s">
        <v>4686</v>
      </c>
      <c r="H1789" t="s">
        <v>4687</v>
      </c>
      <c r="I1789">
        <v>25903</v>
      </c>
      <c r="J1789">
        <v>52928</v>
      </c>
      <c r="K1789" t="s">
        <v>17</v>
      </c>
      <c r="L1789" t="str">
        <f>SUBSTITUTE(K1789,"'","")</f>
        <v>320252980027719335</v>
      </c>
      <c r="M1789">
        <v>54820</v>
      </c>
    </row>
    <row r="1790" spans="1:13" x14ac:dyDescent="0.4">
      <c r="A1790" s="1">
        <v>45955</v>
      </c>
      <c r="B1790" t="s">
        <v>4683</v>
      </c>
      <c r="C1790" t="s">
        <v>6518</v>
      </c>
      <c r="D1790">
        <v>67500</v>
      </c>
      <c r="E1790" t="s">
        <v>106</v>
      </c>
      <c r="F1790">
        <v>74.94</v>
      </c>
      <c r="G1790" t="s">
        <v>4686</v>
      </c>
      <c r="H1790" t="s">
        <v>4687</v>
      </c>
      <c r="I1790">
        <v>26383</v>
      </c>
      <c r="J1790">
        <v>53888</v>
      </c>
      <c r="K1790" t="s">
        <v>2049</v>
      </c>
      <c r="L1790" t="str">
        <f>SUBSTITUTE(K1790,"'","")</f>
        <v>320252980031620365</v>
      </c>
      <c r="M1790">
        <v>67500</v>
      </c>
    </row>
    <row r="1791" spans="1:13" x14ac:dyDescent="0.4">
      <c r="A1791" s="1">
        <v>45955</v>
      </c>
      <c r="B1791" t="s">
        <v>4683</v>
      </c>
      <c r="C1791" t="s">
        <v>5514</v>
      </c>
      <c r="D1791">
        <v>54820</v>
      </c>
      <c r="E1791" t="s">
        <v>583</v>
      </c>
      <c r="F1791">
        <v>177.83</v>
      </c>
      <c r="G1791" t="s">
        <v>4686</v>
      </c>
      <c r="H1791" t="s">
        <v>4687</v>
      </c>
      <c r="I1791">
        <v>26819</v>
      </c>
      <c r="J1791">
        <v>54760</v>
      </c>
      <c r="K1791" t="s">
        <v>2051</v>
      </c>
      <c r="L1791" t="str">
        <f>SUBSTITUTE(K1791,"'","")</f>
        <v>320252980032411278</v>
      </c>
      <c r="M1791">
        <v>54820</v>
      </c>
    </row>
    <row r="1792" spans="1:13" x14ac:dyDescent="0.4">
      <c r="A1792" s="1">
        <v>45955</v>
      </c>
      <c r="B1792" t="s">
        <v>4683</v>
      </c>
      <c r="C1792" t="s">
        <v>5862</v>
      </c>
      <c r="D1792">
        <v>61130</v>
      </c>
      <c r="E1792" t="s">
        <v>478</v>
      </c>
      <c r="F1792">
        <v>53.01</v>
      </c>
      <c r="G1792" t="s">
        <v>4686</v>
      </c>
      <c r="H1792" t="s">
        <v>4687</v>
      </c>
      <c r="I1792">
        <v>26906</v>
      </c>
      <c r="J1792">
        <v>54934</v>
      </c>
      <c r="K1792" t="s">
        <v>2053</v>
      </c>
      <c r="L1792" t="str">
        <f>SUBSTITUTE(K1792,"'","")</f>
        <v>320252980032626229</v>
      </c>
      <c r="M1792">
        <v>61130</v>
      </c>
    </row>
  </sheetData>
  <sortState xmlns:xlrd2="http://schemas.microsoft.com/office/spreadsheetml/2017/richdata2" ref="A2:L1792">
    <sortCondition ref="A2:A17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8F52-1182-4E60-9AA9-CCAD64D14AB8}">
  <dimension ref="A3:I24"/>
  <sheetViews>
    <sheetView workbookViewId="0">
      <selection activeCell="G19" sqref="G19"/>
    </sheetView>
  </sheetViews>
  <sheetFormatPr defaultRowHeight="14.6" x14ac:dyDescent="0.4"/>
  <cols>
    <col min="1" max="1" width="12.4609375" bestFit="1" customWidth="1"/>
    <col min="2" max="2" width="13.53515625" bestFit="1" customWidth="1"/>
  </cols>
  <sheetData>
    <row r="3" spans="1:9" x14ac:dyDescent="0.4">
      <c r="A3" s="6" t="s">
        <v>6537</v>
      </c>
      <c r="B3" t="s">
        <v>6540</v>
      </c>
    </row>
    <row r="4" spans="1:9" x14ac:dyDescent="0.4">
      <c r="A4" s="7">
        <v>54820</v>
      </c>
      <c r="B4" s="8">
        <v>85478.610000000175</v>
      </c>
      <c r="D4" s="7">
        <v>54820</v>
      </c>
      <c r="E4">
        <v>85650.610000000175</v>
      </c>
      <c r="F4" t="b">
        <f>D4&lt;&gt;G4</f>
        <v>0</v>
      </c>
      <c r="G4" s="7">
        <v>54820</v>
      </c>
      <c r="H4" s="8">
        <v>85478.610000000175</v>
      </c>
      <c r="I4" t="b">
        <f>H4&lt;&gt;E4</f>
        <v>1</v>
      </c>
    </row>
    <row r="5" spans="1:9" x14ac:dyDescent="0.4">
      <c r="A5" s="7">
        <v>61100</v>
      </c>
      <c r="B5" s="8">
        <v>16569.530000000002</v>
      </c>
      <c r="D5" s="7">
        <v>61100</v>
      </c>
      <c r="E5">
        <v>16569.530000000002</v>
      </c>
      <c r="F5" t="b">
        <f t="shared" ref="F5:F22" si="0">D5&lt;&gt;G5</f>
        <v>0</v>
      </c>
      <c r="G5" s="7">
        <v>61100</v>
      </c>
      <c r="H5" s="8">
        <v>16569.530000000002</v>
      </c>
      <c r="I5" t="b">
        <f t="shared" ref="I5:I22" si="1">H5&lt;&gt;E5</f>
        <v>0</v>
      </c>
    </row>
    <row r="6" spans="1:9" x14ac:dyDescent="0.4">
      <c r="A6" s="7">
        <v>61110</v>
      </c>
      <c r="B6" s="8">
        <v>19083.2</v>
      </c>
      <c r="D6" s="7">
        <v>61110</v>
      </c>
      <c r="E6">
        <v>19083.2</v>
      </c>
      <c r="F6" t="b">
        <f t="shared" si="0"/>
        <v>0</v>
      </c>
      <c r="G6" s="7">
        <v>61110</v>
      </c>
      <c r="H6" s="8">
        <v>19083.2</v>
      </c>
      <c r="I6" t="b">
        <f t="shared" si="1"/>
        <v>0</v>
      </c>
    </row>
    <row r="7" spans="1:9" x14ac:dyDescent="0.4">
      <c r="A7" s="7">
        <v>61120</v>
      </c>
      <c r="B7" s="8">
        <v>13385.71000000001</v>
      </c>
      <c r="D7" s="7">
        <v>61120</v>
      </c>
      <c r="E7">
        <v>13385.71000000001</v>
      </c>
      <c r="F7" t="b">
        <f t="shared" si="0"/>
        <v>0</v>
      </c>
      <c r="G7" s="7">
        <v>61120</v>
      </c>
      <c r="H7" s="8">
        <v>13385.71000000001</v>
      </c>
      <c r="I7" t="b">
        <f t="shared" si="1"/>
        <v>0</v>
      </c>
    </row>
    <row r="8" spans="1:9" x14ac:dyDescent="0.4">
      <c r="A8" s="7">
        <v>61130</v>
      </c>
      <c r="B8" s="8">
        <v>11884.240000000009</v>
      </c>
      <c r="D8" s="7">
        <v>61130</v>
      </c>
      <c r="E8">
        <v>11884.240000000009</v>
      </c>
      <c r="F8" t="b">
        <f t="shared" si="0"/>
        <v>0</v>
      </c>
      <c r="G8" s="7">
        <v>61130</v>
      </c>
      <c r="H8" s="8">
        <v>11884.240000000009</v>
      </c>
      <c r="I8" t="b">
        <f t="shared" si="1"/>
        <v>0</v>
      </c>
    </row>
    <row r="9" spans="1:9" x14ac:dyDescent="0.4">
      <c r="A9" s="7">
        <v>61131</v>
      </c>
      <c r="B9" s="8">
        <v>14661.710000000001</v>
      </c>
      <c r="D9" s="7">
        <v>61131</v>
      </c>
      <c r="E9">
        <v>14661.710000000001</v>
      </c>
      <c r="F9" t="b">
        <f t="shared" si="0"/>
        <v>0</v>
      </c>
      <c r="G9" s="7">
        <v>61131</v>
      </c>
      <c r="H9" s="8">
        <v>14661.710000000001</v>
      </c>
      <c r="I9" t="b">
        <f t="shared" si="1"/>
        <v>0</v>
      </c>
    </row>
    <row r="10" spans="1:9" x14ac:dyDescent="0.4">
      <c r="A10" s="7">
        <v>61133</v>
      </c>
      <c r="B10" s="8">
        <v>43.499999999999986</v>
      </c>
      <c r="D10" s="7">
        <v>61133</v>
      </c>
      <c r="E10">
        <v>43.499999999999986</v>
      </c>
      <c r="F10" t="b">
        <f t="shared" si="0"/>
        <v>0</v>
      </c>
      <c r="G10" s="7">
        <v>61133</v>
      </c>
      <c r="H10" s="8">
        <v>43.499999999999986</v>
      </c>
      <c r="I10" t="b">
        <f t="shared" si="1"/>
        <v>0</v>
      </c>
    </row>
    <row r="11" spans="1:9" x14ac:dyDescent="0.4">
      <c r="A11" s="7">
        <v>61200</v>
      </c>
      <c r="B11" s="8">
        <v>50.69</v>
      </c>
      <c r="D11" s="7">
        <v>61200</v>
      </c>
      <c r="E11">
        <v>50.69</v>
      </c>
      <c r="F11" t="b">
        <f t="shared" si="0"/>
        <v>0</v>
      </c>
      <c r="G11" s="7">
        <v>61200</v>
      </c>
      <c r="H11" s="8">
        <v>50.69</v>
      </c>
      <c r="I11" t="b">
        <f t="shared" si="1"/>
        <v>0</v>
      </c>
    </row>
    <row r="12" spans="1:9" x14ac:dyDescent="0.4">
      <c r="A12" s="7">
        <v>61215</v>
      </c>
      <c r="B12" s="8">
        <v>48702.890000000014</v>
      </c>
      <c r="D12" s="7">
        <v>61215</v>
      </c>
      <c r="E12">
        <v>48702.890000000014</v>
      </c>
      <c r="F12" t="b">
        <f t="shared" si="0"/>
        <v>0</v>
      </c>
      <c r="G12" s="7">
        <v>61215</v>
      </c>
      <c r="H12" s="8">
        <v>48702.890000000014</v>
      </c>
      <c r="I12" t="b">
        <f t="shared" si="1"/>
        <v>0</v>
      </c>
    </row>
    <row r="13" spans="1:9" x14ac:dyDescent="0.4">
      <c r="A13" s="7">
        <v>63100</v>
      </c>
      <c r="B13" s="8">
        <v>968.29999999999984</v>
      </c>
      <c r="D13" s="7">
        <v>63100</v>
      </c>
      <c r="E13">
        <v>968.29999999999984</v>
      </c>
      <c r="F13" t="b">
        <f t="shared" si="0"/>
        <v>0</v>
      </c>
      <c r="G13" s="7">
        <v>63100</v>
      </c>
      <c r="H13" s="8">
        <v>968.29999999999984</v>
      </c>
      <c r="I13" t="b">
        <f t="shared" si="1"/>
        <v>0</v>
      </c>
    </row>
    <row r="14" spans="1:9" x14ac:dyDescent="0.4">
      <c r="A14" s="7">
        <v>64100</v>
      </c>
      <c r="B14" s="8">
        <v>18285.839999999993</v>
      </c>
      <c r="D14" s="7">
        <v>64100</v>
      </c>
      <c r="E14">
        <v>18285.839999999997</v>
      </c>
      <c r="F14" t="b">
        <f t="shared" si="0"/>
        <v>0</v>
      </c>
      <c r="G14" s="7">
        <v>64100</v>
      </c>
      <c r="H14" s="8">
        <v>18285.839999999993</v>
      </c>
      <c r="I14" t="b">
        <f t="shared" si="1"/>
        <v>0</v>
      </c>
    </row>
    <row r="15" spans="1:9" x14ac:dyDescent="0.4">
      <c r="A15" s="7">
        <v>64101</v>
      </c>
      <c r="B15" s="8">
        <v>12825.599999999999</v>
      </c>
      <c r="D15" s="7">
        <v>64101</v>
      </c>
      <c r="E15">
        <v>12825.599999999999</v>
      </c>
      <c r="F15" t="b">
        <f t="shared" si="0"/>
        <v>0</v>
      </c>
      <c r="G15" s="7">
        <v>64101</v>
      </c>
      <c r="H15" s="8">
        <v>12825.599999999999</v>
      </c>
      <c r="I15" t="b">
        <f t="shared" si="1"/>
        <v>0</v>
      </c>
    </row>
    <row r="16" spans="1:9" x14ac:dyDescent="0.4">
      <c r="A16" s="7">
        <v>64200</v>
      </c>
      <c r="B16" s="8">
        <v>5155.21</v>
      </c>
      <c r="D16" s="7">
        <v>64200</v>
      </c>
      <c r="E16">
        <v>5155.21</v>
      </c>
      <c r="F16" t="b">
        <f t="shared" si="0"/>
        <v>0</v>
      </c>
      <c r="G16" s="7">
        <v>64200</v>
      </c>
      <c r="H16" s="8">
        <v>5155.21</v>
      </c>
      <c r="I16" t="b">
        <f t="shared" si="1"/>
        <v>0</v>
      </c>
    </row>
    <row r="17" spans="1:9" x14ac:dyDescent="0.4">
      <c r="A17" s="7">
        <v>64210</v>
      </c>
      <c r="B17" s="8">
        <v>198.14</v>
      </c>
      <c r="D17" s="7">
        <v>64210</v>
      </c>
      <c r="E17">
        <v>198.14</v>
      </c>
      <c r="F17" t="b">
        <f t="shared" si="0"/>
        <v>0</v>
      </c>
      <c r="G17" s="7">
        <v>64210</v>
      </c>
      <c r="H17" s="8">
        <v>198.14</v>
      </c>
      <c r="I17" t="b">
        <f t="shared" si="1"/>
        <v>0</v>
      </c>
    </row>
    <row r="18" spans="1:9" x14ac:dyDescent="0.4">
      <c r="A18" s="7">
        <v>65505</v>
      </c>
      <c r="B18" s="8">
        <v>14255.66</v>
      </c>
      <c r="D18" s="7">
        <v>65505</v>
      </c>
      <c r="E18">
        <v>14255.66</v>
      </c>
      <c r="F18" t="b">
        <f t="shared" si="0"/>
        <v>0</v>
      </c>
      <c r="G18" s="7">
        <v>65505</v>
      </c>
      <c r="H18" s="8">
        <v>14255.66</v>
      </c>
      <c r="I18" t="b">
        <f t="shared" si="1"/>
        <v>0</v>
      </c>
    </row>
    <row r="19" spans="1:9" x14ac:dyDescent="0.4">
      <c r="A19" s="7">
        <v>65600</v>
      </c>
      <c r="B19" s="8">
        <v>1294.5</v>
      </c>
      <c r="D19" s="7">
        <v>65600</v>
      </c>
      <c r="E19">
        <v>1294.5</v>
      </c>
      <c r="F19" t="b">
        <f t="shared" si="0"/>
        <v>0</v>
      </c>
      <c r="G19" s="7">
        <v>65600</v>
      </c>
      <c r="H19" s="8">
        <v>1294.5</v>
      </c>
      <c r="I19" t="b">
        <f t="shared" si="1"/>
        <v>0</v>
      </c>
    </row>
    <row r="20" spans="1:9" x14ac:dyDescent="0.4">
      <c r="A20" s="7">
        <v>65700</v>
      </c>
      <c r="B20" s="8">
        <v>4822.5100000000011</v>
      </c>
      <c r="D20" s="7">
        <v>65700</v>
      </c>
      <c r="E20">
        <v>4822.5100000000011</v>
      </c>
      <c r="F20" t="b">
        <f t="shared" si="0"/>
        <v>0</v>
      </c>
      <c r="G20" s="7">
        <v>65700</v>
      </c>
      <c r="H20" s="8">
        <v>4822.5100000000011</v>
      </c>
      <c r="I20" t="b">
        <f t="shared" si="1"/>
        <v>0</v>
      </c>
    </row>
    <row r="21" spans="1:9" x14ac:dyDescent="0.4">
      <c r="A21" s="7">
        <v>67500</v>
      </c>
      <c r="B21" s="8">
        <v>5834.0899999999992</v>
      </c>
      <c r="D21" s="7">
        <v>67500</v>
      </c>
      <c r="E21">
        <v>5834.09</v>
      </c>
      <c r="F21" t="b">
        <f t="shared" si="0"/>
        <v>0</v>
      </c>
      <c r="G21" s="7">
        <v>67500</v>
      </c>
      <c r="H21" s="8">
        <v>5834.0899999999992</v>
      </c>
      <c r="I21" t="b">
        <f t="shared" si="1"/>
        <v>0</v>
      </c>
    </row>
    <row r="22" spans="1:9" x14ac:dyDescent="0.4">
      <c r="A22" s="7">
        <v>80100</v>
      </c>
      <c r="B22" s="8">
        <v>6484.82</v>
      </c>
      <c r="D22" s="7">
        <v>80100</v>
      </c>
      <c r="E22">
        <v>6484.82</v>
      </c>
      <c r="F22" t="b">
        <f t="shared" si="0"/>
        <v>0</v>
      </c>
      <c r="G22" s="7">
        <v>80100</v>
      </c>
      <c r="H22" s="8">
        <v>6484.82</v>
      </c>
      <c r="I22" t="b">
        <f t="shared" si="1"/>
        <v>0</v>
      </c>
    </row>
    <row r="23" spans="1:9" x14ac:dyDescent="0.4">
      <c r="A23" s="7" t="s">
        <v>6538</v>
      </c>
      <c r="B23" s="8">
        <v>-259021.51</v>
      </c>
    </row>
    <row r="24" spans="1:9" x14ac:dyDescent="0.4">
      <c r="A24" s="7" t="s">
        <v>6539</v>
      </c>
      <c r="B24" s="8">
        <v>20963.240000000224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</vt:lpstr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cnicola</dc:creator>
  <cp:lastModifiedBy>Cristian Nicola</cp:lastModifiedBy>
  <dcterms:created xsi:type="dcterms:W3CDTF">2025-10-27T01:09:47Z</dcterms:created>
  <dcterms:modified xsi:type="dcterms:W3CDTF">2026-02-02T05:36:44Z</dcterms:modified>
</cp:coreProperties>
</file>